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2023" sheetId="1" state="visible" r:id="rId3"/>
    <sheet name="2025" sheetId="2" state="visible" r:id="rId4"/>
    <sheet name="2024" sheetId="3" state="visible" r:id="rId5"/>
    <sheet name="Dados" sheetId="4" state="visible" r:id="rId6"/>
    <sheet name="Indicadores" sheetId="5" state="visible" r:id="rId7"/>
    <sheet name="DR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<sst xmlns="http://schemas.openxmlformats.org/spreadsheetml/2006/main" count="4806" uniqueCount="789">
  <si>
    <t xml:space="preserve">id</t>
  </si>
  <si>
    <t xml:space="preserve">empresa_tic</t>
  </si>
  <si>
    <t xml:space="preserve">ano_tri</t>
  </si>
  <si>
    <t xml:space="preserve">data_ini</t>
  </si>
  <si>
    <t xml:space="preserve">data_fim</t>
  </si>
  <si>
    <t xml:space="preserve">conta</t>
  </si>
  <si>
    <t xml:space="preserve">descricao</t>
  </si>
  <si>
    <t xml:space="preserve">valor</t>
  </si>
  <si>
    <t xml:space="preserve">tipo_balanco</t>
  </si>
  <si>
    <t xml:space="preserve">LREN</t>
  </si>
  <si>
    <t xml:space="preserve">20234T</t>
  </si>
  <si>
    <t xml:space="preserve">1</t>
  </si>
  <si>
    <t xml:space="preserve">Ativo Total</t>
  </si>
  <si>
    <t xml:space="preserve">DFs Consolidadas</t>
  </si>
  <si>
    <t xml:space="preserve">1.01</t>
  </si>
  <si>
    <t xml:space="preserve">Ativo Circulante</t>
  </si>
  <si>
    <t xml:space="preserve">1.01.01</t>
  </si>
  <si>
    <t xml:space="preserve">Caixa e Equivalentes de Caixa</t>
  </si>
  <si>
    <t xml:space="preserve">1.01.02</t>
  </si>
  <si>
    <t xml:space="preserve">Aplicações Financeiras</t>
  </si>
  <si>
    <t xml:space="preserve">1.01.02.01</t>
  </si>
  <si>
    <t xml:space="preserve">Aplicações Financeiras Avaliadas a Valor Justo através do Resultado</t>
  </si>
  <si>
    <t xml:space="preserve">1.01.02.01.01</t>
  </si>
  <si>
    <t xml:space="preserve">Títulos para Negociação</t>
  </si>
  <si>
    <t xml:space="preserve">1.01.02.01.02</t>
  </si>
  <si>
    <t xml:space="preserve">Títulos Designados a Valor Justo</t>
  </si>
  <si>
    <t xml:space="preserve">1.01.02.02</t>
  </si>
  <si>
    <t xml:space="preserve">Aplicações Financeiras Avaliadas a Valor Justo através de Outros Resultados Abrangentes</t>
  </si>
  <si>
    <t xml:space="preserve">1.01.02.03</t>
  </si>
  <si>
    <t xml:space="preserve">Aplicações Financeiras Avaliadas ao Custo Amortizado</t>
  </si>
  <si>
    <t xml:space="preserve">1.01.03</t>
  </si>
  <si>
    <t xml:space="preserve">Contas a Receber</t>
  </si>
  <si>
    <t xml:space="preserve">1.01.03.01</t>
  </si>
  <si>
    <t xml:space="preserve">Clientes</t>
  </si>
  <si>
    <t xml:space="preserve">1.01.03.02</t>
  </si>
  <si>
    <t xml:space="preserve">Outras Contas a Receber</t>
  </si>
  <si>
    <t xml:space="preserve">1.01.04</t>
  </si>
  <si>
    <t xml:space="preserve">Estoques</t>
  </si>
  <si>
    <t xml:space="preserve">1.01.05</t>
  </si>
  <si>
    <t xml:space="preserve">Ativos Biológicos</t>
  </si>
  <si>
    <t xml:space="preserve">1.01.06</t>
  </si>
  <si>
    <t xml:space="preserve">Tributos a Recuperar</t>
  </si>
  <si>
    <t xml:space="preserve">1.01.06.01</t>
  </si>
  <si>
    <t xml:space="preserve">Tributos Correntes a Recuperar</t>
  </si>
  <si>
    <t xml:space="preserve">1.01.07</t>
  </si>
  <si>
    <t xml:space="preserve">Despesas Antecipadas</t>
  </si>
  <si>
    <t xml:space="preserve">1.01.08</t>
  </si>
  <si>
    <t xml:space="preserve">Outros Ativos Circulantes</t>
  </si>
  <si>
    <t xml:space="preserve">1.01.08.01</t>
  </si>
  <si>
    <t xml:space="preserve">Ativos Não-Correntes a Venda</t>
  </si>
  <si>
    <t xml:space="preserve">1.01.08.02</t>
  </si>
  <si>
    <t xml:space="preserve">Ativos de Operações Descontinuadas</t>
  </si>
  <si>
    <t xml:space="preserve">1.01.08.03</t>
  </si>
  <si>
    <t xml:space="preserve">Outros</t>
  </si>
  <si>
    <t xml:space="preserve">1.01.08.03.01</t>
  </si>
  <si>
    <t xml:space="preserve">FIDC Lojas Renner</t>
  </si>
  <si>
    <t xml:space="preserve">1.01.08.03.02</t>
  </si>
  <si>
    <t xml:space="preserve">Instrumentos financeiros derivativos</t>
  </si>
  <si>
    <t xml:space="preserve">1.01.08.03.03</t>
  </si>
  <si>
    <t xml:space="preserve">Outros ativos</t>
  </si>
  <si>
    <t xml:space="preserve">1.01.08.03.04</t>
  </si>
  <si>
    <t xml:space="preserve">Créditos com partes relacionadas</t>
  </si>
  <si>
    <t xml:space="preserve">1.02</t>
  </si>
  <si>
    <t xml:space="preserve">Ativo Não Circulante</t>
  </si>
  <si>
    <t xml:space="preserve">1.02.01</t>
  </si>
  <si>
    <t xml:space="preserve">Ativo Realizável a Longo Prazo</t>
  </si>
  <si>
    <t xml:space="preserve">1.02.01.01</t>
  </si>
  <si>
    <t xml:space="preserve">1.02.01.01.01</t>
  </si>
  <si>
    <t xml:space="preserve">1.02.01.02</t>
  </si>
  <si>
    <t xml:space="preserve">1.02.01.03</t>
  </si>
  <si>
    <t xml:space="preserve">1.02.01.04</t>
  </si>
  <si>
    <t xml:space="preserve">1.02.01.04.01</t>
  </si>
  <si>
    <t xml:space="preserve">1.02.01.04.02</t>
  </si>
  <si>
    <t xml:space="preserve">1.02.01.05</t>
  </si>
  <si>
    <t xml:space="preserve">1.02.01.06</t>
  </si>
  <si>
    <t xml:space="preserve">1.02.01.07</t>
  </si>
  <si>
    <t xml:space="preserve">Tributos Diferidos</t>
  </si>
  <si>
    <t xml:space="preserve">1.02.01.07.01</t>
  </si>
  <si>
    <t xml:space="preserve">Imposto de Renda e Contribuição Social Diferidos</t>
  </si>
  <si>
    <t xml:space="preserve">1.02.01.08</t>
  </si>
  <si>
    <t xml:space="preserve">1.02.01.09</t>
  </si>
  <si>
    <t xml:space="preserve">Créditos com Partes Relacionadas</t>
  </si>
  <si>
    <t xml:space="preserve">1.02.01.09.01</t>
  </si>
  <si>
    <t xml:space="preserve">Créditos com Coligadas</t>
  </si>
  <si>
    <t xml:space="preserve">1.02.01.09.03</t>
  </si>
  <si>
    <t xml:space="preserve">Créditos com Controladores</t>
  </si>
  <si>
    <t xml:space="preserve">1.02.01.09.04</t>
  </si>
  <si>
    <t xml:space="preserve">Créditos com Outras Partes Relacionadas</t>
  </si>
  <si>
    <t xml:space="preserve">1.02.01.10</t>
  </si>
  <si>
    <t xml:space="preserve">Outros Ativos Não Circulantes</t>
  </si>
  <si>
    <t xml:space="preserve">1.02.01.10.01</t>
  </si>
  <si>
    <t xml:space="preserve">1.02.01.10.02</t>
  </si>
  <si>
    <t xml:space="preserve">1.02.01.10.03</t>
  </si>
  <si>
    <t xml:space="preserve">Depósitos judiciais</t>
  </si>
  <si>
    <t xml:space="preserve">1.02.01.10.04</t>
  </si>
  <si>
    <t xml:space="preserve">Tributos a recuperar</t>
  </si>
  <si>
    <t xml:space="preserve">1.02.01.10.05</t>
  </si>
  <si>
    <t xml:space="preserve">1.02.01.10.06</t>
  </si>
  <si>
    <t xml:space="preserve">1.02.02</t>
  </si>
  <si>
    <t xml:space="preserve">Investimentos</t>
  </si>
  <si>
    <t xml:space="preserve">1.02.02.01</t>
  </si>
  <si>
    <t xml:space="preserve">Participações Societárias</t>
  </si>
  <si>
    <t xml:space="preserve">1.02.02.01.01</t>
  </si>
  <si>
    <t xml:space="preserve">Participações em Coligadas</t>
  </si>
  <si>
    <t xml:space="preserve">1.02.02.01.04</t>
  </si>
  <si>
    <t xml:space="preserve">Participações em Controladas em Conjunto</t>
  </si>
  <si>
    <t xml:space="preserve">1.02.02.01.05</t>
  </si>
  <si>
    <t xml:space="preserve">Outros Investimentos</t>
  </si>
  <si>
    <t xml:space="preserve">1.02.02.02</t>
  </si>
  <si>
    <t xml:space="preserve">Propriedades para Investimento</t>
  </si>
  <si>
    <t xml:space="preserve">1.02.03</t>
  </si>
  <si>
    <t xml:space="preserve">Imobilizado</t>
  </si>
  <si>
    <t xml:space="preserve">1.02.03.01</t>
  </si>
  <si>
    <t xml:space="preserve">Imobilizado em Operação</t>
  </si>
  <si>
    <t xml:space="preserve">1.02.03.02</t>
  </si>
  <si>
    <t xml:space="preserve">Direito de Uso em Arrendamento</t>
  </si>
  <si>
    <t xml:space="preserve">1.02.03.03</t>
  </si>
  <si>
    <t xml:space="preserve">Imobilizado em Andamento</t>
  </si>
  <si>
    <t xml:space="preserve">1.02.04</t>
  </si>
  <si>
    <t xml:space="preserve">Intangível</t>
  </si>
  <si>
    <t xml:space="preserve">1.02.04.01</t>
  </si>
  <si>
    <t xml:space="preserve">Intangíveis</t>
  </si>
  <si>
    <t xml:space="preserve">1.02.04.01.01</t>
  </si>
  <si>
    <t xml:space="preserve">Contrato de Concessão</t>
  </si>
  <si>
    <t xml:space="preserve">1.02.04.01.02</t>
  </si>
  <si>
    <t xml:space="preserve">Demais intangíveis</t>
  </si>
  <si>
    <t xml:space="preserve">1.02.04.01.03</t>
  </si>
  <si>
    <t xml:space="preserve">Intangível arrendado</t>
  </si>
  <si>
    <t xml:space="preserve">1.02.04.02</t>
  </si>
  <si>
    <t xml:space="preserve">Goodwill</t>
  </si>
  <si>
    <t xml:space="preserve">2</t>
  </si>
  <si>
    <t xml:space="preserve">Passivo Total</t>
  </si>
  <si>
    <t xml:space="preserve">2.01</t>
  </si>
  <si>
    <t xml:space="preserve">Passivo Circulante</t>
  </si>
  <si>
    <t xml:space="preserve">2.01.01</t>
  </si>
  <si>
    <t xml:space="preserve">Obrigações Sociais e Trabalhistas</t>
  </si>
  <si>
    <t xml:space="preserve">2.01.01.01</t>
  </si>
  <si>
    <t xml:space="preserve">Obrigações Sociais</t>
  </si>
  <si>
    <t xml:space="preserve">2.01.01.01.01</t>
  </si>
  <si>
    <t xml:space="preserve">Encargos sociais</t>
  </si>
  <si>
    <t xml:space="preserve">2.01.01.02</t>
  </si>
  <si>
    <t xml:space="preserve">Obrigações Trabalhistas</t>
  </si>
  <si>
    <t xml:space="preserve">2.01.01.02.01</t>
  </si>
  <si>
    <t xml:space="preserve">Salários a pagar</t>
  </si>
  <si>
    <t xml:space="preserve">2.01.02</t>
  </si>
  <si>
    <t xml:space="preserve">Fornecedores</t>
  </si>
  <si>
    <t xml:space="preserve">2.01.02.01</t>
  </si>
  <si>
    <t xml:space="preserve">Fornecedores Nacionais</t>
  </si>
  <si>
    <t xml:space="preserve">2.01.02.01.01</t>
  </si>
  <si>
    <t xml:space="preserve">2.01.02.01.02</t>
  </si>
  <si>
    <t xml:space="preserve">Obrigações - Risco Sacado</t>
  </si>
  <si>
    <t xml:space="preserve">2.01.02.02</t>
  </si>
  <si>
    <t xml:space="preserve">Fornecedores Estrangeiros</t>
  </si>
  <si>
    <t xml:space="preserve">2.01.03</t>
  </si>
  <si>
    <t xml:space="preserve">Obrigações Fiscais</t>
  </si>
  <si>
    <t xml:space="preserve">2.01.03.01</t>
  </si>
  <si>
    <t xml:space="preserve">Obrigações Fiscais Federais</t>
  </si>
  <si>
    <t xml:space="preserve">2.01.03.01.01</t>
  </si>
  <si>
    <t xml:space="preserve">Imposto de Renda e Contribuição Social a Pagar</t>
  </si>
  <si>
    <t xml:space="preserve">2.01.03.01.02</t>
  </si>
  <si>
    <t xml:space="preserve">Demais Obrigações Federais</t>
  </si>
  <si>
    <t xml:space="preserve">2.01.03.02</t>
  </si>
  <si>
    <t xml:space="preserve">Obrigações Fiscais Estaduais</t>
  </si>
  <si>
    <t xml:space="preserve">2.01.03.03</t>
  </si>
  <si>
    <t xml:space="preserve">Obrigações Fiscais Municipais</t>
  </si>
  <si>
    <t xml:space="preserve">2.01.04</t>
  </si>
  <si>
    <t xml:space="preserve">Empréstimos e Financiamentos</t>
  </si>
  <si>
    <t xml:space="preserve">2.01.04.01</t>
  </si>
  <si>
    <t xml:space="preserve">2.01.04.01.01</t>
  </si>
  <si>
    <t xml:space="preserve">Em Moeda Nacional</t>
  </si>
  <si>
    <t xml:space="preserve">2.01.04.01.02</t>
  </si>
  <si>
    <t xml:space="preserve">Em Moeda Estrangeira</t>
  </si>
  <si>
    <t xml:space="preserve">2.01.04.02</t>
  </si>
  <si>
    <t xml:space="preserve">Debêntures</t>
  </si>
  <si>
    <t xml:space="preserve">2.01.04.03</t>
  </si>
  <si>
    <t xml:space="preserve">Financiamento por Arrendamento</t>
  </si>
  <si>
    <t xml:space="preserve">2.01.05</t>
  </si>
  <si>
    <t xml:space="preserve">Outras Obrigações</t>
  </si>
  <si>
    <t xml:space="preserve">2.01.05.01</t>
  </si>
  <si>
    <t xml:space="preserve">Passivos com Partes Relacionadas</t>
  </si>
  <si>
    <t xml:space="preserve">2.01.05.01.01</t>
  </si>
  <si>
    <t xml:space="preserve">Débitos com Coligadas</t>
  </si>
  <si>
    <t xml:space="preserve">2.01.05.01.03</t>
  </si>
  <si>
    <t xml:space="preserve">Débitos com Controladores</t>
  </si>
  <si>
    <t xml:space="preserve">2.01.05.01.04</t>
  </si>
  <si>
    <t xml:space="preserve">Débitos com Outras Partes Relacionadas</t>
  </si>
  <si>
    <t xml:space="preserve">2.01.05.02</t>
  </si>
  <si>
    <t xml:space="preserve">2.01.05.02.01</t>
  </si>
  <si>
    <t xml:space="preserve">Dividendos e JCP a Pagar</t>
  </si>
  <si>
    <t xml:space="preserve">2.01.05.02.02</t>
  </si>
  <si>
    <t xml:space="preserve">Dividendo Mínimo Obrigatório a Pagar</t>
  </si>
  <si>
    <t xml:space="preserve">2.01.05.02.03</t>
  </si>
  <si>
    <t xml:space="preserve">Obrigações por Pagamentos Baseados em Ações</t>
  </si>
  <si>
    <t xml:space="preserve">2.01.05.02.04</t>
  </si>
  <si>
    <t xml:space="preserve">Aluguéis a pagar</t>
  </si>
  <si>
    <t xml:space="preserve">2.01.05.02.05</t>
  </si>
  <si>
    <t xml:space="preserve">Outras obrigações</t>
  </si>
  <si>
    <t xml:space="preserve">2.01.05.02.06</t>
  </si>
  <si>
    <t xml:space="preserve">Participações Estatutárias</t>
  </si>
  <si>
    <t xml:space="preserve">2.01.05.02.07</t>
  </si>
  <si>
    <t xml:space="preserve">Obrigações com Administradoras de Cartões</t>
  </si>
  <si>
    <t xml:space="preserve">2.01.05.02.08</t>
  </si>
  <si>
    <t xml:space="preserve">2.01.05.02.09</t>
  </si>
  <si>
    <t xml:space="preserve">Arrendamentos a pagar</t>
  </si>
  <si>
    <t xml:space="preserve">2.01.06</t>
  </si>
  <si>
    <t xml:space="preserve">Provisões</t>
  </si>
  <si>
    <t xml:space="preserve">2.01.06.01</t>
  </si>
  <si>
    <t xml:space="preserve">Provisões Fiscais Previdenciárias Trabalhistas e Cíveis</t>
  </si>
  <si>
    <t xml:space="preserve">2.01.06.01.01</t>
  </si>
  <si>
    <t xml:space="preserve">Provisões Fiscais</t>
  </si>
  <si>
    <t xml:space="preserve">2.01.06.01.02</t>
  </si>
  <si>
    <t xml:space="preserve">Provisões Previdenciárias e Trabalhistas</t>
  </si>
  <si>
    <t xml:space="preserve">2.01.06.01.03</t>
  </si>
  <si>
    <t xml:space="preserve">Provisões para Benefícios a Empregados</t>
  </si>
  <si>
    <t xml:space="preserve">2.01.06.01.04</t>
  </si>
  <si>
    <t xml:space="preserve">Provisões Cíveis</t>
  </si>
  <si>
    <t xml:space="preserve">2.01.06.01.05</t>
  </si>
  <si>
    <t xml:space="preserve">Provisões Trabalhistas</t>
  </si>
  <si>
    <t xml:space="preserve">2.01.06.02</t>
  </si>
  <si>
    <t xml:space="preserve">Outras Provisões</t>
  </si>
  <si>
    <t xml:space="preserve">2.01.06.02.01</t>
  </si>
  <si>
    <t xml:space="preserve">Provisões para Garantias</t>
  </si>
  <si>
    <t xml:space="preserve">2.01.06.02.02</t>
  </si>
  <si>
    <t xml:space="preserve">Provisões para Reestruturação</t>
  </si>
  <si>
    <t xml:space="preserve">2.01.06.02.03</t>
  </si>
  <si>
    <t xml:space="preserve">Provisões para Passivos Ambientais e de Desativação</t>
  </si>
  <si>
    <t xml:space="preserve">2.01.07</t>
  </si>
  <si>
    <t xml:space="preserve">Passivos sobre Ativos Não-Correntes a Venda e Descontinuados</t>
  </si>
  <si>
    <t xml:space="preserve">2.01.07.01</t>
  </si>
  <si>
    <t xml:space="preserve">Passivos sobre Ativos Não-Correntes a Venda</t>
  </si>
  <si>
    <t xml:space="preserve">2.01.07.02</t>
  </si>
  <si>
    <t xml:space="preserve">Passivos sobre Ativos de Operações Descontinuadas</t>
  </si>
  <si>
    <t xml:space="preserve">2.02</t>
  </si>
  <si>
    <t xml:space="preserve">Passivo Não Circulante</t>
  </si>
  <si>
    <t xml:space="preserve">2.02.01</t>
  </si>
  <si>
    <t xml:space="preserve">2.02.01.01</t>
  </si>
  <si>
    <t xml:space="preserve">2.02.01.01.01</t>
  </si>
  <si>
    <t xml:space="preserve">2.02.01.01.02</t>
  </si>
  <si>
    <t xml:space="preserve">2.02.01.02</t>
  </si>
  <si>
    <t xml:space="preserve">2.02.01.03</t>
  </si>
  <si>
    <t xml:space="preserve">2.02.02</t>
  </si>
  <si>
    <t xml:space="preserve">2.02.02.01</t>
  </si>
  <si>
    <t xml:space="preserve">2.02.02.01.01</t>
  </si>
  <si>
    <t xml:space="preserve">2.02.02.01.03</t>
  </si>
  <si>
    <t xml:space="preserve">2.02.02.01.04</t>
  </si>
  <si>
    <t xml:space="preserve">2.02.02.02</t>
  </si>
  <si>
    <t xml:space="preserve">2.02.02.02.01</t>
  </si>
  <si>
    <t xml:space="preserve">2.02.02.02.02</t>
  </si>
  <si>
    <t xml:space="preserve">Adiantamento para Futuro Aumento de Capital</t>
  </si>
  <si>
    <t xml:space="preserve">2.02.02.02.03</t>
  </si>
  <si>
    <t xml:space="preserve">Impostos e contribuições a recolher</t>
  </si>
  <si>
    <t xml:space="preserve">2.02.02.02.04</t>
  </si>
  <si>
    <t xml:space="preserve">2.02.02.02.05</t>
  </si>
  <si>
    <t xml:space="preserve">2.02.02.02.06</t>
  </si>
  <si>
    <t xml:space="preserve">2.02.03</t>
  </si>
  <si>
    <t xml:space="preserve">2.02.03.01</t>
  </si>
  <si>
    <t xml:space="preserve">2.02.04</t>
  </si>
  <si>
    <t xml:space="preserve">2.02.04.01</t>
  </si>
  <si>
    <t xml:space="preserve">2.02.04.01.01</t>
  </si>
  <si>
    <t xml:space="preserve">2.02.04.01.02</t>
  </si>
  <si>
    <t xml:space="preserve">2.02.04.01.03</t>
  </si>
  <si>
    <t xml:space="preserve">2.02.04.01.04</t>
  </si>
  <si>
    <t xml:space="preserve">2.02.04.01.05</t>
  </si>
  <si>
    <t xml:space="preserve">2.02.04.02</t>
  </si>
  <si>
    <t xml:space="preserve">2.02.04.02.01</t>
  </si>
  <si>
    <t xml:space="preserve">2.02.04.02.02</t>
  </si>
  <si>
    <t xml:space="preserve">2.02.04.02.03</t>
  </si>
  <si>
    <t xml:space="preserve">2.02.05</t>
  </si>
  <si>
    <t xml:space="preserve">2.02.05.01</t>
  </si>
  <si>
    <t xml:space="preserve">2.02.05.02</t>
  </si>
  <si>
    <t xml:space="preserve">2.02.06</t>
  </si>
  <si>
    <t xml:space="preserve">Lucros e Receitas a Apropriar</t>
  </si>
  <si>
    <t xml:space="preserve">2.02.06.01</t>
  </si>
  <si>
    <t xml:space="preserve">Lucros a Apropriar</t>
  </si>
  <si>
    <t xml:space="preserve">2.02.06.02</t>
  </si>
  <si>
    <t xml:space="preserve">Receitas a Apropriar</t>
  </si>
  <si>
    <t xml:space="preserve">2.02.06.03</t>
  </si>
  <si>
    <t xml:space="preserve">Subvenções de Investimento a Apropriar</t>
  </si>
  <si>
    <t xml:space="preserve">2.03</t>
  </si>
  <si>
    <t xml:space="preserve">Patrimônio Líquido Consolidado</t>
  </si>
  <si>
    <t xml:space="preserve">2.03.01</t>
  </si>
  <si>
    <t xml:space="preserve">Capital Social Realizado</t>
  </si>
  <si>
    <t xml:space="preserve">2.03.02</t>
  </si>
  <si>
    <t xml:space="preserve">Reservas de Capital</t>
  </si>
  <si>
    <t xml:space="preserve">2.03.02.01</t>
  </si>
  <si>
    <t xml:space="preserve">Ágio na Emissão de Ações</t>
  </si>
  <si>
    <t xml:space="preserve">2.03.02.02</t>
  </si>
  <si>
    <t xml:space="preserve">Reserva Especial de Ágio na Incorporação</t>
  </si>
  <si>
    <t xml:space="preserve">2.03.02.03</t>
  </si>
  <si>
    <t xml:space="preserve">Alienação de Bônus de Subscrição</t>
  </si>
  <si>
    <t xml:space="preserve">2.03.02.04</t>
  </si>
  <si>
    <t xml:space="preserve">Opções Outorgadas</t>
  </si>
  <si>
    <t xml:space="preserve">2.03.02.05</t>
  </si>
  <si>
    <t xml:space="preserve">Ações em Tesouraria</t>
  </si>
  <si>
    <t xml:space="preserve">2.03.02.06</t>
  </si>
  <si>
    <t xml:space="preserve">2.03.03</t>
  </si>
  <si>
    <t xml:space="preserve">Reservas de Reavaliação</t>
  </si>
  <si>
    <t xml:space="preserve">2.03.04</t>
  </si>
  <si>
    <t xml:space="preserve">Reservas de Lucros</t>
  </si>
  <si>
    <t xml:space="preserve">2.03.04.01</t>
  </si>
  <si>
    <t xml:space="preserve">Reserva Legal</t>
  </si>
  <si>
    <t xml:space="preserve">2.03.04.02</t>
  </si>
  <si>
    <t xml:space="preserve">Reserva Estatutária</t>
  </si>
  <si>
    <t xml:space="preserve">2.03.04.03</t>
  </si>
  <si>
    <t xml:space="preserve">Reserva para Contingências</t>
  </si>
  <si>
    <t xml:space="preserve">2.03.04.04</t>
  </si>
  <si>
    <t xml:space="preserve">Reserva de Lucros a Realizar</t>
  </si>
  <si>
    <t xml:space="preserve">2.03.04.05</t>
  </si>
  <si>
    <t xml:space="preserve">Reserva de Retenção de Lucros</t>
  </si>
  <si>
    <t xml:space="preserve">2.03.04.06</t>
  </si>
  <si>
    <t xml:space="preserve">Reserva Especial para Dividendos Não Distribuídos</t>
  </si>
  <si>
    <t xml:space="preserve">2.03.04.07</t>
  </si>
  <si>
    <t xml:space="preserve">Reserva de Incentivos Fiscais</t>
  </si>
  <si>
    <t xml:space="preserve">2.03.04.08</t>
  </si>
  <si>
    <t xml:space="preserve">Dividendo Adicional Proposto</t>
  </si>
  <si>
    <t xml:space="preserve">2.03.04.09</t>
  </si>
  <si>
    <t xml:space="preserve">2.03.04.10</t>
  </si>
  <si>
    <t xml:space="preserve">Reserva para Investimento e Expansão</t>
  </si>
  <si>
    <t xml:space="preserve">2.03.05</t>
  </si>
  <si>
    <t xml:space="preserve">Lucros/Prejuízos Acumulados</t>
  </si>
  <si>
    <t xml:space="preserve">2.03.06</t>
  </si>
  <si>
    <t xml:space="preserve">Ajustes de Avaliação Patrimonial</t>
  </si>
  <si>
    <t xml:space="preserve">2.03.07</t>
  </si>
  <si>
    <t xml:space="preserve">Ajustes Acumulados de Conversão</t>
  </si>
  <si>
    <t xml:space="preserve">2.03.08</t>
  </si>
  <si>
    <t xml:space="preserve">Outros Resultados Abrangentes</t>
  </si>
  <si>
    <t xml:space="preserve">2.03.09</t>
  </si>
  <si>
    <t xml:space="preserve">Participação dos Acionistas Não Controladores</t>
  </si>
  <si>
    <t xml:space="preserve">3.01</t>
  </si>
  <si>
    <t xml:space="preserve">Receita de Venda de Bens e/ou Serviços</t>
  </si>
  <si>
    <t xml:space="preserve">3.01.01</t>
  </si>
  <si>
    <t xml:space="preserve">Receita líquida com vendas de mercadorias</t>
  </si>
  <si>
    <t xml:space="preserve">3.01.02</t>
  </si>
  <si>
    <t xml:space="preserve">Receita líquida com produtos e serviços financeiros</t>
  </si>
  <si>
    <t xml:space="preserve">3.02</t>
  </si>
  <si>
    <t xml:space="preserve">Custo dos Bens e/ou Serviços Vendidos</t>
  </si>
  <si>
    <t xml:space="preserve">3.02.01</t>
  </si>
  <si>
    <t xml:space="preserve">Custo das vendas com mercadorias</t>
  </si>
  <si>
    <t xml:space="preserve">3.02.02</t>
  </si>
  <si>
    <t xml:space="preserve">Custo dos produtos e serviços financeiros</t>
  </si>
  <si>
    <t xml:space="preserve">3.03</t>
  </si>
  <si>
    <t xml:space="preserve">Resultado Bruto</t>
  </si>
  <si>
    <t xml:space="preserve">3.04</t>
  </si>
  <si>
    <t xml:space="preserve">Despesas/Receitas Operacionais</t>
  </si>
  <si>
    <t xml:space="preserve">3.04.01</t>
  </si>
  <si>
    <t xml:space="preserve">Despesas com Vendas</t>
  </si>
  <si>
    <t xml:space="preserve">3.04.02</t>
  </si>
  <si>
    <t xml:space="preserve">Despesas Gerais e Administrativas</t>
  </si>
  <si>
    <t xml:space="preserve">3.04.03</t>
  </si>
  <si>
    <t xml:space="preserve">Perdas pela Não Recuperabilidade de Ativos</t>
  </si>
  <si>
    <t xml:space="preserve">3.04.04</t>
  </si>
  <si>
    <t xml:space="preserve">Outras Receitas Operacionais</t>
  </si>
  <si>
    <t xml:space="preserve">3.04.05</t>
  </si>
  <si>
    <t xml:space="preserve">Outras Despesas Operacionais</t>
  </si>
  <si>
    <t xml:space="preserve">3.04.06</t>
  </si>
  <si>
    <t xml:space="preserve">Resultado de Equivalência Patrimonial</t>
  </si>
  <si>
    <t xml:space="preserve">3.05</t>
  </si>
  <si>
    <t xml:space="preserve">Resultado Antes do Resultado Financeiro e dos Tributos</t>
  </si>
  <si>
    <t xml:space="preserve">3.06</t>
  </si>
  <si>
    <t xml:space="preserve">Resultado Financeiro</t>
  </si>
  <si>
    <t xml:space="preserve">3.06.01</t>
  </si>
  <si>
    <t xml:space="preserve">Receitas Financeiras</t>
  </si>
  <si>
    <t xml:space="preserve">3.06.02</t>
  </si>
  <si>
    <t xml:space="preserve">Despesas Financeiras</t>
  </si>
  <si>
    <t xml:space="preserve">3.07</t>
  </si>
  <si>
    <t xml:space="preserve">Resultado Antes dos Tributos sobre o Lucro</t>
  </si>
  <si>
    <t xml:space="preserve">3.08</t>
  </si>
  <si>
    <t xml:space="preserve">Imposto de Renda e Contribuição Social sobre o Lucro</t>
  </si>
  <si>
    <t xml:space="preserve">3.08.01</t>
  </si>
  <si>
    <t xml:space="preserve">Corrente</t>
  </si>
  <si>
    <t xml:space="preserve">3.08.02</t>
  </si>
  <si>
    <t xml:space="preserve">Diferido</t>
  </si>
  <si>
    <t xml:space="preserve">3.09</t>
  </si>
  <si>
    <t xml:space="preserve">Resultado Líquido das Operações Continuadas</t>
  </si>
  <si>
    <t xml:space="preserve">3.10</t>
  </si>
  <si>
    <t xml:space="preserve">Resultado Líquido de Operações Descontinuadas</t>
  </si>
  <si>
    <t xml:space="preserve">3.10.01</t>
  </si>
  <si>
    <t xml:space="preserve">Lucro/Prejuízo Líquido das Operações Descontinuadas</t>
  </si>
  <si>
    <t xml:space="preserve">3.10.02</t>
  </si>
  <si>
    <t xml:space="preserve">Ganhos/Perdas Líquidas sobre Ativos de Operações Descontinuadas</t>
  </si>
  <si>
    <t xml:space="preserve">3.11</t>
  </si>
  <si>
    <t xml:space="preserve">Lucro/Prejuízo Consolidado do Período</t>
  </si>
  <si>
    <t xml:space="preserve">3.11.01</t>
  </si>
  <si>
    <t xml:space="preserve">Atribuído a Sócios da Empresa Controladora</t>
  </si>
  <si>
    <t xml:space="preserve">3.11.02</t>
  </si>
  <si>
    <t xml:space="preserve">Atribuído a Sócios Não Controladores</t>
  </si>
  <si>
    <t xml:space="preserve">3.99</t>
  </si>
  <si>
    <t xml:space="preserve">Lucro por Ação - (Reais / Ação)</t>
  </si>
  <si>
    <t xml:space="preserve">3.99.01</t>
  </si>
  <si>
    <t xml:space="preserve">Lucro Básico por Ação</t>
  </si>
  <si>
    <t xml:space="preserve">3.99.01.01</t>
  </si>
  <si>
    <t xml:space="preserve">ON</t>
  </si>
  <si>
    <t xml:space="preserve">3.99.02</t>
  </si>
  <si>
    <t xml:space="preserve">Lucro Diluído por Ação</t>
  </si>
  <si>
    <t xml:space="preserve">3.99.02.01</t>
  </si>
  <si>
    <t xml:space="preserve">6.01</t>
  </si>
  <si>
    <t xml:space="preserve">Caixa Líquido Atividades Operacionais</t>
  </si>
  <si>
    <t xml:space="preserve">6.01.01</t>
  </si>
  <si>
    <t xml:space="preserve">Caixa Gerado nas Operações</t>
  </si>
  <si>
    <t xml:space="preserve">6.01.01.01</t>
  </si>
  <si>
    <t xml:space="preserve">Lucro líquido do período</t>
  </si>
  <si>
    <t xml:space="preserve">6.01.01.02</t>
  </si>
  <si>
    <t xml:space="preserve">Depreciações e amortizações</t>
  </si>
  <si>
    <t xml:space="preserve">6.01.01.05</t>
  </si>
  <si>
    <t xml:space="preserve">Juros e custos de estruturação sobre empréstimos e arrendamento</t>
  </si>
  <si>
    <t xml:space="preserve">6.01.01.06</t>
  </si>
  <si>
    <t xml:space="preserve">Juros de financiamentos de serviços operacionais</t>
  </si>
  <si>
    <t xml:space="preserve">6.01.01.09</t>
  </si>
  <si>
    <t xml:space="preserve">Imposto de renda e contribuição social</t>
  </si>
  <si>
    <t xml:space="preserve">6.01.01.12</t>
  </si>
  <si>
    <t xml:space="preserve">Perdas (reversões) estimadas em ativos, líquidas</t>
  </si>
  <si>
    <t xml:space="preserve">6.01.01.13</t>
  </si>
  <si>
    <t xml:space="preserve">Outros ajustes do lucro líquido</t>
  </si>
  <si>
    <t xml:space="preserve">6.01.01.14</t>
  </si>
  <si>
    <t xml:space="preserve">Exclusão do ICMS na base de cálculo do PIS e COFINS, líquida dos impostos e honorários</t>
  </si>
  <si>
    <t xml:space="preserve">6.01.01.15</t>
  </si>
  <si>
    <t xml:space="preserve">Descontos - arrendamentos a pagar</t>
  </si>
  <si>
    <t xml:space="preserve">6.01.02</t>
  </si>
  <si>
    <t xml:space="preserve">Variações nos Ativos e Passivos</t>
  </si>
  <si>
    <t xml:space="preserve">6.01.02.01</t>
  </si>
  <si>
    <t xml:space="preserve">Contas a receber de clientes</t>
  </si>
  <si>
    <t xml:space="preserve">6.01.02.02</t>
  </si>
  <si>
    <t xml:space="preserve">6.01.02.03</t>
  </si>
  <si>
    <t xml:space="preserve">6.01.02.04</t>
  </si>
  <si>
    <t xml:space="preserve">6.01.02.06</t>
  </si>
  <si>
    <t xml:space="preserve">6.01.02.07</t>
  </si>
  <si>
    <t xml:space="preserve">Obrigações fiscais</t>
  </si>
  <si>
    <t xml:space="preserve">6.01.02.11</t>
  </si>
  <si>
    <t xml:space="preserve">Obrigações com administradoras de cartões</t>
  </si>
  <si>
    <t xml:space="preserve">6.01.02.12</t>
  </si>
  <si>
    <t xml:space="preserve">6.01.02.13</t>
  </si>
  <si>
    <t xml:space="preserve">Obrigações - risco sacado</t>
  </si>
  <si>
    <t xml:space="preserve">6.01.03</t>
  </si>
  <si>
    <t xml:space="preserve">6.01.03.02</t>
  </si>
  <si>
    <t xml:space="preserve">Pagamento de imposto de renda e contribuição social</t>
  </si>
  <si>
    <t xml:space="preserve">6.01.03.03</t>
  </si>
  <si>
    <t xml:space="preserve">Juros pagos sobre empréstimos, financiamentos e debêntures</t>
  </si>
  <si>
    <t xml:space="preserve">6.01.03.04</t>
  </si>
  <si>
    <t xml:space="preserve">Juros pagos sobre financiamentos de serviços operacionais</t>
  </si>
  <si>
    <t xml:space="preserve">6.01.03.05</t>
  </si>
  <si>
    <t xml:space="preserve">Aplicações financeiras</t>
  </si>
  <si>
    <t xml:space="preserve">6.02</t>
  </si>
  <si>
    <t xml:space="preserve">Caixa Líquido Atividades de Investimento</t>
  </si>
  <si>
    <t xml:space="preserve">6.02.01</t>
  </si>
  <si>
    <t xml:space="preserve">Aquisições de imobilizado e intangível</t>
  </si>
  <si>
    <t xml:space="preserve">6.02.03</t>
  </si>
  <si>
    <t xml:space="preserve">Recebimentos por vendas de ativos fixos</t>
  </si>
  <si>
    <t xml:space="preserve">6.02.04</t>
  </si>
  <si>
    <t xml:space="preserve">Aquisição de controladas, líquida de caixa adquirido</t>
  </si>
  <si>
    <t xml:space="preserve">6.03</t>
  </si>
  <si>
    <t xml:space="preserve">Caixa Líquido Atividades de Financiamento</t>
  </si>
  <si>
    <t xml:space="preserve">6.03.01</t>
  </si>
  <si>
    <t xml:space="preserve">Aumento de capital social</t>
  </si>
  <si>
    <t xml:space="preserve">6.03.02</t>
  </si>
  <si>
    <t xml:space="preserve">Recompra de ações</t>
  </si>
  <si>
    <t xml:space="preserve">6.03.03</t>
  </si>
  <si>
    <t xml:space="preserve">Captações de empréstimos</t>
  </si>
  <si>
    <t xml:space="preserve">6.03.04</t>
  </si>
  <si>
    <t xml:space="preserve">Amortização de empréstimos e debêntures</t>
  </si>
  <si>
    <t xml:space="preserve">6.03.06</t>
  </si>
  <si>
    <t xml:space="preserve">Contraprestação de arrendamentos a pagar</t>
  </si>
  <si>
    <t xml:space="preserve">6.03.07</t>
  </si>
  <si>
    <t xml:space="preserve">Juros sobre capital próprio e dividendos pagos</t>
  </si>
  <si>
    <t xml:space="preserve">6.04</t>
  </si>
  <si>
    <t xml:space="preserve">Variação Cambial s/ Caixa e Equivalentes</t>
  </si>
  <si>
    <t xml:space="preserve">6.05</t>
  </si>
  <si>
    <t xml:space="preserve">Aumento (Redução) de Caixa e Equivalentes</t>
  </si>
  <si>
    <t xml:space="preserve">6.05.01</t>
  </si>
  <si>
    <t xml:space="preserve">Saldo Inicial de Caixa e Equivalentes</t>
  </si>
  <si>
    <t xml:space="preserve">6.05.02</t>
  </si>
  <si>
    <t xml:space="preserve">Saldo Final de Caixa e Equivalentes</t>
  </si>
  <si>
    <t xml:space="preserve">7.01</t>
  </si>
  <si>
    <t xml:space="preserve">Receitas</t>
  </si>
  <si>
    <t xml:space="preserve">7.01.01</t>
  </si>
  <si>
    <t xml:space="preserve">Vendas de Mercadorias, Produtos e Serviços</t>
  </si>
  <si>
    <t xml:space="preserve">7.01.02</t>
  </si>
  <si>
    <t xml:space="preserve">Outras Receitas</t>
  </si>
  <si>
    <t xml:space="preserve">7.01.03</t>
  </si>
  <si>
    <t xml:space="preserve">Receitas refs. à Construção de Ativos Próprios</t>
  </si>
  <si>
    <t xml:space="preserve">7.01.04</t>
  </si>
  <si>
    <t xml:space="preserve">Provisão/Reversão de Créds. Liquidação Duvidosa</t>
  </si>
  <si>
    <t xml:space="preserve">7.02</t>
  </si>
  <si>
    <t xml:space="preserve">Insumos Adquiridos de Terceiros</t>
  </si>
  <si>
    <t xml:space="preserve">7.02.01</t>
  </si>
  <si>
    <t xml:space="preserve">Custos Prods., Mercs. e Servs. Vendidos</t>
  </si>
  <si>
    <t xml:space="preserve">7.02.02</t>
  </si>
  <si>
    <t xml:space="preserve">Materiais, Energia, Servs. de Terceiros e Outros</t>
  </si>
  <si>
    <t xml:space="preserve">7.02.03</t>
  </si>
  <si>
    <t xml:space="preserve">Perda/Recuperação de Valores Ativos</t>
  </si>
  <si>
    <t xml:space="preserve">7.02.04</t>
  </si>
  <si>
    <t xml:space="preserve">7.03</t>
  </si>
  <si>
    <t xml:space="preserve">Valor Adicionado Bruto</t>
  </si>
  <si>
    <t xml:space="preserve">7.04</t>
  </si>
  <si>
    <t xml:space="preserve">Retenções</t>
  </si>
  <si>
    <t xml:space="preserve">7.04.01</t>
  </si>
  <si>
    <t xml:space="preserve">Depreciação, Amortização e Exaustão</t>
  </si>
  <si>
    <t xml:space="preserve">7.04.02</t>
  </si>
  <si>
    <t xml:space="preserve">Outras</t>
  </si>
  <si>
    <t xml:space="preserve">7.05</t>
  </si>
  <si>
    <t xml:space="preserve">Valor Adicionado Líquido Produzido</t>
  </si>
  <si>
    <t xml:space="preserve">7.06</t>
  </si>
  <si>
    <t xml:space="preserve">Vlr Adicionado Recebido em Transferência</t>
  </si>
  <si>
    <t xml:space="preserve">7.06.01</t>
  </si>
  <si>
    <t xml:space="preserve">7.06.02</t>
  </si>
  <si>
    <t xml:space="preserve">7.06.03</t>
  </si>
  <si>
    <t xml:space="preserve">7.07</t>
  </si>
  <si>
    <t xml:space="preserve">Valor Adicionado Total a Distribuir</t>
  </si>
  <si>
    <t xml:space="preserve">7.08</t>
  </si>
  <si>
    <t xml:space="preserve">Distribuição do Valor Adicionado</t>
  </si>
  <si>
    <t xml:space="preserve">7.08.01</t>
  </si>
  <si>
    <t xml:space="preserve">Pessoal</t>
  </si>
  <si>
    <t xml:space="preserve">7.08.01.01</t>
  </si>
  <si>
    <t xml:space="preserve">Remuneração Direta</t>
  </si>
  <si>
    <t xml:space="preserve">7.08.01.02</t>
  </si>
  <si>
    <t xml:space="preserve">Benefícios</t>
  </si>
  <si>
    <t xml:space="preserve">7.08.01.03</t>
  </si>
  <si>
    <t xml:space="preserve">F.G.T.S.</t>
  </si>
  <si>
    <t xml:space="preserve">7.08.01.04</t>
  </si>
  <si>
    <t xml:space="preserve">7.08.01.04.01</t>
  </si>
  <si>
    <t xml:space="preserve">Plano de opção de compra de ações e de ações restritas</t>
  </si>
  <si>
    <t xml:space="preserve">7.08.01.04.02</t>
  </si>
  <si>
    <t xml:space="preserve">Remuneração dos administradores</t>
  </si>
  <si>
    <t xml:space="preserve">7.08.02</t>
  </si>
  <si>
    <t xml:space="preserve">Impostos, Taxas e Contribuições</t>
  </si>
  <si>
    <t xml:space="preserve">7.08.02.01</t>
  </si>
  <si>
    <t xml:space="preserve">Federais</t>
  </si>
  <si>
    <t xml:space="preserve">7.08.02.02</t>
  </si>
  <si>
    <t xml:space="preserve">Estaduais</t>
  </si>
  <si>
    <t xml:space="preserve">7.08.02.03</t>
  </si>
  <si>
    <t xml:space="preserve">Municipais</t>
  </si>
  <si>
    <t xml:space="preserve">7.08.03</t>
  </si>
  <si>
    <t xml:space="preserve">Remuneração de Capitais de Terceiros</t>
  </si>
  <si>
    <t xml:space="preserve">7.08.03.01</t>
  </si>
  <si>
    <t xml:space="preserve">Juros</t>
  </si>
  <si>
    <t xml:space="preserve">7.08.03.02</t>
  </si>
  <si>
    <t xml:space="preserve">Aluguéis</t>
  </si>
  <si>
    <t xml:space="preserve">7.08.03.03</t>
  </si>
  <si>
    <t xml:space="preserve">7.08.03.03.01</t>
  </si>
  <si>
    <t xml:space="preserve">7.08.04</t>
  </si>
  <si>
    <t xml:space="preserve">Remuneração de Capitais Próprios</t>
  </si>
  <si>
    <t xml:space="preserve">7.08.04.01</t>
  </si>
  <si>
    <t xml:space="preserve">Juros sobre o Capital Próprio</t>
  </si>
  <si>
    <t xml:space="preserve">7.08.04.02</t>
  </si>
  <si>
    <t xml:space="preserve">Dividendos</t>
  </si>
  <si>
    <t xml:space="preserve">7.08.04.03</t>
  </si>
  <si>
    <t xml:space="preserve">Lucros Retidos / Prejuízo do Período</t>
  </si>
  <si>
    <t xml:space="preserve">7.08.04.04</t>
  </si>
  <si>
    <t xml:space="preserve">Part. Não Controladores nos Lucros Retidos</t>
  </si>
  <si>
    <t xml:space="preserve">7.08.05</t>
  </si>
  <si>
    <t xml:space="preserve">20254T</t>
  </si>
  <si>
    <t xml:space="preserve">1.01.06.01.01</t>
  </si>
  <si>
    <t xml:space="preserve">1.01.06.01.02</t>
  </si>
  <si>
    <t xml:space="preserve">Imposto de renda e Contribuição social a Recuperar</t>
  </si>
  <si>
    <t xml:space="preserve">Juros e custos de estruturação sobre empréstimos, financiamentos e arrendamento</t>
  </si>
  <si>
    <t xml:space="preserve">6.01.01.07</t>
  </si>
  <si>
    <t xml:space="preserve">Resultado de equivalência patrimonial</t>
  </si>
  <si>
    <t xml:space="preserve">Captações e amortização de empréstimos e debêntures</t>
  </si>
  <si>
    <t xml:space="preserve">20244T</t>
  </si>
  <si>
    <t xml:space="preserve">Indicadores </t>
  </si>
  <si>
    <t xml:space="preserve">CCL (AC-PC)</t>
  </si>
  <si>
    <t xml:space="preserve">LC  (AC/PC)</t>
  </si>
  <si>
    <t xml:space="preserve">LS ((AC-EST-DA)/PC)</t>
  </si>
  <si>
    <t xml:space="preserve">LA ( Caixa e Equivalentes/PC)</t>
  </si>
  <si>
    <t xml:space="preserve">LG ((AC + ARLG)/(PC+PNC))</t>
  </si>
  <si>
    <t xml:space="preserve">PME ((EST.INI +EST.FIN)/2)x360/CMV) </t>
  </si>
  <si>
    <t xml:space="preserve">Giro de Estoque (CMV/EM)</t>
  </si>
  <si>
    <t xml:space="preserve">PMRV((CRM/RV) x 360)</t>
  </si>
  <si>
    <t xml:space="preserve">Compras </t>
  </si>
  <si>
    <t xml:space="preserve">PMPF (((FornecedorInic + FornecedorFin)/2)/Compras)x360</t>
  </si>
  <si>
    <t xml:space="preserve">Ciclo Operacional</t>
  </si>
  <si>
    <t xml:space="preserve">Cico Financeiro</t>
  </si>
  <si>
    <t xml:space="preserve">Ciclo Econômico</t>
  </si>
  <si>
    <t xml:space="preserve">Ativo Circulante Financeiro - ACF</t>
  </si>
  <si>
    <t xml:space="preserve">Ativo Circulante Operacional - ACO</t>
  </si>
  <si>
    <t xml:space="preserve">Ativo circulante</t>
  </si>
  <si>
    <t xml:space="preserve">Passivo Circulante Financeiro - PCF</t>
  </si>
  <si>
    <t xml:space="preserve">Passivo Circulante Operacional - PCO</t>
  </si>
  <si>
    <t xml:space="preserve">Saldo em Tesouraria - ST (ACF-PCF)</t>
  </si>
  <si>
    <t xml:space="preserve">Necessidade de Capital de Giro - NCG (ACO-PCO)</t>
  </si>
  <si>
    <t xml:space="preserve">Capital de Giro Líquido - CGL (AC-PC)</t>
  </si>
  <si>
    <t xml:space="preserve">Relações de Capitais (Passivo/PL)</t>
  </si>
  <si>
    <t xml:space="preserve">Endividamento Geral (Passivo/(Passivo+PL)</t>
  </si>
  <si>
    <t xml:space="preserve">Solvência Geral (Ativo/Passivo)</t>
  </si>
  <si>
    <t xml:space="preserve">Composição do Endividamento (PC/Passivo)</t>
  </si>
  <si>
    <t xml:space="preserve">Imobilização do PL (Ativos Fixos/PL)</t>
  </si>
  <si>
    <t xml:space="preserve">Número de ações da empresa</t>
  </si>
  <si>
    <t xml:space="preserve">Preço da ação</t>
  </si>
  <si>
    <t xml:space="preserve">VPA (PL/n de ações)</t>
  </si>
  <si>
    <t xml:space="preserve">PVP (Preço da ação/VPA)  13/05/2026</t>
  </si>
  <si>
    <t xml:space="preserve">LPA (Lucro líquido/ n de ações) </t>
  </si>
  <si>
    <t xml:space="preserve">P/L (Preço da ação/LPA)</t>
  </si>
  <si>
    <t xml:space="preserve">DPA (Valor dos dividendos anuais)</t>
  </si>
  <si>
    <t xml:space="preserve">Indicadores de Liquidez</t>
  </si>
  <si>
    <t xml:space="preserve">Sigla</t>
  </si>
  <si>
    <t xml:space="preserve">Fórmulas</t>
  </si>
  <si>
    <t xml:space="preserve">Capital Circulante Líquido</t>
  </si>
  <si>
    <t xml:space="preserve">CCL</t>
  </si>
  <si>
    <t xml:space="preserve"> AC - PC </t>
  </si>
  <si>
    <t xml:space="preserve">Índice de Liquides Corrente</t>
  </si>
  <si>
    <t xml:space="preserve">LC</t>
  </si>
  <si>
    <t xml:space="preserve"> AC/PC</t>
  </si>
  <si>
    <t xml:space="preserve">Índice de Liquides Seca</t>
  </si>
  <si>
    <t xml:space="preserve">LS</t>
  </si>
  <si>
    <t xml:space="preserve"> (AC - EST - DA) /PC </t>
  </si>
  <si>
    <t xml:space="preserve">Índice de Liquides Absoluta</t>
  </si>
  <si>
    <t xml:space="preserve">LA</t>
  </si>
  <si>
    <t xml:space="preserve">DISPONIVEL /PC</t>
  </si>
  <si>
    <t xml:space="preserve">Índice de Liquides Geral</t>
  </si>
  <si>
    <t xml:space="preserve">LG</t>
  </si>
  <si>
    <t xml:space="preserve">AC + ARLP / PC +PNC </t>
  </si>
  <si>
    <t xml:space="preserve">Indicadores de Atividade</t>
  </si>
  <si>
    <t xml:space="preserve">Prazo Médio de Estocagem</t>
  </si>
  <si>
    <t xml:space="preserve">PME</t>
  </si>
  <si>
    <t xml:space="preserve">(ESTOQUE MÉDIO/CMV)*360</t>
  </si>
  <si>
    <t xml:space="preserve">Giro do Estoque</t>
  </si>
  <si>
    <t xml:space="preserve">GE</t>
  </si>
  <si>
    <t xml:space="preserve">360/PME</t>
  </si>
  <si>
    <t xml:space="preserve">Prazo Médio de Recebimento de Vendas</t>
  </si>
  <si>
    <t xml:space="preserve">PMRV</t>
  </si>
  <si>
    <t xml:space="preserve">(CLIENTES MÉDIO /RECEITA)*360</t>
  </si>
  <si>
    <t xml:space="preserve">Prazo Médio de Pagamento de Fornecedores</t>
  </si>
  <si>
    <t xml:space="preserve">PMPF</t>
  </si>
  <si>
    <t xml:space="preserve">(FORNECEDORES MÉDIO/COMPRAS)*360</t>
  </si>
  <si>
    <t xml:space="preserve">CO</t>
  </si>
  <si>
    <t xml:space="preserve">PME+PMRV</t>
  </si>
  <si>
    <t xml:space="preserve">Ciclo Financeiro </t>
  </si>
  <si>
    <t xml:space="preserve">CF</t>
  </si>
  <si>
    <t xml:space="preserve">CO-PMPF</t>
  </si>
  <si>
    <t xml:space="preserve">CE</t>
  </si>
  <si>
    <t xml:space="preserve">Indicadores de Capital de Giro</t>
  </si>
  <si>
    <t xml:space="preserve">Capital de Giro Líquido</t>
  </si>
  <si>
    <t xml:space="preserve">CDG</t>
  </si>
  <si>
    <t xml:space="preserve">CDG = AC - PC </t>
  </si>
  <si>
    <t xml:space="preserve">Saldo em Tesouraria</t>
  </si>
  <si>
    <t xml:space="preserve">ST</t>
  </si>
  <si>
    <t xml:space="preserve">ST = ACF - PCF</t>
  </si>
  <si>
    <t xml:space="preserve">Necessidade de Capital de Giro</t>
  </si>
  <si>
    <t xml:space="preserve">NCG</t>
  </si>
  <si>
    <t xml:space="preserve">NCG = ACO - PCO </t>
  </si>
  <si>
    <t xml:space="preserve">Indicadores de Estrutura de Capital</t>
  </si>
  <si>
    <t xml:space="preserve">Relação de Capital Próprio e de Terceiros </t>
  </si>
  <si>
    <t xml:space="preserve">RCPT</t>
  </si>
  <si>
    <t xml:space="preserve">PASSIVO/PL</t>
  </si>
  <si>
    <t xml:space="preserve">Endividamento Geral</t>
  </si>
  <si>
    <t xml:space="preserve">EG</t>
  </si>
  <si>
    <t xml:space="preserve">PASSIVO/PASSIVO+PL</t>
  </si>
  <si>
    <t xml:space="preserve">Solvência Geral</t>
  </si>
  <si>
    <t xml:space="preserve">SG</t>
  </si>
  <si>
    <t xml:space="preserve">ATIVO TOTAL/PASSIVO</t>
  </si>
  <si>
    <t xml:space="preserve">Composição do Endividamento</t>
  </si>
  <si>
    <t xml:space="preserve">PC/PASSIVO</t>
  </si>
  <si>
    <t xml:space="preserve">Imobilização do Patrimônio Líquido</t>
  </si>
  <si>
    <t xml:space="preserve">IPL</t>
  </si>
  <si>
    <t xml:space="preserve">ATIVOS FIXOS(3is)/PL </t>
  </si>
  <si>
    <t xml:space="preserve">Passivo Oneroso</t>
  </si>
  <si>
    <t xml:space="preserve">PO</t>
  </si>
  <si>
    <t xml:space="preserve">PASSIVOS QUE GERAM DESPESAS FINANCEIRAS </t>
  </si>
  <si>
    <t xml:space="preserve">Dívida Líquida</t>
  </si>
  <si>
    <t xml:space="preserve">DL</t>
  </si>
  <si>
    <t xml:space="preserve">PO - (DISPONÍVEL + AP. FINANCEIRA) </t>
  </si>
  <si>
    <t xml:space="preserve">Investimento</t>
  </si>
  <si>
    <t xml:space="preserve">INV</t>
  </si>
  <si>
    <t xml:space="preserve">PO + PL </t>
  </si>
  <si>
    <t xml:space="preserve">Capital Oneroso</t>
  </si>
  <si>
    <t xml:space="preserve">DÍVIDA LÍQUIDA + PL </t>
  </si>
  <si>
    <t xml:space="preserve">Relação dívida Líquida - PL </t>
  </si>
  <si>
    <t xml:space="preserve">na</t>
  </si>
  <si>
    <t xml:space="preserve">DL/PL</t>
  </si>
  <si>
    <t xml:space="preserve">Relação divida líquida e CO</t>
  </si>
  <si>
    <t xml:space="preserve">DÍVIDA LÍQUIDA /dívida líquida +  PL </t>
  </si>
  <si>
    <t xml:space="preserve">Indicadores de Custo do Capital</t>
  </si>
  <si>
    <t xml:space="preserve">Percentual da Dívida no Investimento</t>
  </si>
  <si>
    <t xml:space="preserve">Wi</t>
  </si>
  <si>
    <t xml:space="preserve">PO/Investimento </t>
  </si>
  <si>
    <t xml:space="preserve">Percentual da Equity no Investimento</t>
  </si>
  <si>
    <t xml:space="preserve">We</t>
  </si>
  <si>
    <t xml:space="preserve">PL/Investimento </t>
  </si>
  <si>
    <t xml:space="preserve">Despesa Financeira Líquida</t>
  </si>
  <si>
    <t xml:space="preserve">DFL</t>
  </si>
  <si>
    <t xml:space="preserve">DF - BENEFÍCIO TRIBUTÁRIO </t>
  </si>
  <si>
    <t xml:space="preserve">Benefício Tributário da Dívida</t>
  </si>
  <si>
    <t xml:space="preserve">BT</t>
  </si>
  <si>
    <t xml:space="preserve">DESPESA FINANCEIRA X ALÍQUOTA IR/CSLL</t>
  </si>
  <si>
    <t xml:space="preserve">Aliquota Efetiva IR/CSLL</t>
  </si>
  <si>
    <t xml:space="preserve">% IR</t>
  </si>
  <si>
    <t xml:space="preserve">PROVISÃO IR/CSLL / LAIR </t>
  </si>
  <si>
    <t xml:space="preserve">Custo da Dívida</t>
  </si>
  <si>
    <t xml:space="preserve">Ki</t>
  </si>
  <si>
    <t xml:space="preserve">Despesa financeira / PO</t>
  </si>
  <si>
    <t xml:space="preserve">Custo Médio Ponderado de Capital</t>
  </si>
  <si>
    <t xml:space="preserve">CMPC</t>
  </si>
  <si>
    <t xml:space="preserve">Wi x Ki + We x Ke</t>
  </si>
  <si>
    <t xml:space="preserve">Indicadores de Lucratividade e Rentabilidade</t>
  </si>
  <si>
    <t xml:space="preserve">Margem Bruta</t>
  </si>
  <si>
    <t xml:space="preserve">MB</t>
  </si>
  <si>
    <t xml:space="preserve">LUCRO BRUTO/RECEITA LÍQUIDA</t>
  </si>
  <si>
    <t xml:space="preserve">EBITDA </t>
  </si>
  <si>
    <t xml:space="preserve">LUCRO OPERACIONAL + DESPESAS  DEPRECIAÇÃO / AMORTIZAÇÃO </t>
  </si>
  <si>
    <t xml:space="preserve">Margem EBITDA </t>
  </si>
  <si>
    <t xml:space="preserve">% EBITDA </t>
  </si>
  <si>
    <t xml:space="preserve">EBITDA/RECEITA LÍQUIDA</t>
  </si>
  <si>
    <t xml:space="preserve">EBIT </t>
  </si>
  <si>
    <t xml:space="preserve">LUCRO OPERACIONAL</t>
  </si>
  <si>
    <t xml:space="preserve">Margem EBIT </t>
  </si>
  <si>
    <t xml:space="preserve">% EBIT </t>
  </si>
  <si>
    <t xml:space="preserve">EBIT/RECEITA LÍQUIDA</t>
  </si>
  <si>
    <t xml:space="preserve">NOPAT </t>
  </si>
  <si>
    <t xml:space="preserve">LUCRO OPERACIONAL - IR/CSLL</t>
  </si>
  <si>
    <t xml:space="preserve">Margem NOPAT </t>
  </si>
  <si>
    <t xml:space="preserve">% NOPAT </t>
  </si>
  <si>
    <t xml:space="preserve">NOPAT/RECEITA LÍQUIDA</t>
  </si>
  <si>
    <t xml:space="preserve">Margem Líquida</t>
  </si>
  <si>
    <t xml:space="preserve">ML</t>
  </si>
  <si>
    <t xml:space="preserve">LUCRO LÍQUIDO/RECEITA LÍQUIDA</t>
  </si>
  <si>
    <t xml:space="preserve">Retorno sobre o Investimento</t>
  </si>
  <si>
    <t xml:space="preserve">ROI </t>
  </si>
  <si>
    <t xml:space="preserve">NOPAT/INVESTIMENTO </t>
  </si>
  <si>
    <t xml:space="preserve">Retorno sobre o Equity (PL)</t>
  </si>
  <si>
    <t xml:space="preserve">ROE</t>
  </si>
  <si>
    <t xml:space="preserve">LUCRO LÍQUIDO / PL </t>
  </si>
  <si>
    <t xml:space="preserve">Grau de Alavancagem Financeira</t>
  </si>
  <si>
    <t xml:space="preserve">GAF</t>
  </si>
  <si>
    <t xml:space="preserve">ROE/ROI </t>
  </si>
  <si>
    <t xml:space="preserve">Indicadores de Valor Agregado</t>
  </si>
  <si>
    <t xml:space="preserve">Valor Econômico Adicionado </t>
  </si>
  <si>
    <t xml:space="preserve">EVA</t>
  </si>
  <si>
    <t xml:space="preserve">(ROI - CMPC) x Investimento</t>
  </si>
  <si>
    <t xml:space="preserve">ROI Residual</t>
  </si>
  <si>
    <t xml:space="preserve">RROI</t>
  </si>
  <si>
    <t xml:space="preserve">ROI - CMPC </t>
  </si>
  <si>
    <t xml:space="preserve">EVA/CMPC </t>
  </si>
  <si>
    <t xml:space="preserve">Indicadores de Múltiplos</t>
  </si>
  <si>
    <t xml:space="preserve">Nº de ações</t>
  </si>
  <si>
    <t xml:space="preserve">Achar no site do RI da empresa</t>
  </si>
  <si>
    <t xml:space="preserve">Valor Patrimonial das Ações</t>
  </si>
  <si>
    <t xml:space="preserve">VPA</t>
  </si>
  <si>
    <t xml:space="preserve">PL / Número de Ações </t>
  </si>
  <si>
    <t xml:space="preserve">Preço Atual da ação </t>
  </si>
  <si>
    <t xml:space="preserve">Preço </t>
  </si>
  <si>
    <t xml:space="preserve">Achar em sites tipos Investidor 10, Suno etc</t>
  </si>
  <si>
    <t xml:space="preserve">Indicador Preço/Valor Patrimonial</t>
  </si>
  <si>
    <t xml:space="preserve">P/VP</t>
  </si>
  <si>
    <t xml:space="preserve">Preço/VPA</t>
  </si>
  <si>
    <t xml:space="preserve">Price to book </t>
  </si>
  <si>
    <t xml:space="preserve">na </t>
  </si>
  <si>
    <t xml:space="preserve">Market cap/PL</t>
  </si>
  <si>
    <t xml:space="preserve">Lucro por Ação</t>
  </si>
  <si>
    <t xml:space="preserve">LPA</t>
  </si>
  <si>
    <t xml:space="preserve">Lucro líquido/ Nº de ações </t>
  </si>
  <si>
    <t xml:space="preserve">Indicador Preço/Lucro</t>
  </si>
  <si>
    <t xml:space="preserve">P/L </t>
  </si>
  <si>
    <t xml:space="preserve">Valor da ação/LPA</t>
  </si>
  <si>
    <t xml:space="preserve">Capitalização da Empresa</t>
  </si>
  <si>
    <t xml:space="preserve">Market cap </t>
  </si>
  <si>
    <t xml:space="preserve">Número de ações x preço da ação</t>
  </si>
  <si>
    <t xml:space="preserve">Dividendos Totais Pagos</t>
  </si>
  <si>
    <t xml:space="preserve">DTP</t>
  </si>
  <si>
    <t xml:space="preserve">Ver na DFC </t>
  </si>
  <si>
    <t xml:space="preserve">Dividendos por Ação</t>
  </si>
  <si>
    <t xml:space="preserve">DPA</t>
  </si>
  <si>
    <t xml:space="preserve">Dividendos/Nº de ações </t>
  </si>
  <si>
    <t xml:space="preserve">Dividend Yield</t>
  </si>
  <si>
    <t xml:space="preserve">DY</t>
  </si>
  <si>
    <t xml:space="preserve">DPA/preço atual da ação </t>
  </si>
  <si>
    <t xml:space="preserve">Payout</t>
  </si>
  <si>
    <t xml:space="preserve">DPA/LPA</t>
  </si>
  <si>
    <t xml:space="preserve">Ganho de Capital com ações</t>
  </si>
  <si>
    <t xml:space="preserve">Δ Preço</t>
  </si>
  <si>
    <t xml:space="preserve">Preço atual da ação - Preço que eu paguei pela ação (Δ Início e fim de 2025)</t>
  </si>
  <si>
    <t xml:space="preserve">Retorno com Ganhos de Capital</t>
  </si>
  <si>
    <t xml:space="preserve">Δ Preço / Preço que eu paguei pela ação (Preço início de 2024)</t>
  </si>
  <si>
    <t xml:space="preserve">Taxa de Retorno Total da Ação</t>
  </si>
  <si>
    <t xml:space="preserve">TRA</t>
  </si>
  <si>
    <t xml:space="preserve">(DPA+ Δ Preço)/Preço que eu paguei pela ação (Preço início de 2024)</t>
  </si>
  <si>
    <t xml:space="preserve">Entrerprise Value (Valor da Firma)</t>
  </si>
  <si>
    <t xml:space="preserve">EV</t>
  </si>
  <si>
    <t xml:space="preserve">Market cap + Dívida Líquida</t>
  </si>
  <si>
    <t xml:space="preserve">EV/Ebitda</t>
  </si>
  <si>
    <t xml:space="preserve">EV/Receita</t>
  </si>
  <si>
    <t xml:space="preserve">Earning Yield</t>
  </si>
  <si>
    <t xml:space="preserve">EY</t>
  </si>
  <si>
    <t xml:space="preserve">Ebitda/EV</t>
  </si>
  <si>
    <t xml:space="preserve">* na - Não existe sigla para esse indicador</t>
  </si>
  <si>
    <t xml:space="preserve">DRE Gerencial </t>
  </si>
  <si>
    <t xml:space="preserve">Receita Líquida</t>
  </si>
  <si>
    <t xml:space="preserve">Lucro Bruto</t>
  </si>
  <si>
    <t xml:space="preserve">EBIT</t>
  </si>
  <si>
    <t xml:space="preserve">EBITDA</t>
  </si>
  <si>
    <t xml:space="preserve">NOPAT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</si>
</sst>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_(\$* #,##0.00_);_(\$* \(#,##0.00\);_(\$* \-??_);_(@_)"/>
    <numFmt numFmtId="167" formatCode="_-&quot;R$ &quot;* #,##0.00_-;&quot;-R$ &quot;* #,##0.00_-;_-&quot;R$ &quot;* \-??_-;_-@_-"/>
    <numFmt numFmtId="168" formatCode="0.00"/>
    <numFmt numFmtId="169" formatCode="General"/>
    <numFmt numFmtId="170" formatCode="0.0000000"/>
    <numFmt numFmtId="171" formatCode="0.0000"/>
    <numFmt numFmtId="172" formatCode="#,##0"/>
    <numFmt numFmtId="173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0"/>
      <color theme="1"/>
      <name val="Arial Unicode M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3" tint="0.7999"/>
        <bgColor rgb="FFF2DCDB"/>
      </patternFill>
    </fill>
    <fill>
      <patternFill patternType="solid">
        <fgColor theme="5" tint="0.7999"/>
        <bgColor rgb="FFC6D9F1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2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4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4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83203125" defaultRowHeight="15" zeroHeight="false" outlineLevelRow="0" outlineLevelCol="0"/>
  <cols>
    <col collapsed="false" customWidth="true" hidden="false" outlineLevel="0" max="4" min="4" style="0" width="14"/>
    <col collapsed="false" customWidth="true" hidden="false" outlineLevel="0" max="5" min="5" style="0" width="14.16"/>
    <col collapsed="false" customWidth="true" hidden="false" outlineLevel="0" max="7" min="7" style="0" width="69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5654830</v>
      </c>
      <c r="B2" s="0" t="s">
        <v>9</v>
      </c>
      <c r="C2" s="0" t="s">
        <v>10</v>
      </c>
      <c r="D2" s="2" t="n">
        <v>45291</v>
      </c>
      <c r="E2" s="2" t="n">
        <v>45291</v>
      </c>
      <c r="F2" s="3" t="s">
        <v>11</v>
      </c>
      <c r="G2" s="3" t="s">
        <v>12</v>
      </c>
      <c r="H2" s="0" t="n">
        <v>20490638</v>
      </c>
      <c r="I2" s="3" t="s">
        <v>13</v>
      </c>
    </row>
    <row r="3" customFormat="false" ht="15" hidden="false" customHeight="false" outlineLevel="0" collapsed="false">
      <c r="A3" s="0" t="n">
        <v>5654831</v>
      </c>
      <c r="B3" s="0" t="s">
        <v>9</v>
      </c>
      <c r="C3" s="0" t="s">
        <v>10</v>
      </c>
      <c r="D3" s="2" t="n">
        <v>45291</v>
      </c>
      <c r="E3" s="2" t="n">
        <v>45291</v>
      </c>
      <c r="F3" s="3" t="s">
        <v>14</v>
      </c>
      <c r="G3" s="3" t="s">
        <v>15</v>
      </c>
      <c r="H3" s="0" t="n">
        <v>12191644</v>
      </c>
      <c r="I3" s="3" t="s">
        <v>13</v>
      </c>
    </row>
    <row r="4" customFormat="false" ht="15" hidden="false" customHeight="false" outlineLevel="0" collapsed="false">
      <c r="A4" s="0" t="n">
        <v>5654832</v>
      </c>
      <c r="B4" s="0" t="s">
        <v>9</v>
      </c>
      <c r="C4" s="0" t="s">
        <v>10</v>
      </c>
      <c r="D4" s="2" t="n">
        <v>45291</v>
      </c>
      <c r="E4" s="2" t="n">
        <v>45291</v>
      </c>
      <c r="F4" s="3" t="s">
        <v>16</v>
      </c>
      <c r="G4" s="3" t="s">
        <v>17</v>
      </c>
      <c r="H4" s="0" t="n">
        <v>2532187</v>
      </c>
      <c r="I4" s="3" t="s">
        <v>13</v>
      </c>
    </row>
    <row r="5" customFormat="false" ht="15" hidden="false" customHeight="false" outlineLevel="0" collapsed="false">
      <c r="A5" s="0" t="n">
        <v>5654833</v>
      </c>
      <c r="B5" s="0" t="s">
        <v>9</v>
      </c>
      <c r="C5" s="0" t="s">
        <v>10</v>
      </c>
      <c r="D5" s="2" t="n">
        <v>45291</v>
      </c>
      <c r="E5" s="2" t="n">
        <v>45291</v>
      </c>
      <c r="F5" s="3" t="s">
        <v>18</v>
      </c>
      <c r="G5" s="3" t="s">
        <v>19</v>
      </c>
      <c r="H5" s="0" t="n">
        <v>571655</v>
      </c>
      <c r="I5" s="3" t="s">
        <v>13</v>
      </c>
    </row>
    <row r="6" customFormat="false" ht="15" hidden="false" customHeight="false" outlineLevel="0" collapsed="false">
      <c r="A6" s="0" t="n">
        <v>5654834</v>
      </c>
      <c r="B6" s="0" t="s">
        <v>9</v>
      </c>
      <c r="C6" s="0" t="s">
        <v>10</v>
      </c>
      <c r="D6" s="2" t="n">
        <v>45291</v>
      </c>
      <c r="E6" s="2" t="n">
        <v>45291</v>
      </c>
      <c r="F6" s="3" t="s">
        <v>20</v>
      </c>
      <c r="G6" s="3" t="s">
        <v>21</v>
      </c>
      <c r="H6" s="0" t="n">
        <v>571655</v>
      </c>
      <c r="I6" s="3" t="s">
        <v>13</v>
      </c>
    </row>
    <row r="7" customFormat="false" ht="15" hidden="false" customHeight="false" outlineLevel="0" collapsed="false">
      <c r="A7" s="0" t="n">
        <v>5654835</v>
      </c>
      <c r="B7" s="0" t="s">
        <v>9</v>
      </c>
      <c r="C7" s="0" t="s">
        <v>10</v>
      </c>
      <c r="D7" s="2" t="n">
        <v>45291</v>
      </c>
      <c r="E7" s="2" t="n">
        <v>45291</v>
      </c>
      <c r="F7" s="3" t="s">
        <v>22</v>
      </c>
      <c r="G7" s="3" t="s">
        <v>23</v>
      </c>
      <c r="H7" s="0" t="n">
        <v>0</v>
      </c>
      <c r="I7" s="3" t="s">
        <v>13</v>
      </c>
    </row>
    <row r="8" customFormat="false" ht="15" hidden="false" customHeight="false" outlineLevel="0" collapsed="false">
      <c r="A8" s="0" t="n">
        <v>5654836</v>
      </c>
      <c r="B8" s="0" t="s">
        <v>9</v>
      </c>
      <c r="C8" s="0" t="s">
        <v>10</v>
      </c>
      <c r="D8" s="2" t="n">
        <v>45291</v>
      </c>
      <c r="E8" s="2" t="n">
        <v>45291</v>
      </c>
      <c r="F8" s="3" t="s">
        <v>24</v>
      </c>
      <c r="G8" s="3" t="s">
        <v>25</v>
      </c>
      <c r="H8" s="0" t="n">
        <v>571655</v>
      </c>
      <c r="I8" s="3" t="s">
        <v>13</v>
      </c>
    </row>
    <row r="9" customFormat="false" ht="15" hidden="false" customHeight="false" outlineLevel="0" collapsed="false">
      <c r="A9" s="0" t="n">
        <v>5654837</v>
      </c>
      <c r="B9" s="0" t="s">
        <v>9</v>
      </c>
      <c r="C9" s="0" t="s">
        <v>10</v>
      </c>
      <c r="D9" s="2" t="n">
        <v>45291</v>
      </c>
      <c r="E9" s="2" t="n">
        <v>45291</v>
      </c>
      <c r="F9" s="3" t="s">
        <v>26</v>
      </c>
      <c r="G9" s="3" t="s">
        <v>27</v>
      </c>
      <c r="H9" s="0" t="n">
        <v>0</v>
      </c>
      <c r="I9" s="3" t="s">
        <v>13</v>
      </c>
    </row>
    <row r="10" customFormat="false" ht="15" hidden="false" customHeight="false" outlineLevel="0" collapsed="false">
      <c r="A10" s="0" t="n">
        <v>5654838</v>
      </c>
      <c r="B10" s="0" t="s">
        <v>9</v>
      </c>
      <c r="C10" s="0" t="s">
        <v>10</v>
      </c>
      <c r="D10" s="2" t="n">
        <v>45291</v>
      </c>
      <c r="E10" s="2" t="n">
        <v>45291</v>
      </c>
      <c r="F10" s="3" t="s">
        <v>28</v>
      </c>
      <c r="G10" s="3" t="s">
        <v>29</v>
      </c>
      <c r="H10" s="0" t="n">
        <v>0</v>
      </c>
      <c r="I10" s="3" t="s">
        <v>13</v>
      </c>
    </row>
    <row r="11" customFormat="false" ht="15" hidden="false" customHeight="false" outlineLevel="0" collapsed="false">
      <c r="A11" s="0" t="n">
        <v>5654839</v>
      </c>
      <c r="B11" s="0" t="s">
        <v>9</v>
      </c>
      <c r="C11" s="0" t="s">
        <v>10</v>
      </c>
      <c r="D11" s="2" t="n">
        <v>45291</v>
      </c>
      <c r="E11" s="2" t="n">
        <v>45291</v>
      </c>
      <c r="F11" s="3" t="s">
        <v>30</v>
      </c>
      <c r="G11" s="3" t="s">
        <v>31</v>
      </c>
      <c r="H11" s="0" t="n">
        <v>6639188</v>
      </c>
      <c r="I11" s="3" t="s">
        <v>13</v>
      </c>
    </row>
    <row r="12" customFormat="false" ht="15" hidden="false" customHeight="false" outlineLevel="0" collapsed="false">
      <c r="A12" s="0" t="n">
        <v>5654840</v>
      </c>
      <c r="B12" s="0" t="s">
        <v>9</v>
      </c>
      <c r="C12" s="0" t="s">
        <v>10</v>
      </c>
      <c r="D12" s="2" t="n">
        <v>45291</v>
      </c>
      <c r="E12" s="2" t="n">
        <v>45291</v>
      </c>
      <c r="F12" s="3" t="s">
        <v>32</v>
      </c>
      <c r="G12" s="3" t="s">
        <v>33</v>
      </c>
      <c r="H12" s="0" t="n">
        <v>6639188</v>
      </c>
      <c r="I12" s="3" t="s">
        <v>13</v>
      </c>
    </row>
    <row r="13" customFormat="false" ht="15" hidden="false" customHeight="false" outlineLevel="0" collapsed="false">
      <c r="A13" s="0" t="n">
        <v>5654841</v>
      </c>
      <c r="B13" s="0" t="s">
        <v>9</v>
      </c>
      <c r="C13" s="0" t="s">
        <v>10</v>
      </c>
      <c r="D13" s="2" t="n">
        <v>45291</v>
      </c>
      <c r="E13" s="2" t="n">
        <v>45291</v>
      </c>
      <c r="F13" s="3" t="s">
        <v>34</v>
      </c>
      <c r="G13" s="3" t="s">
        <v>35</v>
      </c>
      <c r="H13" s="0" t="n">
        <v>0</v>
      </c>
      <c r="I13" s="3" t="s">
        <v>13</v>
      </c>
    </row>
    <row r="14" customFormat="false" ht="15" hidden="false" customHeight="false" outlineLevel="0" collapsed="false">
      <c r="A14" s="0" t="n">
        <v>5654842</v>
      </c>
      <c r="B14" s="0" t="s">
        <v>9</v>
      </c>
      <c r="C14" s="0" t="s">
        <v>10</v>
      </c>
      <c r="D14" s="2" t="n">
        <v>45291</v>
      </c>
      <c r="E14" s="2" t="n">
        <v>45291</v>
      </c>
      <c r="F14" s="3" t="s">
        <v>36</v>
      </c>
      <c r="G14" s="3" t="s">
        <v>37</v>
      </c>
      <c r="H14" s="0" t="n">
        <v>1774209</v>
      </c>
      <c r="I14" s="3" t="s">
        <v>13</v>
      </c>
    </row>
    <row r="15" customFormat="false" ht="15" hidden="false" customHeight="false" outlineLevel="0" collapsed="false">
      <c r="A15" s="0" t="n">
        <v>5654843</v>
      </c>
      <c r="B15" s="0" t="s">
        <v>9</v>
      </c>
      <c r="C15" s="0" t="s">
        <v>10</v>
      </c>
      <c r="D15" s="2" t="n">
        <v>45291</v>
      </c>
      <c r="E15" s="2" t="n">
        <v>45291</v>
      </c>
      <c r="F15" s="3" t="s">
        <v>38</v>
      </c>
      <c r="G15" s="3" t="s">
        <v>39</v>
      </c>
      <c r="H15" s="0" t="n">
        <v>0</v>
      </c>
      <c r="I15" s="3" t="s">
        <v>13</v>
      </c>
    </row>
    <row r="16" customFormat="false" ht="15" hidden="false" customHeight="false" outlineLevel="0" collapsed="false">
      <c r="A16" s="0" t="n">
        <v>5654844</v>
      </c>
      <c r="B16" s="0" t="s">
        <v>9</v>
      </c>
      <c r="C16" s="0" t="s">
        <v>10</v>
      </c>
      <c r="D16" s="2" t="n">
        <v>45291</v>
      </c>
      <c r="E16" s="2" t="n">
        <v>45291</v>
      </c>
      <c r="F16" s="3" t="s">
        <v>40</v>
      </c>
      <c r="G16" s="3" t="s">
        <v>41</v>
      </c>
      <c r="H16" s="0" t="n">
        <v>546172</v>
      </c>
      <c r="I16" s="3" t="s">
        <v>13</v>
      </c>
    </row>
    <row r="17" customFormat="false" ht="15" hidden="false" customHeight="false" outlineLevel="0" collapsed="false">
      <c r="A17" s="0" t="n">
        <v>5654845</v>
      </c>
      <c r="B17" s="0" t="s">
        <v>9</v>
      </c>
      <c r="C17" s="0" t="s">
        <v>10</v>
      </c>
      <c r="D17" s="2" t="n">
        <v>45291</v>
      </c>
      <c r="E17" s="2" t="n">
        <v>45291</v>
      </c>
      <c r="F17" s="3" t="s">
        <v>42</v>
      </c>
      <c r="G17" s="3" t="s">
        <v>43</v>
      </c>
      <c r="H17" s="0" t="n">
        <v>546172</v>
      </c>
      <c r="I17" s="3" t="s">
        <v>13</v>
      </c>
    </row>
    <row r="18" customFormat="false" ht="15" hidden="false" customHeight="false" outlineLevel="0" collapsed="false">
      <c r="A18" s="0" t="n">
        <v>5654846</v>
      </c>
      <c r="B18" s="0" t="s">
        <v>9</v>
      </c>
      <c r="C18" s="0" t="s">
        <v>10</v>
      </c>
      <c r="D18" s="2" t="n">
        <v>45291</v>
      </c>
      <c r="E18" s="2" t="n">
        <v>45291</v>
      </c>
      <c r="F18" s="3" t="s">
        <v>44</v>
      </c>
      <c r="G18" s="3" t="s">
        <v>45</v>
      </c>
      <c r="H18" s="0" t="n">
        <v>0</v>
      </c>
      <c r="I18" s="3" t="s">
        <v>13</v>
      </c>
    </row>
    <row r="19" customFormat="false" ht="15" hidden="false" customHeight="false" outlineLevel="0" collapsed="false">
      <c r="A19" s="0" t="n">
        <v>5654847</v>
      </c>
      <c r="B19" s="0" t="s">
        <v>9</v>
      </c>
      <c r="C19" s="0" t="s">
        <v>10</v>
      </c>
      <c r="D19" s="2" t="n">
        <v>45291</v>
      </c>
      <c r="E19" s="2" t="n">
        <v>45291</v>
      </c>
      <c r="F19" s="3" t="s">
        <v>46</v>
      </c>
      <c r="G19" s="3" t="s">
        <v>47</v>
      </c>
      <c r="H19" s="0" t="n">
        <v>128233</v>
      </c>
      <c r="I19" s="3" t="s">
        <v>13</v>
      </c>
    </row>
    <row r="20" customFormat="false" ht="15" hidden="false" customHeight="false" outlineLevel="0" collapsed="false">
      <c r="A20" s="0" t="n">
        <v>5654848</v>
      </c>
      <c r="B20" s="0" t="s">
        <v>9</v>
      </c>
      <c r="C20" s="0" t="s">
        <v>10</v>
      </c>
      <c r="D20" s="2" t="n">
        <v>45291</v>
      </c>
      <c r="E20" s="2" t="n">
        <v>45291</v>
      </c>
      <c r="F20" s="3" t="s">
        <v>48</v>
      </c>
      <c r="G20" s="3" t="s">
        <v>49</v>
      </c>
      <c r="H20" s="0" t="n">
        <v>0</v>
      </c>
      <c r="I20" s="3" t="s">
        <v>13</v>
      </c>
    </row>
    <row r="21" customFormat="false" ht="15" hidden="false" customHeight="false" outlineLevel="0" collapsed="false">
      <c r="A21" s="0" t="n">
        <v>5654849</v>
      </c>
      <c r="B21" s="0" t="s">
        <v>9</v>
      </c>
      <c r="C21" s="0" t="s">
        <v>10</v>
      </c>
      <c r="D21" s="2" t="n">
        <v>45291</v>
      </c>
      <c r="E21" s="2" t="n">
        <v>45291</v>
      </c>
      <c r="F21" s="3" t="s">
        <v>50</v>
      </c>
      <c r="G21" s="3" t="s">
        <v>51</v>
      </c>
      <c r="H21" s="0" t="n">
        <v>0</v>
      </c>
      <c r="I21" s="3" t="s">
        <v>13</v>
      </c>
    </row>
    <row r="22" customFormat="false" ht="15" hidden="false" customHeight="false" outlineLevel="0" collapsed="false">
      <c r="A22" s="0" t="n">
        <v>5654850</v>
      </c>
      <c r="B22" s="0" t="s">
        <v>9</v>
      </c>
      <c r="C22" s="0" t="s">
        <v>10</v>
      </c>
      <c r="D22" s="2" t="n">
        <v>45291</v>
      </c>
      <c r="E22" s="2" t="n">
        <v>45291</v>
      </c>
      <c r="F22" s="3" t="s">
        <v>52</v>
      </c>
      <c r="G22" s="3" t="s">
        <v>53</v>
      </c>
      <c r="H22" s="0" t="n">
        <v>128233</v>
      </c>
      <c r="I22" s="3" t="s">
        <v>13</v>
      </c>
    </row>
    <row r="23" customFormat="false" ht="15" hidden="false" customHeight="false" outlineLevel="0" collapsed="false">
      <c r="A23" s="0" t="n">
        <v>5654851</v>
      </c>
      <c r="B23" s="0" t="s">
        <v>9</v>
      </c>
      <c r="C23" s="0" t="s">
        <v>10</v>
      </c>
      <c r="D23" s="2" t="n">
        <v>45291</v>
      </c>
      <c r="E23" s="2" t="n">
        <v>45291</v>
      </c>
      <c r="F23" s="3" t="s">
        <v>54</v>
      </c>
      <c r="G23" s="3" t="s">
        <v>55</v>
      </c>
      <c r="H23" s="0" t="n">
        <v>0</v>
      </c>
      <c r="I23" s="3" t="s">
        <v>13</v>
      </c>
    </row>
    <row r="24" customFormat="false" ht="15" hidden="false" customHeight="false" outlineLevel="0" collapsed="false">
      <c r="A24" s="0" t="n">
        <v>5654852</v>
      </c>
      <c r="B24" s="0" t="s">
        <v>9</v>
      </c>
      <c r="C24" s="0" t="s">
        <v>10</v>
      </c>
      <c r="D24" s="2" t="n">
        <v>45291</v>
      </c>
      <c r="E24" s="2" t="n">
        <v>45291</v>
      </c>
      <c r="F24" s="3" t="s">
        <v>56</v>
      </c>
      <c r="G24" s="3" t="s">
        <v>57</v>
      </c>
      <c r="H24" s="0" t="n">
        <v>222</v>
      </c>
      <c r="I24" s="3" t="s">
        <v>13</v>
      </c>
    </row>
    <row r="25" customFormat="false" ht="15" hidden="false" customHeight="false" outlineLevel="0" collapsed="false">
      <c r="A25" s="0" t="n">
        <v>5654853</v>
      </c>
      <c r="B25" s="0" t="s">
        <v>9</v>
      </c>
      <c r="C25" s="0" t="s">
        <v>10</v>
      </c>
      <c r="D25" s="2" t="n">
        <v>45291</v>
      </c>
      <c r="E25" s="2" t="n">
        <v>45291</v>
      </c>
      <c r="F25" s="3" t="s">
        <v>58</v>
      </c>
      <c r="G25" s="3" t="s">
        <v>59</v>
      </c>
      <c r="H25" s="0" t="n">
        <v>128011</v>
      </c>
      <c r="I25" s="3" t="s">
        <v>13</v>
      </c>
    </row>
    <row r="26" customFormat="false" ht="15" hidden="false" customHeight="false" outlineLevel="0" collapsed="false">
      <c r="A26" s="0" t="n">
        <v>5654854</v>
      </c>
      <c r="B26" s="0" t="s">
        <v>9</v>
      </c>
      <c r="C26" s="0" t="s">
        <v>10</v>
      </c>
      <c r="D26" s="2" t="n">
        <v>45291</v>
      </c>
      <c r="E26" s="2" t="n">
        <v>45291</v>
      </c>
      <c r="F26" s="3" t="s">
        <v>60</v>
      </c>
      <c r="G26" s="3" t="s">
        <v>61</v>
      </c>
      <c r="H26" s="0" t="n">
        <v>0</v>
      </c>
      <c r="I26" s="3" t="s">
        <v>13</v>
      </c>
    </row>
    <row r="27" customFormat="false" ht="15" hidden="false" customHeight="false" outlineLevel="0" collapsed="false">
      <c r="A27" s="0" t="n">
        <v>5654855</v>
      </c>
      <c r="B27" s="0" t="s">
        <v>9</v>
      </c>
      <c r="C27" s="0" t="s">
        <v>10</v>
      </c>
      <c r="D27" s="2" t="n">
        <v>45291</v>
      </c>
      <c r="E27" s="2" t="n">
        <v>45291</v>
      </c>
      <c r="F27" s="3" t="s">
        <v>62</v>
      </c>
      <c r="G27" s="3" t="s">
        <v>63</v>
      </c>
      <c r="H27" s="0" t="n">
        <v>8298994</v>
      </c>
      <c r="I27" s="3" t="s">
        <v>13</v>
      </c>
    </row>
    <row r="28" customFormat="false" ht="15" hidden="false" customHeight="false" outlineLevel="0" collapsed="false">
      <c r="A28" s="0" t="n">
        <v>5654856</v>
      </c>
      <c r="B28" s="0" t="s">
        <v>9</v>
      </c>
      <c r="C28" s="0" t="s">
        <v>10</v>
      </c>
      <c r="D28" s="2" t="n">
        <v>45291</v>
      </c>
      <c r="E28" s="2" t="n">
        <v>45291</v>
      </c>
      <c r="F28" s="3" t="s">
        <v>64</v>
      </c>
      <c r="G28" s="3" t="s">
        <v>65</v>
      </c>
      <c r="H28" s="0" t="n">
        <v>1284444</v>
      </c>
      <c r="I28" s="3" t="s">
        <v>13</v>
      </c>
    </row>
    <row r="29" customFormat="false" ht="15" hidden="false" customHeight="false" outlineLevel="0" collapsed="false">
      <c r="A29" s="0" t="n">
        <v>5654857</v>
      </c>
      <c r="B29" s="0" t="s">
        <v>9</v>
      </c>
      <c r="C29" s="0" t="s">
        <v>10</v>
      </c>
      <c r="D29" s="2" t="n">
        <v>45291</v>
      </c>
      <c r="E29" s="2" t="n">
        <v>45291</v>
      </c>
      <c r="F29" s="3" t="s">
        <v>66</v>
      </c>
      <c r="G29" s="3" t="s">
        <v>21</v>
      </c>
      <c r="H29" s="0" t="n">
        <v>0</v>
      </c>
      <c r="I29" s="3" t="s">
        <v>13</v>
      </c>
    </row>
    <row r="30" customFormat="false" ht="15" hidden="false" customHeight="false" outlineLevel="0" collapsed="false">
      <c r="A30" s="0" t="n">
        <v>5654858</v>
      </c>
      <c r="B30" s="0" t="s">
        <v>9</v>
      </c>
      <c r="C30" s="0" t="s">
        <v>10</v>
      </c>
      <c r="D30" s="2" t="n">
        <v>45291</v>
      </c>
      <c r="E30" s="2" t="n">
        <v>45291</v>
      </c>
      <c r="F30" s="3" t="s">
        <v>67</v>
      </c>
      <c r="G30" s="3" t="s">
        <v>25</v>
      </c>
      <c r="H30" s="0" t="n">
        <v>0</v>
      </c>
      <c r="I30" s="3" t="s">
        <v>13</v>
      </c>
    </row>
    <row r="31" customFormat="false" ht="15" hidden="false" customHeight="false" outlineLevel="0" collapsed="false">
      <c r="A31" s="0" t="n">
        <v>5654859</v>
      </c>
      <c r="B31" s="0" t="s">
        <v>9</v>
      </c>
      <c r="C31" s="0" t="s">
        <v>10</v>
      </c>
      <c r="D31" s="2" t="n">
        <v>45291</v>
      </c>
      <c r="E31" s="2" t="n">
        <v>45291</v>
      </c>
      <c r="F31" s="3" t="s">
        <v>68</v>
      </c>
      <c r="G31" s="3" t="s">
        <v>27</v>
      </c>
      <c r="H31" s="0" t="n">
        <v>0</v>
      </c>
      <c r="I31" s="3" t="s">
        <v>13</v>
      </c>
    </row>
    <row r="32" customFormat="false" ht="15" hidden="false" customHeight="false" outlineLevel="0" collapsed="false">
      <c r="A32" s="0" t="n">
        <v>5654860</v>
      </c>
      <c r="B32" s="0" t="s">
        <v>9</v>
      </c>
      <c r="C32" s="0" t="s">
        <v>10</v>
      </c>
      <c r="D32" s="2" t="n">
        <v>45291</v>
      </c>
      <c r="E32" s="2" t="n">
        <v>45291</v>
      </c>
      <c r="F32" s="3" t="s">
        <v>69</v>
      </c>
      <c r="G32" s="3" t="s">
        <v>29</v>
      </c>
      <c r="H32" s="0" t="n">
        <v>0</v>
      </c>
      <c r="I32" s="3" t="s">
        <v>13</v>
      </c>
    </row>
    <row r="33" customFormat="false" ht="15" hidden="false" customHeight="false" outlineLevel="0" collapsed="false">
      <c r="A33" s="0" t="n">
        <v>5654861</v>
      </c>
      <c r="B33" s="0" t="s">
        <v>9</v>
      </c>
      <c r="C33" s="0" t="s">
        <v>10</v>
      </c>
      <c r="D33" s="2" t="n">
        <v>45291</v>
      </c>
      <c r="E33" s="2" t="n">
        <v>45291</v>
      </c>
      <c r="F33" s="3" t="s">
        <v>70</v>
      </c>
      <c r="G33" s="3" t="s">
        <v>31</v>
      </c>
      <c r="H33" s="0" t="n">
        <v>0</v>
      </c>
      <c r="I33" s="3" t="s">
        <v>13</v>
      </c>
    </row>
    <row r="34" customFormat="false" ht="15" hidden="false" customHeight="false" outlineLevel="0" collapsed="false">
      <c r="A34" s="0" t="n">
        <v>5654862</v>
      </c>
      <c r="B34" s="0" t="s">
        <v>9</v>
      </c>
      <c r="C34" s="0" t="s">
        <v>10</v>
      </c>
      <c r="D34" s="2" t="n">
        <v>45291</v>
      </c>
      <c r="E34" s="2" t="n">
        <v>45291</v>
      </c>
      <c r="F34" s="3" t="s">
        <v>71</v>
      </c>
      <c r="G34" s="3" t="s">
        <v>33</v>
      </c>
      <c r="H34" s="0" t="n">
        <v>0</v>
      </c>
      <c r="I34" s="3" t="s">
        <v>13</v>
      </c>
    </row>
    <row r="35" customFormat="false" ht="15" hidden="false" customHeight="false" outlineLevel="0" collapsed="false">
      <c r="A35" s="0" t="n">
        <v>5654863</v>
      </c>
      <c r="B35" s="0" t="s">
        <v>9</v>
      </c>
      <c r="C35" s="0" t="s">
        <v>10</v>
      </c>
      <c r="D35" s="2" t="n">
        <v>45291</v>
      </c>
      <c r="E35" s="2" t="n">
        <v>45291</v>
      </c>
      <c r="F35" s="3" t="s">
        <v>72</v>
      </c>
      <c r="G35" s="3" t="s">
        <v>35</v>
      </c>
      <c r="H35" s="0" t="n">
        <v>0</v>
      </c>
      <c r="I35" s="3" t="s">
        <v>13</v>
      </c>
    </row>
    <row r="36" customFormat="false" ht="15" hidden="false" customHeight="false" outlineLevel="0" collapsed="false">
      <c r="A36" s="0" t="n">
        <v>5654864</v>
      </c>
      <c r="B36" s="0" t="s">
        <v>9</v>
      </c>
      <c r="C36" s="0" t="s">
        <v>10</v>
      </c>
      <c r="D36" s="2" t="n">
        <v>45291</v>
      </c>
      <c r="E36" s="2" t="n">
        <v>45291</v>
      </c>
      <c r="F36" s="3" t="s">
        <v>73</v>
      </c>
      <c r="G36" s="3" t="s">
        <v>37</v>
      </c>
      <c r="H36" s="0" t="n">
        <v>0</v>
      </c>
      <c r="I36" s="3" t="s">
        <v>13</v>
      </c>
    </row>
    <row r="37" customFormat="false" ht="15" hidden="false" customHeight="false" outlineLevel="0" collapsed="false">
      <c r="A37" s="0" t="n">
        <v>5654865</v>
      </c>
      <c r="B37" s="0" t="s">
        <v>9</v>
      </c>
      <c r="C37" s="0" t="s">
        <v>10</v>
      </c>
      <c r="D37" s="2" t="n">
        <v>45291</v>
      </c>
      <c r="E37" s="2" t="n">
        <v>45291</v>
      </c>
      <c r="F37" s="3" t="s">
        <v>74</v>
      </c>
      <c r="G37" s="3" t="s">
        <v>39</v>
      </c>
      <c r="H37" s="0" t="n">
        <v>0</v>
      </c>
      <c r="I37" s="3" t="s">
        <v>13</v>
      </c>
    </row>
    <row r="38" customFormat="false" ht="15" hidden="false" customHeight="false" outlineLevel="0" collapsed="false">
      <c r="A38" s="0" t="n">
        <v>5654866</v>
      </c>
      <c r="B38" s="0" t="s">
        <v>9</v>
      </c>
      <c r="C38" s="0" t="s">
        <v>10</v>
      </c>
      <c r="D38" s="2" t="n">
        <v>45291</v>
      </c>
      <c r="E38" s="2" t="n">
        <v>45291</v>
      </c>
      <c r="F38" s="3" t="s">
        <v>75</v>
      </c>
      <c r="G38" s="3" t="s">
        <v>76</v>
      </c>
      <c r="H38" s="0" t="n">
        <v>799610</v>
      </c>
      <c r="I38" s="3" t="s">
        <v>13</v>
      </c>
    </row>
    <row r="39" customFormat="false" ht="15" hidden="false" customHeight="false" outlineLevel="0" collapsed="false">
      <c r="A39" s="0" t="n">
        <v>5654867</v>
      </c>
      <c r="B39" s="0" t="s">
        <v>9</v>
      </c>
      <c r="C39" s="0" t="s">
        <v>10</v>
      </c>
      <c r="D39" s="2" t="n">
        <v>45291</v>
      </c>
      <c r="E39" s="2" t="n">
        <v>45291</v>
      </c>
      <c r="F39" s="3" t="s">
        <v>77</v>
      </c>
      <c r="G39" s="3" t="s">
        <v>78</v>
      </c>
      <c r="H39" s="0" t="n">
        <v>799610</v>
      </c>
      <c r="I39" s="3" t="s">
        <v>13</v>
      </c>
    </row>
    <row r="40" customFormat="false" ht="15" hidden="false" customHeight="false" outlineLevel="0" collapsed="false">
      <c r="A40" s="0" t="n">
        <v>5654868</v>
      </c>
      <c r="B40" s="0" t="s">
        <v>9</v>
      </c>
      <c r="C40" s="0" t="s">
        <v>10</v>
      </c>
      <c r="D40" s="2" t="n">
        <v>45291</v>
      </c>
      <c r="E40" s="2" t="n">
        <v>45291</v>
      </c>
      <c r="F40" s="3" t="s">
        <v>79</v>
      </c>
      <c r="G40" s="3" t="s">
        <v>45</v>
      </c>
      <c r="H40" s="0" t="n">
        <v>0</v>
      </c>
      <c r="I40" s="3" t="s">
        <v>13</v>
      </c>
    </row>
    <row r="41" customFormat="false" ht="15" hidden="false" customHeight="false" outlineLevel="0" collapsed="false">
      <c r="A41" s="0" t="n">
        <v>5654869</v>
      </c>
      <c r="B41" s="0" t="s">
        <v>9</v>
      </c>
      <c r="C41" s="0" t="s">
        <v>10</v>
      </c>
      <c r="D41" s="2" t="n">
        <v>45291</v>
      </c>
      <c r="E41" s="2" t="n">
        <v>45291</v>
      </c>
      <c r="F41" s="3" t="s">
        <v>80</v>
      </c>
      <c r="G41" s="3" t="s">
        <v>81</v>
      </c>
      <c r="H41" s="0" t="n">
        <v>0</v>
      </c>
      <c r="I41" s="3" t="s">
        <v>13</v>
      </c>
    </row>
    <row r="42" customFormat="false" ht="15" hidden="false" customHeight="false" outlineLevel="0" collapsed="false">
      <c r="A42" s="0" t="n">
        <v>5654870</v>
      </c>
      <c r="B42" s="0" t="s">
        <v>9</v>
      </c>
      <c r="C42" s="0" t="s">
        <v>10</v>
      </c>
      <c r="D42" s="2" t="n">
        <v>45291</v>
      </c>
      <c r="E42" s="2" t="n">
        <v>45291</v>
      </c>
      <c r="F42" s="3" t="s">
        <v>82</v>
      </c>
      <c r="G42" s="3" t="s">
        <v>83</v>
      </c>
      <c r="H42" s="0" t="n">
        <v>0</v>
      </c>
      <c r="I42" s="3" t="s">
        <v>13</v>
      </c>
    </row>
    <row r="43" customFormat="false" ht="15" hidden="false" customHeight="false" outlineLevel="0" collapsed="false">
      <c r="A43" s="0" t="n">
        <v>5654871</v>
      </c>
      <c r="B43" s="0" t="s">
        <v>9</v>
      </c>
      <c r="C43" s="0" t="s">
        <v>10</v>
      </c>
      <c r="D43" s="2" t="n">
        <v>45291</v>
      </c>
      <c r="E43" s="2" t="n">
        <v>45291</v>
      </c>
      <c r="F43" s="3" t="s">
        <v>84</v>
      </c>
      <c r="G43" s="3" t="s">
        <v>85</v>
      </c>
      <c r="H43" s="0" t="n">
        <v>0</v>
      </c>
      <c r="I43" s="3" t="s">
        <v>13</v>
      </c>
    </row>
    <row r="44" customFormat="false" ht="15" hidden="false" customHeight="false" outlineLevel="0" collapsed="false">
      <c r="A44" s="0" t="n">
        <v>5654872</v>
      </c>
      <c r="B44" s="0" t="s">
        <v>9</v>
      </c>
      <c r="C44" s="0" t="s">
        <v>10</v>
      </c>
      <c r="D44" s="2" t="n">
        <v>45291</v>
      </c>
      <c r="E44" s="2" t="n">
        <v>45291</v>
      </c>
      <c r="F44" s="3" t="s">
        <v>86</v>
      </c>
      <c r="G44" s="3" t="s">
        <v>87</v>
      </c>
      <c r="H44" s="0" t="n">
        <v>0</v>
      </c>
      <c r="I44" s="3" t="s">
        <v>13</v>
      </c>
    </row>
    <row r="45" customFormat="false" ht="15" hidden="false" customHeight="false" outlineLevel="0" collapsed="false">
      <c r="A45" s="0" t="n">
        <v>5654873</v>
      </c>
      <c r="B45" s="0" t="s">
        <v>9</v>
      </c>
      <c r="C45" s="0" t="s">
        <v>10</v>
      </c>
      <c r="D45" s="2" t="n">
        <v>45291</v>
      </c>
      <c r="E45" s="2" t="n">
        <v>45291</v>
      </c>
      <c r="F45" s="3" t="s">
        <v>88</v>
      </c>
      <c r="G45" s="3" t="s">
        <v>89</v>
      </c>
      <c r="H45" s="0" t="n">
        <v>484834</v>
      </c>
      <c r="I45" s="3" t="s">
        <v>13</v>
      </c>
    </row>
    <row r="46" customFormat="false" ht="15" hidden="false" customHeight="false" outlineLevel="0" collapsed="false">
      <c r="A46" s="0" t="n">
        <v>5654874</v>
      </c>
      <c r="B46" s="0" t="s">
        <v>9</v>
      </c>
      <c r="C46" s="0" t="s">
        <v>10</v>
      </c>
      <c r="D46" s="2" t="n">
        <v>45291</v>
      </c>
      <c r="E46" s="2" t="n">
        <v>45291</v>
      </c>
      <c r="F46" s="3" t="s">
        <v>90</v>
      </c>
      <c r="G46" s="3" t="s">
        <v>49</v>
      </c>
      <c r="H46" s="0" t="n">
        <v>0</v>
      </c>
      <c r="I46" s="3" t="s">
        <v>13</v>
      </c>
    </row>
    <row r="47" customFormat="false" ht="15" hidden="false" customHeight="false" outlineLevel="0" collapsed="false">
      <c r="A47" s="0" t="n">
        <v>5654875</v>
      </c>
      <c r="B47" s="0" t="s">
        <v>9</v>
      </c>
      <c r="C47" s="0" t="s">
        <v>10</v>
      </c>
      <c r="D47" s="2" t="n">
        <v>45291</v>
      </c>
      <c r="E47" s="2" t="n">
        <v>45291</v>
      </c>
      <c r="F47" s="3" t="s">
        <v>91</v>
      </c>
      <c r="G47" s="3" t="s">
        <v>51</v>
      </c>
      <c r="H47" s="0" t="n">
        <v>0</v>
      </c>
      <c r="I47" s="3" t="s">
        <v>13</v>
      </c>
    </row>
    <row r="48" customFormat="false" ht="15" hidden="false" customHeight="false" outlineLevel="0" collapsed="false">
      <c r="A48" s="0" t="n">
        <v>5654876</v>
      </c>
      <c r="B48" s="0" t="s">
        <v>9</v>
      </c>
      <c r="C48" s="0" t="s">
        <v>10</v>
      </c>
      <c r="D48" s="2" t="n">
        <v>45291</v>
      </c>
      <c r="E48" s="2" t="n">
        <v>45291</v>
      </c>
      <c r="F48" s="3" t="s">
        <v>92</v>
      </c>
      <c r="G48" s="3" t="s">
        <v>93</v>
      </c>
      <c r="H48" s="0" t="n">
        <v>0</v>
      </c>
      <c r="I48" s="3" t="s">
        <v>13</v>
      </c>
    </row>
    <row r="49" customFormat="false" ht="15" hidden="false" customHeight="false" outlineLevel="0" collapsed="false">
      <c r="A49" s="0" t="n">
        <v>5654877</v>
      </c>
      <c r="B49" s="0" t="s">
        <v>9</v>
      </c>
      <c r="C49" s="0" t="s">
        <v>10</v>
      </c>
      <c r="D49" s="2" t="n">
        <v>45291</v>
      </c>
      <c r="E49" s="2" t="n">
        <v>45291</v>
      </c>
      <c r="F49" s="3" t="s">
        <v>94</v>
      </c>
      <c r="G49" s="3" t="s">
        <v>95</v>
      </c>
      <c r="H49" s="0" t="n">
        <v>377111</v>
      </c>
      <c r="I49" s="3" t="s">
        <v>13</v>
      </c>
    </row>
    <row r="50" customFormat="false" ht="15" hidden="false" customHeight="false" outlineLevel="0" collapsed="false">
      <c r="A50" s="0" t="n">
        <v>5654878</v>
      </c>
      <c r="B50" s="0" t="s">
        <v>9</v>
      </c>
      <c r="C50" s="0" t="s">
        <v>10</v>
      </c>
      <c r="D50" s="2" t="n">
        <v>45291</v>
      </c>
      <c r="E50" s="2" t="n">
        <v>45291</v>
      </c>
      <c r="F50" s="3" t="s">
        <v>96</v>
      </c>
      <c r="G50" s="3" t="s">
        <v>59</v>
      </c>
      <c r="H50" s="0" t="n">
        <v>107723</v>
      </c>
      <c r="I50" s="3" t="s">
        <v>13</v>
      </c>
    </row>
    <row r="51" customFormat="false" ht="15" hidden="false" customHeight="false" outlineLevel="0" collapsed="false">
      <c r="A51" s="0" t="n">
        <v>5654879</v>
      </c>
      <c r="B51" s="0" t="s">
        <v>9</v>
      </c>
      <c r="C51" s="0" t="s">
        <v>10</v>
      </c>
      <c r="D51" s="2" t="n">
        <v>45291</v>
      </c>
      <c r="E51" s="2" t="n">
        <v>45291</v>
      </c>
      <c r="F51" s="3" t="s">
        <v>97</v>
      </c>
      <c r="G51" s="3" t="s">
        <v>55</v>
      </c>
      <c r="H51" s="0" t="n">
        <v>0</v>
      </c>
      <c r="I51" s="3" t="s">
        <v>13</v>
      </c>
    </row>
    <row r="52" customFormat="false" ht="15" hidden="false" customHeight="false" outlineLevel="0" collapsed="false">
      <c r="A52" s="0" t="n">
        <v>5654880</v>
      </c>
      <c r="B52" s="0" t="s">
        <v>9</v>
      </c>
      <c r="C52" s="0" t="s">
        <v>10</v>
      </c>
      <c r="D52" s="2" t="n">
        <v>45291</v>
      </c>
      <c r="E52" s="2" t="n">
        <v>45291</v>
      </c>
      <c r="F52" s="3" t="s">
        <v>98</v>
      </c>
      <c r="G52" s="3" t="s">
        <v>99</v>
      </c>
      <c r="H52" s="0" t="n">
        <v>25996</v>
      </c>
      <c r="I52" s="3" t="s">
        <v>13</v>
      </c>
    </row>
    <row r="53" customFormat="false" ht="15" hidden="false" customHeight="false" outlineLevel="0" collapsed="false">
      <c r="A53" s="0" t="n">
        <v>5654881</v>
      </c>
      <c r="B53" s="0" t="s">
        <v>9</v>
      </c>
      <c r="C53" s="0" t="s">
        <v>10</v>
      </c>
      <c r="D53" s="2" t="n">
        <v>45291</v>
      </c>
      <c r="E53" s="2" t="n">
        <v>45291</v>
      </c>
      <c r="F53" s="3" t="s">
        <v>100</v>
      </c>
      <c r="G53" s="3" t="s">
        <v>101</v>
      </c>
      <c r="H53" s="0" t="n">
        <v>25996</v>
      </c>
      <c r="I53" s="3" t="s">
        <v>13</v>
      </c>
    </row>
    <row r="54" customFormat="false" ht="15" hidden="false" customHeight="false" outlineLevel="0" collapsed="false">
      <c r="A54" s="0" t="n">
        <v>5654882</v>
      </c>
      <c r="B54" s="0" t="s">
        <v>9</v>
      </c>
      <c r="C54" s="0" t="s">
        <v>10</v>
      </c>
      <c r="D54" s="2" t="n">
        <v>45291</v>
      </c>
      <c r="E54" s="2" t="n">
        <v>45291</v>
      </c>
      <c r="F54" s="3" t="s">
        <v>102</v>
      </c>
      <c r="G54" s="3" t="s">
        <v>103</v>
      </c>
      <c r="H54" s="0" t="n">
        <v>0</v>
      </c>
      <c r="I54" s="3" t="s">
        <v>13</v>
      </c>
    </row>
    <row r="55" customFormat="false" ht="15" hidden="false" customHeight="false" outlineLevel="0" collapsed="false">
      <c r="A55" s="0" t="n">
        <v>5654883</v>
      </c>
      <c r="B55" s="0" t="s">
        <v>9</v>
      </c>
      <c r="C55" s="0" t="s">
        <v>10</v>
      </c>
      <c r="D55" s="2" t="n">
        <v>45291</v>
      </c>
      <c r="E55" s="2" t="n">
        <v>45291</v>
      </c>
      <c r="F55" s="3" t="s">
        <v>104</v>
      </c>
      <c r="G55" s="3" t="s">
        <v>105</v>
      </c>
      <c r="H55" s="0" t="n">
        <v>0</v>
      </c>
      <c r="I55" s="3" t="s">
        <v>13</v>
      </c>
    </row>
    <row r="56" customFormat="false" ht="15" hidden="false" customHeight="false" outlineLevel="0" collapsed="false">
      <c r="A56" s="0" t="n">
        <v>5654884</v>
      </c>
      <c r="B56" s="0" t="s">
        <v>9</v>
      </c>
      <c r="C56" s="0" t="s">
        <v>10</v>
      </c>
      <c r="D56" s="2" t="n">
        <v>45291</v>
      </c>
      <c r="E56" s="2" t="n">
        <v>45291</v>
      </c>
      <c r="F56" s="3" t="s">
        <v>106</v>
      </c>
      <c r="G56" s="3" t="s">
        <v>107</v>
      </c>
      <c r="H56" s="0" t="n">
        <v>0</v>
      </c>
      <c r="I56" s="3" t="s">
        <v>13</v>
      </c>
    </row>
    <row r="57" customFormat="false" ht="15" hidden="false" customHeight="false" outlineLevel="0" collapsed="false">
      <c r="A57" s="0" t="n">
        <v>5654885</v>
      </c>
      <c r="B57" s="0" t="s">
        <v>9</v>
      </c>
      <c r="C57" s="0" t="s">
        <v>10</v>
      </c>
      <c r="D57" s="2" t="n">
        <v>45291</v>
      </c>
      <c r="E57" s="2" t="n">
        <v>45291</v>
      </c>
      <c r="F57" s="3" t="s">
        <v>108</v>
      </c>
      <c r="G57" s="3" t="s">
        <v>109</v>
      </c>
      <c r="H57" s="0" t="n">
        <v>0</v>
      </c>
      <c r="I57" s="3" t="s">
        <v>13</v>
      </c>
    </row>
    <row r="58" customFormat="false" ht="15" hidden="false" customHeight="false" outlineLevel="0" collapsed="false">
      <c r="A58" s="0" t="n">
        <v>5654886</v>
      </c>
      <c r="B58" s="0" t="s">
        <v>9</v>
      </c>
      <c r="C58" s="0" t="s">
        <v>10</v>
      </c>
      <c r="D58" s="2" t="n">
        <v>45291</v>
      </c>
      <c r="E58" s="2" t="n">
        <v>45291</v>
      </c>
      <c r="F58" s="3" t="s">
        <v>110</v>
      </c>
      <c r="G58" s="3" t="s">
        <v>111</v>
      </c>
      <c r="H58" s="0" t="n">
        <v>5286353</v>
      </c>
      <c r="I58" s="3" t="s">
        <v>13</v>
      </c>
    </row>
    <row r="59" customFormat="false" ht="15" hidden="false" customHeight="false" outlineLevel="0" collapsed="false">
      <c r="A59" s="0" t="n">
        <v>5654887</v>
      </c>
      <c r="B59" s="0" t="s">
        <v>9</v>
      </c>
      <c r="C59" s="0" t="s">
        <v>10</v>
      </c>
      <c r="D59" s="2" t="n">
        <v>45291</v>
      </c>
      <c r="E59" s="2" t="n">
        <v>45291</v>
      </c>
      <c r="F59" s="3" t="s">
        <v>112</v>
      </c>
      <c r="G59" s="3" t="s">
        <v>113</v>
      </c>
      <c r="H59" s="0" t="n">
        <v>2803156</v>
      </c>
      <c r="I59" s="3" t="s">
        <v>13</v>
      </c>
    </row>
    <row r="60" customFormat="false" ht="15" hidden="false" customHeight="false" outlineLevel="0" collapsed="false">
      <c r="A60" s="0" t="n">
        <v>5654888</v>
      </c>
      <c r="B60" s="0" t="s">
        <v>9</v>
      </c>
      <c r="C60" s="0" t="s">
        <v>10</v>
      </c>
      <c r="D60" s="2" t="n">
        <v>45291</v>
      </c>
      <c r="E60" s="2" t="n">
        <v>45291</v>
      </c>
      <c r="F60" s="3" t="s">
        <v>114</v>
      </c>
      <c r="G60" s="3" t="s">
        <v>115</v>
      </c>
      <c r="H60" s="0" t="n">
        <v>2396687</v>
      </c>
      <c r="I60" s="3" t="s">
        <v>13</v>
      </c>
    </row>
    <row r="61" customFormat="false" ht="15" hidden="false" customHeight="false" outlineLevel="0" collapsed="false">
      <c r="A61" s="0" t="n">
        <v>5654889</v>
      </c>
      <c r="B61" s="0" t="s">
        <v>9</v>
      </c>
      <c r="C61" s="0" t="s">
        <v>10</v>
      </c>
      <c r="D61" s="2" t="n">
        <v>45291</v>
      </c>
      <c r="E61" s="2" t="n">
        <v>45291</v>
      </c>
      <c r="F61" s="3" t="s">
        <v>116</v>
      </c>
      <c r="G61" s="3" t="s">
        <v>117</v>
      </c>
      <c r="H61" s="0" t="n">
        <v>86510</v>
      </c>
      <c r="I61" s="3" t="s">
        <v>13</v>
      </c>
    </row>
    <row r="62" customFormat="false" ht="15" hidden="false" customHeight="false" outlineLevel="0" collapsed="false">
      <c r="A62" s="0" t="n">
        <v>5654890</v>
      </c>
      <c r="B62" s="0" t="s">
        <v>9</v>
      </c>
      <c r="C62" s="0" t="s">
        <v>10</v>
      </c>
      <c r="D62" s="2" t="n">
        <v>45291</v>
      </c>
      <c r="E62" s="2" t="n">
        <v>45291</v>
      </c>
      <c r="F62" s="3" t="s">
        <v>118</v>
      </c>
      <c r="G62" s="3" t="s">
        <v>119</v>
      </c>
      <c r="H62" s="0" t="n">
        <v>1702201</v>
      </c>
      <c r="I62" s="3" t="s">
        <v>13</v>
      </c>
    </row>
    <row r="63" customFormat="false" ht="15" hidden="false" customHeight="false" outlineLevel="0" collapsed="false">
      <c r="A63" s="0" t="n">
        <v>5654891</v>
      </c>
      <c r="B63" s="0" t="s">
        <v>9</v>
      </c>
      <c r="C63" s="0" t="s">
        <v>10</v>
      </c>
      <c r="D63" s="2" t="n">
        <v>45291</v>
      </c>
      <c r="E63" s="2" t="n">
        <v>45291</v>
      </c>
      <c r="F63" s="3" t="s">
        <v>120</v>
      </c>
      <c r="G63" s="3" t="s">
        <v>121</v>
      </c>
      <c r="H63" s="0" t="n">
        <v>1488746</v>
      </c>
      <c r="I63" s="3" t="s">
        <v>13</v>
      </c>
    </row>
    <row r="64" customFormat="false" ht="15" hidden="false" customHeight="false" outlineLevel="0" collapsed="false">
      <c r="A64" s="0" t="n">
        <v>5654892</v>
      </c>
      <c r="B64" s="0" t="s">
        <v>9</v>
      </c>
      <c r="C64" s="0" t="s">
        <v>10</v>
      </c>
      <c r="D64" s="2" t="n">
        <v>45291</v>
      </c>
      <c r="E64" s="2" t="n">
        <v>45291</v>
      </c>
      <c r="F64" s="3" t="s">
        <v>122</v>
      </c>
      <c r="G64" s="3" t="s">
        <v>123</v>
      </c>
      <c r="H64" s="0" t="n">
        <v>0</v>
      </c>
      <c r="I64" s="3" t="s">
        <v>13</v>
      </c>
    </row>
    <row r="65" customFormat="false" ht="15" hidden="false" customHeight="false" outlineLevel="0" collapsed="false">
      <c r="A65" s="0" t="n">
        <v>5654893</v>
      </c>
      <c r="B65" s="0" t="s">
        <v>9</v>
      </c>
      <c r="C65" s="0" t="s">
        <v>10</v>
      </c>
      <c r="D65" s="2" t="n">
        <v>45291</v>
      </c>
      <c r="E65" s="2" t="n">
        <v>45291</v>
      </c>
      <c r="F65" s="3" t="s">
        <v>124</v>
      </c>
      <c r="G65" s="3" t="s">
        <v>125</v>
      </c>
      <c r="H65" s="0" t="n">
        <v>1488746</v>
      </c>
      <c r="I65" s="3" t="s">
        <v>13</v>
      </c>
    </row>
    <row r="66" customFormat="false" ht="15" hidden="false" customHeight="false" outlineLevel="0" collapsed="false">
      <c r="A66" s="0" t="n">
        <v>5654894</v>
      </c>
      <c r="B66" s="0" t="s">
        <v>9</v>
      </c>
      <c r="C66" s="0" t="s">
        <v>10</v>
      </c>
      <c r="D66" s="2" t="n">
        <v>45291</v>
      </c>
      <c r="E66" s="2" t="n">
        <v>45291</v>
      </c>
      <c r="F66" s="3" t="s">
        <v>126</v>
      </c>
      <c r="G66" s="3" t="s">
        <v>127</v>
      </c>
      <c r="H66" s="0" t="n">
        <v>0</v>
      </c>
      <c r="I66" s="3" t="s">
        <v>13</v>
      </c>
    </row>
    <row r="67" customFormat="false" ht="15" hidden="false" customHeight="false" outlineLevel="0" collapsed="false">
      <c r="A67" s="0" t="n">
        <v>5654895</v>
      </c>
      <c r="B67" s="0" t="s">
        <v>9</v>
      </c>
      <c r="C67" s="0" t="s">
        <v>10</v>
      </c>
      <c r="D67" s="2" t="n">
        <v>45291</v>
      </c>
      <c r="E67" s="2" t="n">
        <v>45291</v>
      </c>
      <c r="F67" s="3" t="s">
        <v>128</v>
      </c>
      <c r="G67" s="3" t="s">
        <v>129</v>
      </c>
      <c r="H67" s="0" t="n">
        <v>213455</v>
      </c>
      <c r="I67" s="3" t="s">
        <v>13</v>
      </c>
    </row>
    <row r="68" customFormat="false" ht="15" hidden="false" customHeight="false" outlineLevel="0" collapsed="false">
      <c r="A68" s="0" t="n">
        <v>5654896</v>
      </c>
      <c r="B68" s="0" t="s">
        <v>9</v>
      </c>
      <c r="C68" s="0" t="s">
        <v>10</v>
      </c>
      <c r="D68" s="2" t="n">
        <v>45291</v>
      </c>
      <c r="E68" s="2" t="n">
        <v>45291</v>
      </c>
      <c r="F68" s="3" t="s">
        <v>130</v>
      </c>
      <c r="G68" s="3" t="s">
        <v>131</v>
      </c>
      <c r="H68" s="0" t="n">
        <v>20490638</v>
      </c>
      <c r="I68" s="3" t="s">
        <v>13</v>
      </c>
    </row>
    <row r="69" customFormat="false" ht="15" hidden="false" customHeight="false" outlineLevel="0" collapsed="false">
      <c r="A69" s="0" t="n">
        <v>5654897</v>
      </c>
      <c r="B69" s="0" t="s">
        <v>9</v>
      </c>
      <c r="C69" s="0" t="s">
        <v>10</v>
      </c>
      <c r="D69" s="2" t="n">
        <v>45291</v>
      </c>
      <c r="E69" s="2" t="n">
        <v>45291</v>
      </c>
      <c r="F69" s="3" t="s">
        <v>132</v>
      </c>
      <c r="G69" s="3" t="s">
        <v>133</v>
      </c>
      <c r="H69" s="0" t="n">
        <v>7492553</v>
      </c>
      <c r="I69" s="3" t="s">
        <v>13</v>
      </c>
    </row>
    <row r="70" customFormat="false" ht="15" hidden="false" customHeight="false" outlineLevel="0" collapsed="false">
      <c r="A70" s="0" t="n">
        <v>5654898</v>
      </c>
      <c r="B70" s="0" t="s">
        <v>9</v>
      </c>
      <c r="C70" s="0" t="s">
        <v>10</v>
      </c>
      <c r="D70" s="2" t="n">
        <v>45291</v>
      </c>
      <c r="E70" s="2" t="n">
        <v>45291</v>
      </c>
      <c r="F70" s="3" t="s">
        <v>134</v>
      </c>
      <c r="G70" s="3" t="s">
        <v>135</v>
      </c>
      <c r="H70" s="0" t="n">
        <v>323126</v>
      </c>
      <c r="I70" s="3" t="s">
        <v>13</v>
      </c>
    </row>
    <row r="71" customFormat="false" ht="15" hidden="false" customHeight="false" outlineLevel="0" collapsed="false">
      <c r="A71" s="0" t="n">
        <v>5654899</v>
      </c>
      <c r="B71" s="0" t="s">
        <v>9</v>
      </c>
      <c r="C71" s="0" t="s">
        <v>10</v>
      </c>
      <c r="D71" s="2" t="n">
        <v>45291</v>
      </c>
      <c r="E71" s="2" t="n">
        <v>45291</v>
      </c>
      <c r="F71" s="3" t="s">
        <v>136</v>
      </c>
      <c r="G71" s="3" t="s">
        <v>137</v>
      </c>
      <c r="H71" s="0" t="n">
        <v>103178</v>
      </c>
      <c r="I71" s="3" t="s">
        <v>13</v>
      </c>
    </row>
    <row r="72" customFormat="false" ht="15" hidden="false" customHeight="false" outlineLevel="0" collapsed="false">
      <c r="A72" s="0" t="n">
        <v>5654900</v>
      </c>
      <c r="B72" s="0" t="s">
        <v>9</v>
      </c>
      <c r="C72" s="0" t="s">
        <v>10</v>
      </c>
      <c r="D72" s="2" t="n">
        <v>45291</v>
      </c>
      <c r="E72" s="2" t="n">
        <v>45291</v>
      </c>
      <c r="F72" s="3" t="s">
        <v>138</v>
      </c>
      <c r="G72" s="3" t="s">
        <v>139</v>
      </c>
      <c r="H72" s="0" t="n">
        <v>103178</v>
      </c>
      <c r="I72" s="3" t="s">
        <v>13</v>
      </c>
    </row>
    <row r="73" customFormat="false" ht="15" hidden="false" customHeight="false" outlineLevel="0" collapsed="false">
      <c r="A73" s="0" t="n">
        <v>5654901</v>
      </c>
      <c r="B73" s="0" t="s">
        <v>9</v>
      </c>
      <c r="C73" s="0" t="s">
        <v>10</v>
      </c>
      <c r="D73" s="2" t="n">
        <v>45291</v>
      </c>
      <c r="E73" s="2" t="n">
        <v>45291</v>
      </c>
      <c r="F73" s="3" t="s">
        <v>140</v>
      </c>
      <c r="G73" s="3" t="s">
        <v>141</v>
      </c>
      <c r="H73" s="0" t="n">
        <v>219948</v>
      </c>
      <c r="I73" s="3" t="s">
        <v>13</v>
      </c>
    </row>
    <row r="74" customFormat="false" ht="15" hidden="false" customHeight="false" outlineLevel="0" collapsed="false">
      <c r="A74" s="0" t="n">
        <v>5654902</v>
      </c>
      <c r="B74" s="0" t="s">
        <v>9</v>
      </c>
      <c r="C74" s="0" t="s">
        <v>10</v>
      </c>
      <c r="D74" s="2" t="n">
        <v>45291</v>
      </c>
      <c r="E74" s="2" t="n">
        <v>45291</v>
      </c>
      <c r="F74" s="3" t="s">
        <v>142</v>
      </c>
      <c r="G74" s="3" t="s">
        <v>143</v>
      </c>
      <c r="H74" s="0" t="n">
        <v>219948</v>
      </c>
      <c r="I74" s="3" t="s">
        <v>13</v>
      </c>
    </row>
    <row r="75" customFormat="false" ht="15" hidden="false" customHeight="false" outlineLevel="0" collapsed="false">
      <c r="A75" s="0" t="n">
        <v>5654903</v>
      </c>
      <c r="B75" s="0" t="s">
        <v>9</v>
      </c>
      <c r="C75" s="0" t="s">
        <v>10</v>
      </c>
      <c r="D75" s="2" t="n">
        <v>45291</v>
      </c>
      <c r="E75" s="2" t="n">
        <v>45291</v>
      </c>
      <c r="F75" s="3" t="s">
        <v>144</v>
      </c>
      <c r="G75" s="3" t="s">
        <v>145</v>
      </c>
      <c r="H75" s="0" t="n">
        <v>1790290</v>
      </c>
      <c r="I75" s="3" t="s">
        <v>13</v>
      </c>
    </row>
    <row r="76" customFormat="false" ht="15" hidden="false" customHeight="false" outlineLevel="0" collapsed="false">
      <c r="A76" s="0" t="n">
        <v>5654904</v>
      </c>
      <c r="B76" s="0" t="s">
        <v>9</v>
      </c>
      <c r="C76" s="0" t="s">
        <v>10</v>
      </c>
      <c r="D76" s="2" t="n">
        <v>45291</v>
      </c>
      <c r="E76" s="2" t="n">
        <v>45291</v>
      </c>
      <c r="F76" s="3" t="s">
        <v>146</v>
      </c>
      <c r="G76" s="3" t="s">
        <v>147</v>
      </c>
      <c r="H76" s="0" t="n">
        <v>1539898</v>
      </c>
      <c r="I76" s="3" t="s">
        <v>13</v>
      </c>
    </row>
    <row r="77" customFormat="false" ht="15" hidden="false" customHeight="false" outlineLevel="0" collapsed="false">
      <c r="A77" s="0" t="n">
        <v>5654905</v>
      </c>
      <c r="B77" s="0" t="s">
        <v>9</v>
      </c>
      <c r="C77" s="0" t="s">
        <v>10</v>
      </c>
      <c r="D77" s="2" t="n">
        <v>45291</v>
      </c>
      <c r="E77" s="2" t="n">
        <v>45291</v>
      </c>
      <c r="F77" s="3" t="s">
        <v>148</v>
      </c>
      <c r="G77" s="3" t="s">
        <v>147</v>
      </c>
      <c r="H77" s="0" t="n">
        <v>1539898</v>
      </c>
      <c r="I77" s="3" t="s">
        <v>13</v>
      </c>
    </row>
    <row r="78" customFormat="false" ht="15" hidden="false" customHeight="false" outlineLevel="0" collapsed="false">
      <c r="A78" s="0" t="n">
        <v>5654906</v>
      </c>
      <c r="B78" s="0" t="s">
        <v>9</v>
      </c>
      <c r="C78" s="0" t="s">
        <v>10</v>
      </c>
      <c r="D78" s="2" t="n">
        <v>45291</v>
      </c>
      <c r="E78" s="2" t="n">
        <v>45291</v>
      </c>
      <c r="F78" s="3" t="s">
        <v>149</v>
      </c>
      <c r="G78" s="3" t="s">
        <v>150</v>
      </c>
      <c r="H78" s="0" t="n">
        <v>0</v>
      </c>
      <c r="I78" s="3" t="s">
        <v>13</v>
      </c>
    </row>
    <row r="79" customFormat="false" ht="15" hidden="false" customHeight="false" outlineLevel="0" collapsed="false">
      <c r="A79" s="0" t="n">
        <v>5654907</v>
      </c>
      <c r="B79" s="0" t="s">
        <v>9</v>
      </c>
      <c r="C79" s="0" t="s">
        <v>10</v>
      </c>
      <c r="D79" s="2" t="n">
        <v>45291</v>
      </c>
      <c r="E79" s="2" t="n">
        <v>45291</v>
      </c>
      <c r="F79" s="3" t="s">
        <v>151</v>
      </c>
      <c r="G79" s="3" t="s">
        <v>152</v>
      </c>
      <c r="H79" s="0" t="n">
        <v>250392</v>
      </c>
      <c r="I79" s="3" t="s">
        <v>13</v>
      </c>
    </row>
    <row r="80" customFormat="false" ht="15" hidden="false" customHeight="false" outlineLevel="0" collapsed="false">
      <c r="A80" s="0" t="n">
        <v>5654908</v>
      </c>
      <c r="B80" s="0" t="s">
        <v>9</v>
      </c>
      <c r="C80" s="0" t="s">
        <v>10</v>
      </c>
      <c r="D80" s="2" t="n">
        <v>45291</v>
      </c>
      <c r="E80" s="2" t="n">
        <v>45291</v>
      </c>
      <c r="F80" s="3" t="s">
        <v>153</v>
      </c>
      <c r="G80" s="3" t="s">
        <v>154</v>
      </c>
      <c r="H80" s="0" t="n">
        <v>411088</v>
      </c>
      <c r="I80" s="3" t="s">
        <v>13</v>
      </c>
    </row>
    <row r="81" customFormat="false" ht="15" hidden="false" customHeight="false" outlineLevel="0" collapsed="false">
      <c r="A81" s="0" t="n">
        <v>5654909</v>
      </c>
      <c r="B81" s="0" t="s">
        <v>9</v>
      </c>
      <c r="C81" s="0" t="s">
        <v>10</v>
      </c>
      <c r="D81" s="2" t="n">
        <v>45291</v>
      </c>
      <c r="E81" s="2" t="n">
        <v>45291</v>
      </c>
      <c r="F81" s="3" t="s">
        <v>155</v>
      </c>
      <c r="G81" s="3" t="s">
        <v>156</v>
      </c>
      <c r="H81" s="0" t="n">
        <v>151428</v>
      </c>
      <c r="I81" s="3" t="s">
        <v>13</v>
      </c>
    </row>
    <row r="82" customFormat="false" ht="15" hidden="false" customHeight="false" outlineLevel="0" collapsed="false">
      <c r="A82" s="0" t="n">
        <v>5654910</v>
      </c>
      <c r="B82" s="0" t="s">
        <v>9</v>
      </c>
      <c r="C82" s="0" t="s">
        <v>10</v>
      </c>
      <c r="D82" s="2" t="n">
        <v>45291</v>
      </c>
      <c r="E82" s="2" t="n">
        <v>45291</v>
      </c>
      <c r="F82" s="3" t="s">
        <v>157</v>
      </c>
      <c r="G82" s="3" t="s">
        <v>158</v>
      </c>
      <c r="H82" s="0" t="n">
        <v>94163</v>
      </c>
      <c r="I82" s="3" t="s">
        <v>13</v>
      </c>
    </row>
    <row r="83" customFormat="false" ht="15" hidden="false" customHeight="false" outlineLevel="0" collapsed="false">
      <c r="A83" s="0" t="n">
        <v>5654911</v>
      </c>
      <c r="B83" s="0" t="s">
        <v>9</v>
      </c>
      <c r="C83" s="0" t="s">
        <v>10</v>
      </c>
      <c r="D83" s="2" t="n">
        <v>45291</v>
      </c>
      <c r="E83" s="2" t="n">
        <v>45291</v>
      </c>
      <c r="F83" s="3" t="s">
        <v>159</v>
      </c>
      <c r="G83" s="3" t="s">
        <v>160</v>
      </c>
      <c r="H83" s="0" t="n">
        <v>57265</v>
      </c>
      <c r="I83" s="3" t="s">
        <v>13</v>
      </c>
    </row>
    <row r="84" customFormat="false" ht="15" hidden="false" customHeight="false" outlineLevel="0" collapsed="false">
      <c r="A84" s="0" t="n">
        <v>5654912</v>
      </c>
      <c r="B84" s="0" t="s">
        <v>9</v>
      </c>
      <c r="C84" s="0" t="s">
        <v>10</v>
      </c>
      <c r="D84" s="2" t="n">
        <v>45291</v>
      </c>
      <c r="E84" s="2" t="n">
        <v>45291</v>
      </c>
      <c r="F84" s="3" t="s">
        <v>161</v>
      </c>
      <c r="G84" s="3" t="s">
        <v>162</v>
      </c>
      <c r="H84" s="0" t="n">
        <v>250129</v>
      </c>
      <c r="I84" s="3" t="s">
        <v>13</v>
      </c>
    </row>
    <row r="85" customFormat="false" ht="15" hidden="false" customHeight="false" outlineLevel="0" collapsed="false">
      <c r="A85" s="0" t="n">
        <v>5654913</v>
      </c>
      <c r="B85" s="0" t="s">
        <v>9</v>
      </c>
      <c r="C85" s="0" t="s">
        <v>10</v>
      </c>
      <c r="D85" s="2" t="n">
        <v>45291</v>
      </c>
      <c r="E85" s="2" t="n">
        <v>45291</v>
      </c>
      <c r="F85" s="3" t="s">
        <v>163</v>
      </c>
      <c r="G85" s="3" t="s">
        <v>164</v>
      </c>
      <c r="H85" s="0" t="n">
        <v>9531</v>
      </c>
      <c r="I85" s="3" t="s">
        <v>13</v>
      </c>
    </row>
    <row r="86" customFormat="false" ht="15" hidden="false" customHeight="false" outlineLevel="0" collapsed="false">
      <c r="A86" s="0" t="n">
        <v>5654914</v>
      </c>
      <c r="B86" s="0" t="s">
        <v>9</v>
      </c>
      <c r="C86" s="0" t="s">
        <v>10</v>
      </c>
      <c r="D86" s="2" t="n">
        <v>45291</v>
      </c>
      <c r="E86" s="2" t="n">
        <v>45291</v>
      </c>
      <c r="F86" s="3" t="s">
        <v>165</v>
      </c>
      <c r="G86" s="3" t="s">
        <v>166</v>
      </c>
      <c r="H86" s="0" t="n">
        <v>1090731</v>
      </c>
      <c r="I86" s="3" t="s">
        <v>13</v>
      </c>
    </row>
    <row r="87" customFormat="false" ht="15" hidden="false" customHeight="false" outlineLevel="0" collapsed="false">
      <c r="A87" s="0" t="n">
        <v>5654915</v>
      </c>
      <c r="B87" s="0" t="s">
        <v>9</v>
      </c>
      <c r="C87" s="0" t="s">
        <v>10</v>
      </c>
      <c r="D87" s="2" t="n">
        <v>45291</v>
      </c>
      <c r="E87" s="2" t="n">
        <v>45291</v>
      </c>
      <c r="F87" s="3" t="s">
        <v>167</v>
      </c>
      <c r="G87" s="3" t="s">
        <v>166</v>
      </c>
      <c r="H87" s="0" t="n">
        <v>541830</v>
      </c>
      <c r="I87" s="3" t="s">
        <v>13</v>
      </c>
    </row>
    <row r="88" customFormat="false" ht="15" hidden="false" customHeight="false" outlineLevel="0" collapsed="false">
      <c r="A88" s="0" t="n">
        <v>5654916</v>
      </c>
      <c r="B88" s="0" t="s">
        <v>9</v>
      </c>
      <c r="C88" s="0" t="s">
        <v>10</v>
      </c>
      <c r="D88" s="2" t="n">
        <v>45291</v>
      </c>
      <c r="E88" s="2" t="n">
        <v>45291</v>
      </c>
      <c r="F88" s="3" t="s">
        <v>168</v>
      </c>
      <c r="G88" s="3" t="s">
        <v>169</v>
      </c>
      <c r="H88" s="0" t="n">
        <v>488777</v>
      </c>
      <c r="I88" s="3" t="s">
        <v>13</v>
      </c>
    </row>
    <row r="89" customFormat="false" ht="15" hidden="false" customHeight="false" outlineLevel="0" collapsed="false">
      <c r="A89" s="0" t="n">
        <v>5654917</v>
      </c>
      <c r="B89" s="0" t="s">
        <v>9</v>
      </c>
      <c r="C89" s="0" t="s">
        <v>10</v>
      </c>
      <c r="D89" s="2" t="n">
        <v>45291</v>
      </c>
      <c r="E89" s="2" t="n">
        <v>45291</v>
      </c>
      <c r="F89" s="3" t="s">
        <v>170</v>
      </c>
      <c r="G89" s="3" t="s">
        <v>171</v>
      </c>
      <c r="H89" s="0" t="n">
        <v>53053</v>
      </c>
      <c r="I89" s="3" t="s">
        <v>13</v>
      </c>
    </row>
    <row r="90" customFormat="false" ht="15" hidden="false" customHeight="false" outlineLevel="0" collapsed="false">
      <c r="A90" s="0" t="n">
        <v>5654918</v>
      </c>
      <c r="B90" s="0" t="s">
        <v>9</v>
      </c>
      <c r="C90" s="0" t="s">
        <v>10</v>
      </c>
      <c r="D90" s="2" t="n">
        <v>45291</v>
      </c>
      <c r="E90" s="2" t="n">
        <v>45291</v>
      </c>
      <c r="F90" s="3" t="s">
        <v>172</v>
      </c>
      <c r="G90" s="3" t="s">
        <v>173</v>
      </c>
      <c r="H90" s="0" t="n">
        <v>548901</v>
      </c>
      <c r="I90" s="3" t="s">
        <v>13</v>
      </c>
    </row>
    <row r="91" customFormat="false" ht="15" hidden="false" customHeight="false" outlineLevel="0" collapsed="false">
      <c r="A91" s="0" t="n">
        <v>5654919</v>
      </c>
      <c r="B91" s="0" t="s">
        <v>9</v>
      </c>
      <c r="C91" s="0" t="s">
        <v>10</v>
      </c>
      <c r="D91" s="2" t="n">
        <v>45291</v>
      </c>
      <c r="E91" s="2" t="n">
        <v>45291</v>
      </c>
      <c r="F91" s="3" t="s">
        <v>174</v>
      </c>
      <c r="G91" s="3" t="s">
        <v>175</v>
      </c>
      <c r="H91" s="0" t="n">
        <v>0</v>
      </c>
      <c r="I91" s="3" t="s">
        <v>13</v>
      </c>
    </row>
    <row r="92" customFormat="false" ht="15" hidden="false" customHeight="false" outlineLevel="0" collapsed="false">
      <c r="A92" s="0" t="n">
        <v>5654920</v>
      </c>
      <c r="B92" s="0" t="s">
        <v>9</v>
      </c>
      <c r="C92" s="0" t="s">
        <v>10</v>
      </c>
      <c r="D92" s="2" t="n">
        <v>45291</v>
      </c>
      <c r="E92" s="2" t="n">
        <v>45291</v>
      </c>
      <c r="F92" s="3" t="s">
        <v>176</v>
      </c>
      <c r="G92" s="3" t="s">
        <v>177</v>
      </c>
      <c r="H92" s="0" t="n">
        <v>3780492</v>
      </c>
      <c r="I92" s="3" t="s">
        <v>13</v>
      </c>
    </row>
    <row r="93" customFormat="false" ht="15" hidden="false" customHeight="false" outlineLevel="0" collapsed="false">
      <c r="A93" s="0" t="n">
        <v>5654921</v>
      </c>
      <c r="B93" s="0" t="s">
        <v>9</v>
      </c>
      <c r="C93" s="0" t="s">
        <v>10</v>
      </c>
      <c r="D93" s="2" t="n">
        <v>45291</v>
      </c>
      <c r="E93" s="2" t="n">
        <v>45291</v>
      </c>
      <c r="F93" s="3" t="s">
        <v>178</v>
      </c>
      <c r="G93" s="3" t="s">
        <v>179</v>
      </c>
      <c r="H93" s="0" t="n">
        <v>0</v>
      </c>
      <c r="I93" s="3" t="s">
        <v>13</v>
      </c>
    </row>
    <row r="94" customFormat="false" ht="15" hidden="false" customHeight="false" outlineLevel="0" collapsed="false">
      <c r="A94" s="0" t="n">
        <v>5654922</v>
      </c>
      <c r="B94" s="0" t="s">
        <v>9</v>
      </c>
      <c r="C94" s="0" t="s">
        <v>10</v>
      </c>
      <c r="D94" s="2" t="n">
        <v>45291</v>
      </c>
      <c r="E94" s="2" t="n">
        <v>45291</v>
      </c>
      <c r="F94" s="3" t="s">
        <v>180</v>
      </c>
      <c r="G94" s="3" t="s">
        <v>181</v>
      </c>
      <c r="H94" s="0" t="n">
        <v>0</v>
      </c>
      <c r="I94" s="3" t="s">
        <v>13</v>
      </c>
    </row>
    <row r="95" customFormat="false" ht="15" hidden="false" customHeight="false" outlineLevel="0" collapsed="false">
      <c r="A95" s="0" t="n">
        <v>5654923</v>
      </c>
      <c r="B95" s="0" t="s">
        <v>9</v>
      </c>
      <c r="C95" s="0" t="s">
        <v>10</v>
      </c>
      <c r="D95" s="2" t="n">
        <v>45291</v>
      </c>
      <c r="E95" s="2" t="n">
        <v>45291</v>
      </c>
      <c r="F95" s="3" t="s">
        <v>182</v>
      </c>
      <c r="G95" s="3" t="s">
        <v>183</v>
      </c>
      <c r="H95" s="0" t="n">
        <v>0</v>
      </c>
      <c r="I95" s="3" t="s">
        <v>13</v>
      </c>
    </row>
    <row r="96" customFormat="false" ht="15" hidden="false" customHeight="false" outlineLevel="0" collapsed="false">
      <c r="A96" s="0" t="n">
        <v>5654924</v>
      </c>
      <c r="B96" s="0" t="s">
        <v>9</v>
      </c>
      <c r="C96" s="0" t="s">
        <v>10</v>
      </c>
      <c r="D96" s="2" t="n">
        <v>45291</v>
      </c>
      <c r="E96" s="2" t="n">
        <v>45291</v>
      </c>
      <c r="F96" s="3" t="s">
        <v>184</v>
      </c>
      <c r="G96" s="3" t="s">
        <v>185</v>
      </c>
      <c r="H96" s="0" t="n">
        <v>0</v>
      </c>
      <c r="I96" s="3" t="s">
        <v>13</v>
      </c>
    </row>
    <row r="97" customFormat="false" ht="15" hidden="false" customHeight="false" outlineLevel="0" collapsed="false">
      <c r="A97" s="0" t="n">
        <v>5654925</v>
      </c>
      <c r="B97" s="0" t="s">
        <v>9</v>
      </c>
      <c r="C97" s="0" t="s">
        <v>10</v>
      </c>
      <c r="D97" s="2" t="n">
        <v>45291</v>
      </c>
      <c r="E97" s="2" t="n">
        <v>45291</v>
      </c>
      <c r="F97" s="3" t="s">
        <v>186</v>
      </c>
      <c r="G97" s="3" t="s">
        <v>53</v>
      </c>
      <c r="H97" s="0" t="n">
        <v>3780492</v>
      </c>
      <c r="I97" s="3" t="s">
        <v>13</v>
      </c>
    </row>
    <row r="98" customFormat="false" ht="15" hidden="false" customHeight="false" outlineLevel="0" collapsed="false">
      <c r="A98" s="0" t="n">
        <v>5654926</v>
      </c>
      <c r="B98" s="0" t="s">
        <v>9</v>
      </c>
      <c r="C98" s="0" t="s">
        <v>10</v>
      </c>
      <c r="D98" s="2" t="n">
        <v>45291</v>
      </c>
      <c r="E98" s="2" t="n">
        <v>45291</v>
      </c>
      <c r="F98" s="3" t="s">
        <v>187</v>
      </c>
      <c r="G98" s="3" t="s">
        <v>188</v>
      </c>
      <c r="H98" s="0" t="n">
        <v>297861</v>
      </c>
      <c r="I98" s="3" t="s">
        <v>13</v>
      </c>
    </row>
    <row r="99" customFormat="false" ht="15" hidden="false" customHeight="false" outlineLevel="0" collapsed="false">
      <c r="A99" s="0" t="n">
        <v>5654927</v>
      </c>
      <c r="B99" s="0" t="s">
        <v>9</v>
      </c>
      <c r="C99" s="0" t="s">
        <v>10</v>
      </c>
      <c r="D99" s="2" t="n">
        <v>45291</v>
      </c>
      <c r="E99" s="2" t="n">
        <v>45291</v>
      </c>
      <c r="F99" s="3" t="s">
        <v>189</v>
      </c>
      <c r="G99" s="3" t="s">
        <v>190</v>
      </c>
      <c r="H99" s="0" t="n">
        <v>0</v>
      </c>
      <c r="I99" s="3" t="s">
        <v>13</v>
      </c>
    </row>
    <row r="100" customFormat="false" ht="15" hidden="false" customHeight="false" outlineLevel="0" collapsed="false">
      <c r="A100" s="0" t="n">
        <v>5654928</v>
      </c>
      <c r="B100" s="0" t="s">
        <v>9</v>
      </c>
      <c r="C100" s="0" t="s">
        <v>10</v>
      </c>
      <c r="D100" s="2" t="n">
        <v>45291</v>
      </c>
      <c r="E100" s="2" t="n">
        <v>45291</v>
      </c>
      <c r="F100" s="3" t="s">
        <v>191</v>
      </c>
      <c r="G100" s="3" t="s">
        <v>192</v>
      </c>
      <c r="H100" s="0" t="n">
        <v>0</v>
      </c>
      <c r="I100" s="3" t="s">
        <v>13</v>
      </c>
    </row>
    <row r="101" customFormat="false" ht="15" hidden="false" customHeight="false" outlineLevel="0" collapsed="false">
      <c r="A101" s="0" t="n">
        <v>5654929</v>
      </c>
      <c r="B101" s="0" t="s">
        <v>9</v>
      </c>
      <c r="C101" s="0" t="s">
        <v>10</v>
      </c>
      <c r="D101" s="2" t="n">
        <v>45291</v>
      </c>
      <c r="E101" s="2" t="n">
        <v>45291</v>
      </c>
      <c r="F101" s="3" t="s">
        <v>193</v>
      </c>
      <c r="G101" s="3" t="s">
        <v>194</v>
      </c>
      <c r="H101" s="0" t="n">
        <v>0</v>
      </c>
      <c r="I101" s="3" t="s">
        <v>13</v>
      </c>
    </row>
    <row r="102" customFormat="false" ht="15" hidden="false" customHeight="false" outlineLevel="0" collapsed="false">
      <c r="A102" s="0" t="n">
        <v>5654930</v>
      </c>
      <c r="B102" s="0" t="s">
        <v>9</v>
      </c>
      <c r="C102" s="0" t="s">
        <v>10</v>
      </c>
      <c r="D102" s="2" t="n">
        <v>45291</v>
      </c>
      <c r="E102" s="2" t="n">
        <v>45291</v>
      </c>
      <c r="F102" s="3" t="s">
        <v>195</v>
      </c>
      <c r="G102" s="3" t="s">
        <v>196</v>
      </c>
      <c r="H102" s="0" t="n">
        <v>205887</v>
      </c>
      <c r="I102" s="3" t="s">
        <v>13</v>
      </c>
    </row>
    <row r="103" customFormat="false" ht="15" hidden="false" customHeight="false" outlineLevel="0" collapsed="false">
      <c r="A103" s="0" t="n">
        <v>5654931</v>
      </c>
      <c r="B103" s="0" t="s">
        <v>9</v>
      </c>
      <c r="C103" s="0" t="s">
        <v>10</v>
      </c>
      <c r="D103" s="2" t="n">
        <v>45291</v>
      </c>
      <c r="E103" s="2" t="n">
        <v>45291</v>
      </c>
      <c r="F103" s="3" t="s">
        <v>197</v>
      </c>
      <c r="G103" s="3" t="s">
        <v>198</v>
      </c>
      <c r="H103" s="0" t="n">
        <v>41</v>
      </c>
      <c r="I103" s="3" t="s">
        <v>13</v>
      </c>
    </row>
    <row r="104" customFormat="false" ht="15" hidden="false" customHeight="false" outlineLevel="0" collapsed="false">
      <c r="A104" s="0" t="n">
        <v>5654932</v>
      </c>
      <c r="B104" s="0" t="s">
        <v>9</v>
      </c>
      <c r="C104" s="0" t="s">
        <v>10</v>
      </c>
      <c r="D104" s="2" t="n">
        <v>45291</v>
      </c>
      <c r="E104" s="2" t="n">
        <v>45291</v>
      </c>
      <c r="F104" s="3" t="s">
        <v>199</v>
      </c>
      <c r="G104" s="3" t="s">
        <v>200</v>
      </c>
      <c r="H104" s="0" t="n">
        <v>2526498</v>
      </c>
      <c r="I104" s="3" t="s">
        <v>13</v>
      </c>
    </row>
    <row r="105" customFormat="false" ht="15" hidden="false" customHeight="false" outlineLevel="0" collapsed="false">
      <c r="A105" s="0" t="n">
        <v>5654933</v>
      </c>
      <c r="B105" s="0" t="s">
        <v>9</v>
      </c>
      <c r="C105" s="0" t="s">
        <v>10</v>
      </c>
      <c r="D105" s="2" t="n">
        <v>45291</v>
      </c>
      <c r="E105" s="2" t="n">
        <v>45291</v>
      </c>
      <c r="F105" s="3" t="s">
        <v>201</v>
      </c>
      <c r="G105" s="3" t="s">
        <v>57</v>
      </c>
      <c r="H105" s="0" t="n">
        <v>16883</v>
      </c>
      <c r="I105" s="3" t="s">
        <v>13</v>
      </c>
    </row>
    <row r="106" customFormat="false" ht="15" hidden="false" customHeight="false" outlineLevel="0" collapsed="false">
      <c r="A106" s="0" t="n">
        <v>5654934</v>
      </c>
      <c r="B106" s="0" t="s">
        <v>9</v>
      </c>
      <c r="C106" s="0" t="s">
        <v>10</v>
      </c>
      <c r="D106" s="2" t="n">
        <v>45291</v>
      </c>
      <c r="E106" s="2" t="n">
        <v>45291</v>
      </c>
      <c r="F106" s="3" t="s">
        <v>202</v>
      </c>
      <c r="G106" s="3" t="s">
        <v>203</v>
      </c>
      <c r="H106" s="0" t="n">
        <v>733322</v>
      </c>
      <c r="I106" s="3" t="s">
        <v>13</v>
      </c>
    </row>
    <row r="107" customFormat="false" ht="15" hidden="false" customHeight="false" outlineLevel="0" collapsed="false">
      <c r="A107" s="0" t="n">
        <v>5654935</v>
      </c>
      <c r="B107" s="0" t="s">
        <v>9</v>
      </c>
      <c r="C107" s="0" t="s">
        <v>10</v>
      </c>
      <c r="D107" s="2" t="n">
        <v>45291</v>
      </c>
      <c r="E107" s="2" t="n">
        <v>45291</v>
      </c>
      <c r="F107" s="3" t="s">
        <v>204</v>
      </c>
      <c r="G107" s="3" t="s">
        <v>205</v>
      </c>
      <c r="H107" s="0" t="n">
        <v>96826</v>
      </c>
      <c r="I107" s="3" t="s">
        <v>13</v>
      </c>
    </row>
    <row r="108" customFormat="false" ht="15" hidden="false" customHeight="false" outlineLevel="0" collapsed="false">
      <c r="A108" s="0" t="n">
        <v>5654936</v>
      </c>
      <c r="B108" s="0" t="s">
        <v>9</v>
      </c>
      <c r="C108" s="0" t="s">
        <v>10</v>
      </c>
      <c r="D108" s="2" t="n">
        <v>45291</v>
      </c>
      <c r="E108" s="2" t="n">
        <v>45291</v>
      </c>
      <c r="F108" s="3" t="s">
        <v>206</v>
      </c>
      <c r="G108" s="3" t="s">
        <v>207</v>
      </c>
      <c r="H108" s="0" t="n">
        <v>96826</v>
      </c>
      <c r="I108" s="3" t="s">
        <v>13</v>
      </c>
    </row>
    <row r="109" customFormat="false" ht="15" hidden="false" customHeight="false" outlineLevel="0" collapsed="false">
      <c r="A109" s="0" t="n">
        <v>5654937</v>
      </c>
      <c r="B109" s="0" t="s">
        <v>9</v>
      </c>
      <c r="C109" s="0" t="s">
        <v>10</v>
      </c>
      <c r="D109" s="2" t="n">
        <v>45291</v>
      </c>
      <c r="E109" s="2" t="n">
        <v>45291</v>
      </c>
      <c r="F109" s="3" t="s">
        <v>208</v>
      </c>
      <c r="G109" s="3" t="s">
        <v>209</v>
      </c>
      <c r="H109" s="0" t="n">
        <v>0</v>
      </c>
      <c r="I109" s="3" t="s">
        <v>13</v>
      </c>
    </row>
    <row r="110" customFormat="false" ht="15" hidden="false" customHeight="false" outlineLevel="0" collapsed="false">
      <c r="A110" s="0" t="n">
        <v>5654938</v>
      </c>
      <c r="B110" s="0" t="s">
        <v>9</v>
      </c>
      <c r="C110" s="0" t="s">
        <v>10</v>
      </c>
      <c r="D110" s="2" t="n">
        <v>45291</v>
      </c>
      <c r="E110" s="2" t="n">
        <v>45291</v>
      </c>
      <c r="F110" s="3" t="s">
        <v>210</v>
      </c>
      <c r="G110" s="3" t="s">
        <v>211</v>
      </c>
      <c r="H110" s="0" t="n">
        <v>0</v>
      </c>
      <c r="I110" s="3" t="s">
        <v>13</v>
      </c>
    </row>
    <row r="111" customFormat="false" ht="15" hidden="false" customHeight="false" outlineLevel="0" collapsed="false">
      <c r="A111" s="0" t="n">
        <v>5654939</v>
      </c>
      <c r="B111" s="0" t="s">
        <v>9</v>
      </c>
      <c r="C111" s="0" t="s">
        <v>10</v>
      </c>
      <c r="D111" s="2" t="n">
        <v>45291</v>
      </c>
      <c r="E111" s="2" t="n">
        <v>45291</v>
      </c>
      <c r="F111" s="3" t="s">
        <v>212</v>
      </c>
      <c r="G111" s="3" t="s">
        <v>213</v>
      </c>
      <c r="H111" s="0" t="n">
        <v>0</v>
      </c>
      <c r="I111" s="3" t="s">
        <v>13</v>
      </c>
    </row>
    <row r="112" customFormat="false" ht="15" hidden="false" customHeight="false" outlineLevel="0" collapsed="false">
      <c r="A112" s="0" t="n">
        <v>5654940</v>
      </c>
      <c r="B112" s="0" t="s">
        <v>9</v>
      </c>
      <c r="C112" s="0" t="s">
        <v>10</v>
      </c>
      <c r="D112" s="2" t="n">
        <v>45291</v>
      </c>
      <c r="E112" s="2" t="n">
        <v>45291</v>
      </c>
      <c r="F112" s="3" t="s">
        <v>214</v>
      </c>
      <c r="G112" s="3" t="s">
        <v>215</v>
      </c>
      <c r="H112" s="0" t="n">
        <v>29654</v>
      </c>
      <c r="I112" s="3" t="s">
        <v>13</v>
      </c>
    </row>
    <row r="113" customFormat="false" ht="15" hidden="false" customHeight="false" outlineLevel="0" collapsed="false">
      <c r="A113" s="0" t="n">
        <v>5654941</v>
      </c>
      <c r="B113" s="0" t="s">
        <v>9</v>
      </c>
      <c r="C113" s="0" t="s">
        <v>10</v>
      </c>
      <c r="D113" s="2" t="n">
        <v>45291</v>
      </c>
      <c r="E113" s="2" t="n">
        <v>45291</v>
      </c>
      <c r="F113" s="3" t="s">
        <v>216</v>
      </c>
      <c r="G113" s="3" t="s">
        <v>217</v>
      </c>
      <c r="H113" s="0" t="n">
        <v>67172</v>
      </c>
      <c r="I113" s="3" t="s">
        <v>13</v>
      </c>
    </row>
    <row r="114" customFormat="false" ht="15" hidden="false" customHeight="false" outlineLevel="0" collapsed="false">
      <c r="A114" s="0" t="n">
        <v>5654942</v>
      </c>
      <c r="B114" s="0" t="s">
        <v>9</v>
      </c>
      <c r="C114" s="0" t="s">
        <v>10</v>
      </c>
      <c r="D114" s="2" t="n">
        <v>45291</v>
      </c>
      <c r="E114" s="2" t="n">
        <v>45291</v>
      </c>
      <c r="F114" s="3" t="s">
        <v>218</v>
      </c>
      <c r="G114" s="3" t="s">
        <v>219</v>
      </c>
      <c r="H114" s="0" t="n">
        <v>0</v>
      </c>
      <c r="I114" s="3" t="s">
        <v>13</v>
      </c>
    </row>
    <row r="115" customFormat="false" ht="15" hidden="false" customHeight="false" outlineLevel="0" collapsed="false">
      <c r="A115" s="0" t="n">
        <v>5654943</v>
      </c>
      <c r="B115" s="0" t="s">
        <v>9</v>
      </c>
      <c r="C115" s="0" t="s">
        <v>10</v>
      </c>
      <c r="D115" s="2" t="n">
        <v>45291</v>
      </c>
      <c r="E115" s="2" t="n">
        <v>45291</v>
      </c>
      <c r="F115" s="3" t="s">
        <v>220</v>
      </c>
      <c r="G115" s="3" t="s">
        <v>221</v>
      </c>
      <c r="H115" s="0" t="n">
        <v>0</v>
      </c>
      <c r="I115" s="3" t="s">
        <v>13</v>
      </c>
    </row>
    <row r="116" customFormat="false" ht="15" hidden="false" customHeight="false" outlineLevel="0" collapsed="false">
      <c r="A116" s="0" t="n">
        <v>5654944</v>
      </c>
      <c r="B116" s="0" t="s">
        <v>9</v>
      </c>
      <c r="C116" s="0" t="s">
        <v>10</v>
      </c>
      <c r="D116" s="2" t="n">
        <v>45291</v>
      </c>
      <c r="E116" s="2" t="n">
        <v>45291</v>
      </c>
      <c r="F116" s="3" t="s">
        <v>222</v>
      </c>
      <c r="G116" s="3" t="s">
        <v>223</v>
      </c>
      <c r="H116" s="0" t="n">
        <v>0</v>
      </c>
      <c r="I116" s="3" t="s">
        <v>13</v>
      </c>
    </row>
    <row r="117" customFormat="false" ht="15" hidden="false" customHeight="false" outlineLevel="0" collapsed="false">
      <c r="A117" s="0" t="n">
        <v>5654945</v>
      </c>
      <c r="B117" s="0" t="s">
        <v>9</v>
      </c>
      <c r="C117" s="0" t="s">
        <v>10</v>
      </c>
      <c r="D117" s="2" t="n">
        <v>45291</v>
      </c>
      <c r="E117" s="2" t="n">
        <v>45291</v>
      </c>
      <c r="F117" s="3" t="s">
        <v>224</v>
      </c>
      <c r="G117" s="3" t="s">
        <v>225</v>
      </c>
      <c r="H117" s="0" t="n">
        <v>0</v>
      </c>
      <c r="I117" s="3" t="s">
        <v>13</v>
      </c>
    </row>
    <row r="118" customFormat="false" ht="15" hidden="false" customHeight="false" outlineLevel="0" collapsed="false">
      <c r="A118" s="0" t="n">
        <v>5654946</v>
      </c>
      <c r="B118" s="0" t="s">
        <v>9</v>
      </c>
      <c r="C118" s="0" t="s">
        <v>10</v>
      </c>
      <c r="D118" s="2" t="n">
        <v>45291</v>
      </c>
      <c r="E118" s="2" t="n">
        <v>45291</v>
      </c>
      <c r="F118" s="3" t="s">
        <v>226</v>
      </c>
      <c r="G118" s="3" t="s">
        <v>227</v>
      </c>
      <c r="H118" s="0" t="n">
        <v>0</v>
      </c>
      <c r="I118" s="3" t="s">
        <v>13</v>
      </c>
    </row>
    <row r="119" customFormat="false" ht="15" hidden="false" customHeight="false" outlineLevel="0" collapsed="false">
      <c r="A119" s="0" t="n">
        <v>5654947</v>
      </c>
      <c r="B119" s="0" t="s">
        <v>9</v>
      </c>
      <c r="C119" s="0" t="s">
        <v>10</v>
      </c>
      <c r="D119" s="2" t="n">
        <v>45291</v>
      </c>
      <c r="E119" s="2" t="n">
        <v>45291</v>
      </c>
      <c r="F119" s="3" t="s">
        <v>228</v>
      </c>
      <c r="G119" s="3" t="s">
        <v>229</v>
      </c>
      <c r="H119" s="0" t="n">
        <v>0</v>
      </c>
      <c r="I119" s="3" t="s">
        <v>13</v>
      </c>
    </row>
    <row r="120" customFormat="false" ht="15" hidden="false" customHeight="false" outlineLevel="0" collapsed="false">
      <c r="A120" s="0" t="n">
        <v>5654948</v>
      </c>
      <c r="B120" s="0" t="s">
        <v>9</v>
      </c>
      <c r="C120" s="0" t="s">
        <v>10</v>
      </c>
      <c r="D120" s="2" t="n">
        <v>45291</v>
      </c>
      <c r="E120" s="2" t="n">
        <v>45291</v>
      </c>
      <c r="F120" s="3" t="s">
        <v>230</v>
      </c>
      <c r="G120" s="3" t="s">
        <v>231</v>
      </c>
      <c r="H120" s="0" t="n">
        <v>0</v>
      </c>
      <c r="I120" s="3" t="s">
        <v>13</v>
      </c>
    </row>
    <row r="121" customFormat="false" ht="15" hidden="false" customHeight="false" outlineLevel="0" collapsed="false">
      <c r="A121" s="0" t="n">
        <v>5654949</v>
      </c>
      <c r="B121" s="0" t="s">
        <v>9</v>
      </c>
      <c r="C121" s="0" t="s">
        <v>10</v>
      </c>
      <c r="D121" s="2" t="n">
        <v>45291</v>
      </c>
      <c r="E121" s="2" t="n">
        <v>45291</v>
      </c>
      <c r="F121" s="3" t="s">
        <v>232</v>
      </c>
      <c r="G121" s="3" t="s">
        <v>233</v>
      </c>
      <c r="H121" s="0" t="n">
        <v>2950864</v>
      </c>
      <c r="I121" s="3" t="s">
        <v>13</v>
      </c>
    </row>
    <row r="122" customFormat="false" ht="15" hidden="false" customHeight="false" outlineLevel="0" collapsed="false">
      <c r="A122" s="0" t="n">
        <v>5654950</v>
      </c>
      <c r="B122" s="0" t="s">
        <v>9</v>
      </c>
      <c r="C122" s="0" t="s">
        <v>10</v>
      </c>
      <c r="D122" s="2" t="n">
        <v>45291</v>
      </c>
      <c r="E122" s="2" t="n">
        <v>45291</v>
      </c>
      <c r="F122" s="3" t="s">
        <v>234</v>
      </c>
      <c r="G122" s="3" t="s">
        <v>166</v>
      </c>
      <c r="H122" s="0" t="n">
        <v>836169</v>
      </c>
      <c r="I122" s="3" t="s">
        <v>13</v>
      </c>
    </row>
    <row r="123" customFormat="false" ht="15" hidden="false" customHeight="false" outlineLevel="0" collapsed="false">
      <c r="A123" s="0" t="n">
        <v>5654951</v>
      </c>
      <c r="B123" s="0" t="s">
        <v>9</v>
      </c>
      <c r="C123" s="0" t="s">
        <v>10</v>
      </c>
      <c r="D123" s="2" t="n">
        <v>45291</v>
      </c>
      <c r="E123" s="2" t="n">
        <v>45291</v>
      </c>
      <c r="F123" s="3" t="s">
        <v>235</v>
      </c>
      <c r="G123" s="3" t="s">
        <v>166</v>
      </c>
      <c r="H123" s="0" t="n">
        <v>336248</v>
      </c>
      <c r="I123" s="3" t="s">
        <v>13</v>
      </c>
    </row>
    <row r="124" customFormat="false" ht="15" hidden="false" customHeight="false" outlineLevel="0" collapsed="false">
      <c r="A124" s="0" t="n">
        <v>5654952</v>
      </c>
      <c r="B124" s="0" t="s">
        <v>9</v>
      </c>
      <c r="C124" s="0" t="s">
        <v>10</v>
      </c>
      <c r="D124" s="2" t="n">
        <v>45291</v>
      </c>
      <c r="E124" s="2" t="n">
        <v>45291</v>
      </c>
      <c r="F124" s="3" t="s">
        <v>236</v>
      </c>
      <c r="G124" s="3" t="s">
        <v>169</v>
      </c>
      <c r="H124" s="0" t="n">
        <v>336248</v>
      </c>
      <c r="I124" s="3" t="s">
        <v>13</v>
      </c>
    </row>
    <row r="125" customFormat="false" ht="15" hidden="false" customHeight="false" outlineLevel="0" collapsed="false">
      <c r="A125" s="0" t="n">
        <v>5654953</v>
      </c>
      <c r="B125" s="0" t="s">
        <v>9</v>
      </c>
      <c r="C125" s="0" t="s">
        <v>10</v>
      </c>
      <c r="D125" s="2" t="n">
        <v>45291</v>
      </c>
      <c r="E125" s="2" t="n">
        <v>45291</v>
      </c>
      <c r="F125" s="3" t="s">
        <v>237</v>
      </c>
      <c r="G125" s="3" t="s">
        <v>171</v>
      </c>
      <c r="H125" s="0" t="n">
        <v>0</v>
      </c>
      <c r="I125" s="3" t="s">
        <v>13</v>
      </c>
    </row>
    <row r="126" customFormat="false" ht="15" hidden="false" customHeight="false" outlineLevel="0" collapsed="false">
      <c r="A126" s="0" t="n">
        <v>5654954</v>
      </c>
      <c r="B126" s="0" t="s">
        <v>9</v>
      </c>
      <c r="C126" s="0" t="s">
        <v>10</v>
      </c>
      <c r="D126" s="2" t="n">
        <v>45291</v>
      </c>
      <c r="E126" s="2" t="n">
        <v>45291</v>
      </c>
      <c r="F126" s="3" t="s">
        <v>238</v>
      </c>
      <c r="G126" s="3" t="s">
        <v>173</v>
      </c>
      <c r="H126" s="0" t="n">
        <v>499921</v>
      </c>
      <c r="I126" s="3" t="s">
        <v>13</v>
      </c>
    </row>
    <row r="127" customFormat="false" ht="15" hidden="false" customHeight="false" outlineLevel="0" collapsed="false">
      <c r="A127" s="0" t="n">
        <v>5654955</v>
      </c>
      <c r="B127" s="0" t="s">
        <v>9</v>
      </c>
      <c r="C127" s="0" t="s">
        <v>10</v>
      </c>
      <c r="D127" s="2" t="n">
        <v>45291</v>
      </c>
      <c r="E127" s="2" t="n">
        <v>45291</v>
      </c>
      <c r="F127" s="3" t="s">
        <v>239</v>
      </c>
      <c r="G127" s="3" t="s">
        <v>175</v>
      </c>
      <c r="H127" s="0" t="n">
        <v>0</v>
      </c>
      <c r="I127" s="3" t="s">
        <v>13</v>
      </c>
    </row>
    <row r="128" customFormat="false" ht="15" hidden="false" customHeight="false" outlineLevel="0" collapsed="false">
      <c r="A128" s="0" t="n">
        <v>5654956</v>
      </c>
      <c r="B128" s="0" t="s">
        <v>9</v>
      </c>
      <c r="C128" s="0" t="s">
        <v>10</v>
      </c>
      <c r="D128" s="2" t="n">
        <v>45291</v>
      </c>
      <c r="E128" s="2" t="n">
        <v>45291</v>
      </c>
      <c r="F128" s="3" t="s">
        <v>240</v>
      </c>
      <c r="G128" s="3" t="s">
        <v>177</v>
      </c>
      <c r="H128" s="0" t="n">
        <v>2065263</v>
      </c>
      <c r="I128" s="3" t="s">
        <v>13</v>
      </c>
    </row>
    <row r="129" customFormat="false" ht="15" hidden="false" customHeight="false" outlineLevel="0" collapsed="false">
      <c r="A129" s="0" t="n">
        <v>5654957</v>
      </c>
      <c r="B129" s="0" t="s">
        <v>9</v>
      </c>
      <c r="C129" s="0" t="s">
        <v>10</v>
      </c>
      <c r="D129" s="2" t="n">
        <v>45291</v>
      </c>
      <c r="E129" s="2" t="n">
        <v>45291</v>
      </c>
      <c r="F129" s="3" t="s">
        <v>241</v>
      </c>
      <c r="G129" s="3" t="s">
        <v>179</v>
      </c>
      <c r="H129" s="0" t="n">
        <v>0</v>
      </c>
      <c r="I129" s="3" t="s">
        <v>13</v>
      </c>
    </row>
    <row r="130" customFormat="false" ht="15" hidden="false" customHeight="false" outlineLevel="0" collapsed="false">
      <c r="A130" s="0" t="n">
        <v>5654958</v>
      </c>
      <c r="B130" s="0" t="s">
        <v>9</v>
      </c>
      <c r="C130" s="0" t="s">
        <v>10</v>
      </c>
      <c r="D130" s="2" t="n">
        <v>45291</v>
      </c>
      <c r="E130" s="2" t="n">
        <v>45291</v>
      </c>
      <c r="F130" s="3" t="s">
        <v>242</v>
      </c>
      <c r="G130" s="3" t="s">
        <v>181</v>
      </c>
      <c r="H130" s="0" t="n">
        <v>0</v>
      </c>
      <c r="I130" s="3" t="s">
        <v>13</v>
      </c>
    </row>
    <row r="131" customFormat="false" ht="15" hidden="false" customHeight="false" outlineLevel="0" collapsed="false">
      <c r="A131" s="0" t="n">
        <v>5654959</v>
      </c>
      <c r="B131" s="0" t="s">
        <v>9</v>
      </c>
      <c r="C131" s="0" t="s">
        <v>10</v>
      </c>
      <c r="D131" s="2" t="n">
        <v>45291</v>
      </c>
      <c r="E131" s="2" t="n">
        <v>45291</v>
      </c>
      <c r="F131" s="3" t="s">
        <v>243</v>
      </c>
      <c r="G131" s="3" t="s">
        <v>183</v>
      </c>
      <c r="H131" s="0" t="n">
        <v>0</v>
      </c>
      <c r="I131" s="3" t="s">
        <v>13</v>
      </c>
    </row>
    <row r="132" customFormat="false" ht="15" hidden="false" customHeight="false" outlineLevel="0" collapsed="false">
      <c r="A132" s="0" t="n">
        <v>5654960</v>
      </c>
      <c r="B132" s="0" t="s">
        <v>9</v>
      </c>
      <c r="C132" s="0" t="s">
        <v>10</v>
      </c>
      <c r="D132" s="2" t="n">
        <v>45291</v>
      </c>
      <c r="E132" s="2" t="n">
        <v>45291</v>
      </c>
      <c r="F132" s="3" t="s">
        <v>244</v>
      </c>
      <c r="G132" s="3" t="s">
        <v>185</v>
      </c>
      <c r="H132" s="0" t="n">
        <v>0</v>
      </c>
      <c r="I132" s="3" t="s">
        <v>13</v>
      </c>
    </row>
    <row r="133" customFormat="false" ht="15" hidden="false" customHeight="false" outlineLevel="0" collapsed="false">
      <c r="A133" s="0" t="n">
        <v>5654961</v>
      </c>
      <c r="B133" s="0" t="s">
        <v>9</v>
      </c>
      <c r="C133" s="0" t="s">
        <v>10</v>
      </c>
      <c r="D133" s="2" t="n">
        <v>45291</v>
      </c>
      <c r="E133" s="2" t="n">
        <v>45291</v>
      </c>
      <c r="F133" s="3" t="s">
        <v>245</v>
      </c>
      <c r="G133" s="3" t="s">
        <v>53</v>
      </c>
      <c r="H133" s="0" t="n">
        <v>2065263</v>
      </c>
      <c r="I133" s="3" t="s">
        <v>13</v>
      </c>
    </row>
    <row r="134" customFormat="false" ht="15" hidden="false" customHeight="false" outlineLevel="0" collapsed="false">
      <c r="A134" s="0" t="n">
        <v>5654962</v>
      </c>
      <c r="B134" s="0" t="s">
        <v>9</v>
      </c>
      <c r="C134" s="0" t="s">
        <v>10</v>
      </c>
      <c r="D134" s="2" t="n">
        <v>45291</v>
      </c>
      <c r="E134" s="2" t="n">
        <v>45291</v>
      </c>
      <c r="F134" s="3" t="s">
        <v>246</v>
      </c>
      <c r="G134" s="3" t="s">
        <v>192</v>
      </c>
      <c r="H134" s="0" t="n">
        <v>0</v>
      </c>
      <c r="I134" s="3" t="s">
        <v>13</v>
      </c>
    </row>
    <row r="135" customFormat="false" ht="15" hidden="false" customHeight="false" outlineLevel="0" collapsed="false">
      <c r="A135" s="0" t="n">
        <v>5654963</v>
      </c>
      <c r="B135" s="0" t="s">
        <v>9</v>
      </c>
      <c r="C135" s="0" t="s">
        <v>10</v>
      </c>
      <c r="D135" s="2" t="n">
        <v>45291</v>
      </c>
      <c r="E135" s="2" t="n">
        <v>45291</v>
      </c>
      <c r="F135" s="3" t="s">
        <v>247</v>
      </c>
      <c r="G135" s="3" t="s">
        <v>248</v>
      </c>
      <c r="H135" s="0" t="n">
        <v>0</v>
      </c>
      <c r="I135" s="3" t="s">
        <v>13</v>
      </c>
    </row>
    <row r="136" customFormat="false" ht="15" hidden="false" customHeight="false" outlineLevel="0" collapsed="false">
      <c r="A136" s="0" t="n">
        <v>5654964</v>
      </c>
      <c r="B136" s="0" t="s">
        <v>9</v>
      </c>
      <c r="C136" s="0" t="s">
        <v>10</v>
      </c>
      <c r="D136" s="2" t="n">
        <v>45291</v>
      </c>
      <c r="E136" s="2" t="n">
        <v>45291</v>
      </c>
      <c r="F136" s="3" t="s">
        <v>249</v>
      </c>
      <c r="G136" s="3" t="s">
        <v>250</v>
      </c>
      <c r="H136" s="0" t="n">
        <v>0</v>
      </c>
      <c r="I136" s="3" t="s">
        <v>13</v>
      </c>
    </row>
    <row r="137" customFormat="false" ht="15" hidden="false" customHeight="false" outlineLevel="0" collapsed="false">
      <c r="A137" s="0" t="n">
        <v>5654965</v>
      </c>
      <c r="B137" s="0" t="s">
        <v>9</v>
      </c>
      <c r="C137" s="0" t="s">
        <v>10</v>
      </c>
      <c r="D137" s="2" t="n">
        <v>45291</v>
      </c>
      <c r="E137" s="2" t="n">
        <v>45291</v>
      </c>
      <c r="F137" s="3" t="s">
        <v>251</v>
      </c>
      <c r="G137" s="3" t="s">
        <v>196</v>
      </c>
      <c r="H137" s="0" t="n">
        <v>37964</v>
      </c>
      <c r="I137" s="3" t="s">
        <v>13</v>
      </c>
    </row>
    <row r="138" customFormat="false" ht="15" hidden="false" customHeight="false" outlineLevel="0" collapsed="false">
      <c r="A138" s="0" t="n">
        <v>5654966</v>
      </c>
      <c r="B138" s="0" t="s">
        <v>9</v>
      </c>
      <c r="C138" s="0" t="s">
        <v>10</v>
      </c>
      <c r="D138" s="2" t="n">
        <v>45291</v>
      </c>
      <c r="E138" s="2" t="n">
        <v>45291</v>
      </c>
      <c r="F138" s="3" t="s">
        <v>252</v>
      </c>
      <c r="G138" s="3" t="s">
        <v>203</v>
      </c>
      <c r="H138" s="0" t="n">
        <v>2008945</v>
      </c>
      <c r="I138" s="3" t="s">
        <v>13</v>
      </c>
    </row>
    <row r="139" customFormat="false" ht="15" hidden="false" customHeight="false" outlineLevel="0" collapsed="false">
      <c r="A139" s="0" t="n">
        <v>5654967</v>
      </c>
      <c r="B139" s="0" t="s">
        <v>9</v>
      </c>
      <c r="C139" s="0" t="s">
        <v>10</v>
      </c>
      <c r="D139" s="2" t="n">
        <v>45291</v>
      </c>
      <c r="E139" s="2" t="n">
        <v>45291</v>
      </c>
      <c r="F139" s="3" t="s">
        <v>253</v>
      </c>
      <c r="G139" s="3" t="s">
        <v>147</v>
      </c>
      <c r="H139" s="0" t="n">
        <v>18354</v>
      </c>
      <c r="I139" s="3" t="s">
        <v>13</v>
      </c>
    </row>
    <row r="140" customFormat="false" ht="15" hidden="false" customHeight="false" outlineLevel="0" collapsed="false">
      <c r="A140" s="0" t="n">
        <v>5654968</v>
      </c>
      <c r="B140" s="0" t="s">
        <v>9</v>
      </c>
      <c r="C140" s="0" t="s">
        <v>10</v>
      </c>
      <c r="D140" s="2" t="n">
        <v>45291</v>
      </c>
      <c r="E140" s="2" t="n">
        <v>45291</v>
      </c>
      <c r="F140" s="3" t="s">
        <v>254</v>
      </c>
      <c r="G140" s="3" t="s">
        <v>76</v>
      </c>
      <c r="H140" s="0" t="n">
        <v>0</v>
      </c>
      <c r="I140" s="3" t="s">
        <v>13</v>
      </c>
    </row>
    <row r="141" customFormat="false" ht="15" hidden="false" customHeight="false" outlineLevel="0" collapsed="false">
      <c r="A141" s="0" t="n">
        <v>5654969</v>
      </c>
      <c r="B141" s="0" t="s">
        <v>9</v>
      </c>
      <c r="C141" s="0" t="s">
        <v>10</v>
      </c>
      <c r="D141" s="2" t="n">
        <v>45291</v>
      </c>
      <c r="E141" s="2" t="n">
        <v>45291</v>
      </c>
      <c r="F141" s="3" t="s">
        <v>255</v>
      </c>
      <c r="G141" s="3" t="s">
        <v>78</v>
      </c>
      <c r="H141" s="0" t="n">
        <v>0</v>
      </c>
      <c r="I141" s="3" t="s">
        <v>13</v>
      </c>
    </row>
    <row r="142" customFormat="false" ht="15" hidden="false" customHeight="false" outlineLevel="0" collapsed="false">
      <c r="A142" s="0" t="n">
        <v>5654970</v>
      </c>
      <c r="B142" s="0" t="s">
        <v>9</v>
      </c>
      <c r="C142" s="0" t="s">
        <v>10</v>
      </c>
      <c r="D142" s="2" t="n">
        <v>45291</v>
      </c>
      <c r="E142" s="2" t="n">
        <v>45291</v>
      </c>
      <c r="F142" s="3" t="s">
        <v>256</v>
      </c>
      <c r="G142" s="3" t="s">
        <v>205</v>
      </c>
      <c r="H142" s="0" t="n">
        <v>49432</v>
      </c>
      <c r="I142" s="3" t="s">
        <v>13</v>
      </c>
    </row>
    <row r="143" customFormat="false" ht="15" hidden="false" customHeight="false" outlineLevel="0" collapsed="false">
      <c r="A143" s="0" t="n">
        <v>5654971</v>
      </c>
      <c r="B143" s="0" t="s">
        <v>9</v>
      </c>
      <c r="C143" s="0" t="s">
        <v>10</v>
      </c>
      <c r="D143" s="2" t="n">
        <v>45291</v>
      </c>
      <c r="E143" s="2" t="n">
        <v>45291</v>
      </c>
      <c r="F143" s="3" t="s">
        <v>257</v>
      </c>
      <c r="G143" s="3" t="s">
        <v>207</v>
      </c>
      <c r="H143" s="0" t="n">
        <v>49432</v>
      </c>
      <c r="I143" s="3" t="s">
        <v>13</v>
      </c>
    </row>
    <row r="144" customFormat="false" ht="15" hidden="false" customHeight="false" outlineLevel="0" collapsed="false">
      <c r="A144" s="0" t="n">
        <v>5654972</v>
      </c>
      <c r="B144" s="0" t="s">
        <v>9</v>
      </c>
      <c r="C144" s="0" t="s">
        <v>10</v>
      </c>
      <c r="D144" s="2" t="n">
        <v>45291</v>
      </c>
      <c r="E144" s="2" t="n">
        <v>45291</v>
      </c>
      <c r="F144" s="3" t="s">
        <v>258</v>
      </c>
      <c r="G144" s="3" t="s">
        <v>209</v>
      </c>
      <c r="H144" s="0" t="n">
        <v>33865</v>
      </c>
      <c r="I144" s="3" t="s">
        <v>13</v>
      </c>
    </row>
    <row r="145" customFormat="false" ht="15" hidden="false" customHeight="false" outlineLevel="0" collapsed="false">
      <c r="A145" s="0" t="n">
        <v>5654973</v>
      </c>
      <c r="B145" s="0" t="s">
        <v>9</v>
      </c>
      <c r="C145" s="0" t="s">
        <v>10</v>
      </c>
      <c r="D145" s="2" t="n">
        <v>45291</v>
      </c>
      <c r="E145" s="2" t="n">
        <v>45291</v>
      </c>
      <c r="F145" s="3" t="s">
        <v>259</v>
      </c>
      <c r="G145" s="3" t="s">
        <v>211</v>
      </c>
      <c r="H145" s="0" t="n">
        <v>0</v>
      </c>
      <c r="I145" s="3" t="s">
        <v>13</v>
      </c>
    </row>
    <row r="146" customFormat="false" ht="15" hidden="false" customHeight="false" outlineLevel="0" collapsed="false">
      <c r="A146" s="0" t="n">
        <v>5654974</v>
      </c>
      <c r="B146" s="0" t="s">
        <v>9</v>
      </c>
      <c r="C146" s="0" t="s">
        <v>10</v>
      </c>
      <c r="D146" s="2" t="n">
        <v>45291</v>
      </c>
      <c r="E146" s="2" t="n">
        <v>45291</v>
      </c>
      <c r="F146" s="3" t="s">
        <v>260</v>
      </c>
      <c r="G146" s="3" t="s">
        <v>213</v>
      </c>
      <c r="H146" s="0" t="n">
        <v>0</v>
      </c>
      <c r="I146" s="3" t="s">
        <v>13</v>
      </c>
    </row>
    <row r="147" customFormat="false" ht="15" hidden="false" customHeight="false" outlineLevel="0" collapsed="false">
      <c r="A147" s="0" t="n">
        <v>5654975</v>
      </c>
      <c r="B147" s="0" t="s">
        <v>9</v>
      </c>
      <c r="C147" s="0" t="s">
        <v>10</v>
      </c>
      <c r="D147" s="2" t="n">
        <v>45291</v>
      </c>
      <c r="E147" s="2" t="n">
        <v>45291</v>
      </c>
      <c r="F147" s="3" t="s">
        <v>261</v>
      </c>
      <c r="G147" s="3" t="s">
        <v>215</v>
      </c>
      <c r="H147" s="0" t="n">
        <v>1573</v>
      </c>
      <c r="I147" s="3" t="s">
        <v>13</v>
      </c>
    </row>
    <row r="148" customFormat="false" ht="15" hidden="false" customHeight="false" outlineLevel="0" collapsed="false">
      <c r="A148" s="0" t="n">
        <v>5654976</v>
      </c>
      <c r="B148" s="0" t="s">
        <v>9</v>
      </c>
      <c r="C148" s="0" t="s">
        <v>10</v>
      </c>
      <c r="D148" s="2" t="n">
        <v>45291</v>
      </c>
      <c r="E148" s="2" t="n">
        <v>45291</v>
      </c>
      <c r="F148" s="3" t="s">
        <v>262</v>
      </c>
      <c r="G148" s="3" t="s">
        <v>217</v>
      </c>
      <c r="H148" s="0" t="n">
        <v>13994</v>
      </c>
      <c r="I148" s="3" t="s">
        <v>13</v>
      </c>
    </row>
    <row r="149" customFormat="false" ht="15" hidden="false" customHeight="false" outlineLevel="0" collapsed="false">
      <c r="A149" s="0" t="n">
        <v>5654977</v>
      </c>
      <c r="B149" s="0" t="s">
        <v>9</v>
      </c>
      <c r="C149" s="0" t="s">
        <v>10</v>
      </c>
      <c r="D149" s="2" t="n">
        <v>45291</v>
      </c>
      <c r="E149" s="2" t="n">
        <v>45291</v>
      </c>
      <c r="F149" s="3" t="s">
        <v>263</v>
      </c>
      <c r="G149" s="3" t="s">
        <v>219</v>
      </c>
      <c r="H149" s="0" t="n">
        <v>0</v>
      </c>
      <c r="I149" s="3" t="s">
        <v>13</v>
      </c>
    </row>
    <row r="150" customFormat="false" ht="15" hidden="false" customHeight="false" outlineLevel="0" collapsed="false">
      <c r="A150" s="0" t="n">
        <v>5654978</v>
      </c>
      <c r="B150" s="0" t="s">
        <v>9</v>
      </c>
      <c r="C150" s="0" t="s">
        <v>10</v>
      </c>
      <c r="D150" s="2" t="n">
        <v>45291</v>
      </c>
      <c r="E150" s="2" t="n">
        <v>45291</v>
      </c>
      <c r="F150" s="3" t="s">
        <v>264</v>
      </c>
      <c r="G150" s="3" t="s">
        <v>221</v>
      </c>
      <c r="H150" s="0" t="n">
        <v>0</v>
      </c>
      <c r="I150" s="3" t="s">
        <v>13</v>
      </c>
    </row>
    <row r="151" customFormat="false" ht="15" hidden="false" customHeight="false" outlineLevel="0" collapsed="false">
      <c r="A151" s="0" t="n">
        <v>5654979</v>
      </c>
      <c r="B151" s="0" t="s">
        <v>9</v>
      </c>
      <c r="C151" s="0" t="s">
        <v>10</v>
      </c>
      <c r="D151" s="2" t="n">
        <v>45291</v>
      </c>
      <c r="E151" s="2" t="n">
        <v>45291</v>
      </c>
      <c r="F151" s="3" t="s">
        <v>265</v>
      </c>
      <c r="G151" s="3" t="s">
        <v>223</v>
      </c>
      <c r="H151" s="0" t="n">
        <v>0</v>
      </c>
      <c r="I151" s="3" t="s">
        <v>13</v>
      </c>
    </row>
    <row r="152" customFormat="false" ht="15" hidden="false" customHeight="false" outlineLevel="0" collapsed="false">
      <c r="A152" s="0" t="n">
        <v>5654980</v>
      </c>
      <c r="B152" s="0" t="s">
        <v>9</v>
      </c>
      <c r="C152" s="0" t="s">
        <v>10</v>
      </c>
      <c r="D152" s="2" t="n">
        <v>45291</v>
      </c>
      <c r="E152" s="2" t="n">
        <v>45291</v>
      </c>
      <c r="F152" s="3" t="s">
        <v>266</v>
      </c>
      <c r="G152" s="3" t="s">
        <v>225</v>
      </c>
      <c r="H152" s="0" t="n">
        <v>0</v>
      </c>
      <c r="I152" s="3" t="s">
        <v>13</v>
      </c>
    </row>
    <row r="153" customFormat="false" ht="15" hidden="false" customHeight="false" outlineLevel="0" collapsed="false">
      <c r="A153" s="0" t="n">
        <v>5654981</v>
      </c>
      <c r="B153" s="0" t="s">
        <v>9</v>
      </c>
      <c r="C153" s="0" t="s">
        <v>10</v>
      </c>
      <c r="D153" s="2" t="n">
        <v>45291</v>
      </c>
      <c r="E153" s="2" t="n">
        <v>45291</v>
      </c>
      <c r="F153" s="3" t="s">
        <v>267</v>
      </c>
      <c r="G153" s="3" t="s">
        <v>227</v>
      </c>
      <c r="H153" s="0" t="n">
        <v>0</v>
      </c>
      <c r="I153" s="3" t="s">
        <v>13</v>
      </c>
    </row>
    <row r="154" customFormat="false" ht="15" hidden="false" customHeight="false" outlineLevel="0" collapsed="false">
      <c r="A154" s="0" t="n">
        <v>5654982</v>
      </c>
      <c r="B154" s="0" t="s">
        <v>9</v>
      </c>
      <c r="C154" s="0" t="s">
        <v>10</v>
      </c>
      <c r="D154" s="2" t="n">
        <v>45291</v>
      </c>
      <c r="E154" s="2" t="n">
        <v>45291</v>
      </c>
      <c r="F154" s="3" t="s">
        <v>268</v>
      </c>
      <c r="G154" s="3" t="s">
        <v>229</v>
      </c>
      <c r="H154" s="0" t="n">
        <v>0</v>
      </c>
      <c r="I154" s="3" t="s">
        <v>13</v>
      </c>
    </row>
    <row r="155" customFormat="false" ht="15" hidden="false" customHeight="false" outlineLevel="0" collapsed="false">
      <c r="A155" s="0" t="n">
        <v>5654983</v>
      </c>
      <c r="B155" s="0" t="s">
        <v>9</v>
      </c>
      <c r="C155" s="0" t="s">
        <v>10</v>
      </c>
      <c r="D155" s="2" t="n">
        <v>45291</v>
      </c>
      <c r="E155" s="2" t="n">
        <v>45291</v>
      </c>
      <c r="F155" s="3" t="s">
        <v>269</v>
      </c>
      <c r="G155" s="3" t="s">
        <v>231</v>
      </c>
      <c r="H155" s="0" t="n">
        <v>0</v>
      </c>
      <c r="I155" s="3" t="s">
        <v>13</v>
      </c>
    </row>
    <row r="156" customFormat="false" ht="15" hidden="false" customHeight="false" outlineLevel="0" collapsed="false">
      <c r="A156" s="0" t="n">
        <v>5654984</v>
      </c>
      <c r="B156" s="0" t="s">
        <v>9</v>
      </c>
      <c r="C156" s="0" t="s">
        <v>10</v>
      </c>
      <c r="D156" s="2" t="n">
        <v>45291</v>
      </c>
      <c r="E156" s="2" t="n">
        <v>45291</v>
      </c>
      <c r="F156" s="3" t="s">
        <v>270</v>
      </c>
      <c r="G156" s="3" t="s">
        <v>271</v>
      </c>
      <c r="H156" s="0" t="n">
        <v>0</v>
      </c>
      <c r="I156" s="3" t="s">
        <v>13</v>
      </c>
    </row>
    <row r="157" customFormat="false" ht="15" hidden="false" customHeight="false" outlineLevel="0" collapsed="false">
      <c r="A157" s="0" t="n">
        <v>5654985</v>
      </c>
      <c r="B157" s="0" t="s">
        <v>9</v>
      </c>
      <c r="C157" s="0" t="s">
        <v>10</v>
      </c>
      <c r="D157" s="2" t="n">
        <v>45291</v>
      </c>
      <c r="E157" s="2" t="n">
        <v>45291</v>
      </c>
      <c r="F157" s="3" t="s">
        <v>272</v>
      </c>
      <c r="G157" s="3" t="s">
        <v>273</v>
      </c>
      <c r="H157" s="0" t="n">
        <v>0</v>
      </c>
      <c r="I157" s="3" t="s">
        <v>13</v>
      </c>
    </row>
    <row r="158" customFormat="false" ht="15" hidden="false" customHeight="false" outlineLevel="0" collapsed="false">
      <c r="A158" s="0" t="n">
        <v>5654986</v>
      </c>
      <c r="B158" s="0" t="s">
        <v>9</v>
      </c>
      <c r="C158" s="0" t="s">
        <v>10</v>
      </c>
      <c r="D158" s="2" t="n">
        <v>45291</v>
      </c>
      <c r="E158" s="2" t="n">
        <v>45291</v>
      </c>
      <c r="F158" s="3" t="s">
        <v>274</v>
      </c>
      <c r="G158" s="3" t="s">
        <v>275</v>
      </c>
      <c r="H158" s="0" t="n">
        <v>0</v>
      </c>
      <c r="I158" s="3" t="s">
        <v>13</v>
      </c>
    </row>
    <row r="159" customFormat="false" ht="15" hidden="false" customHeight="false" outlineLevel="0" collapsed="false">
      <c r="A159" s="0" t="n">
        <v>5654987</v>
      </c>
      <c r="B159" s="0" t="s">
        <v>9</v>
      </c>
      <c r="C159" s="0" t="s">
        <v>10</v>
      </c>
      <c r="D159" s="2" t="n">
        <v>45291</v>
      </c>
      <c r="E159" s="2" t="n">
        <v>45291</v>
      </c>
      <c r="F159" s="3" t="s">
        <v>276</v>
      </c>
      <c r="G159" s="3" t="s">
        <v>277</v>
      </c>
      <c r="H159" s="0" t="n">
        <v>0</v>
      </c>
      <c r="I159" s="3" t="s">
        <v>13</v>
      </c>
    </row>
    <row r="160" customFormat="false" ht="15" hidden="false" customHeight="false" outlineLevel="0" collapsed="false">
      <c r="A160" s="0" t="n">
        <v>5654988</v>
      </c>
      <c r="B160" s="0" t="s">
        <v>9</v>
      </c>
      <c r="C160" s="0" t="s">
        <v>10</v>
      </c>
      <c r="D160" s="2" t="n">
        <v>45291</v>
      </c>
      <c r="E160" s="2" t="n">
        <v>45291</v>
      </c>
      <c r="F160" s="3" t="s">
        <v>278</v>
      </c>
      <c r="G160" s="3" t="s">
        <v>279</v>
      </c>
      <c r="H160" s="0" t="n">
        <v>10047221</v>
      </c>
      <c r="I160" s="3" t="s">
        <v>13</v>
      </c>
    </row>
    <row r="161" customFormat="false" ht="15" hidden="false" customHeight="false" outlineLevel="0" collapsed="false">
      <c r="A161" s="0" t="n">
        <v>5654989</v>
      </c>
      <c r="B161" s="0" t="s">
        <v>9</v>
      </c>
      <c r="C161" s="0" t="s">
        <v>10</v>
      </c>
      <c r="D161" s="2" t="n">
        <v>45291</v>
      </c>
      <c r="E161" s="2" t="n">
        <v>45291</v>
      </c>
      <c r="F161" s="3" t="s">
        <v>280</v>
      </c>
      <c r="G161" s="3" t="s">
        <v>281</v>
      </c>
      <c r="H161" s="0" t="n">
        <v>9022277</v>
      </c>
      <c r="I161" s="3" t="s">
        <v>13</v>
      </c>
    </row>
    <row r="162" customFormat="false" ht="15" hidden="false" customHeight="false" outlineLevel="0" collapsed="false">
      <c r="A162" s="0" t="n">
        <v>5654990</v>
      </c>
      <c r="B162" s="0" t="s">
        <v>9</v>
      </c>
      <c r="C162" s="0" t="s">
        <v>10</v>
      </c>
      <c r="D162" s="2" t="n">
        <v>45291</v>
      </c>
      <c r="E162" s="2" t="n">
        <v>45291</v>
      </c>
      <c r="F162" s="3" t="s">
        <v>282</v>
      </c>
      <c r="G162" s="3" t="s">
        <v>283</v>
      </c>
      <c r="H162" s="0" t="n">
        <v>-37107</v>
      </c>
      <c r="I162" s="3" t="s">
        <v>13</v>
      </c>
    </row>
    <row r="163" customFormat="false" ht="15" hidden="false" customHeight="false" outlineLevel="0" collapsed="false">
      <c r="A163" s="0" t="n">
        <v>5654991</v>
      </c>
      <c r="B163" s="0" t="s">
        <v>9</v>
      </c>
      <c r="C163" s="0" t="s">
        <v>10</v>
      </c>
      <c r="D163" s="2" t="n">
        <v>45291</v>
      </c>
      <c r="E163" s="2" t="n">
        <v>45291</v>
      </c>
      <c r="F163" s="3" t="s">
        <v>284</v>
      </c>
      <c r="G163" s="3" t="s">
        <v>285</v>
      </c>
      <c r="H163" s="0" t="n">
        <v>0</v>
      </c>
      <c r="I163" s="3" t="s">
        <v>13</v>
      </c>
    </row>
    <row r="164" customFormat="false" ht="15" hidden="false" customHeight="false" outlineLevel="0" collapsed="false">
      <c r="A164" s="0" t="n">
        <v>5654992</v>
      </c>
      <c r="B164" s="0" t="s">
        <v>9</v>
      </c>
      <c r="C164" s="0" t="s">
        <v>10</v>
      </c>
      <c r="D164" s="2" t="n">
        <v>45291</v>
      </c>
      <c r="E164" s="2" t="n">
        <v>45291</v>
      </c>
      <c r="F164" s="3" t="s">
        <v>286</v>
      </c>
      <c r="G164" s="3" t="s">
        <v>287</v>
      </c>
      <c r="H164" s="0" t="n">
        <v>0</v>
      </c>
      <c r="I164" s="3" t="s">
        <v>13</v>
      </c>
    </row>
    <row r="165" customFormat="false" ht="15" hidden="false" customHeight="false" outlineLevel="0" collapsed="false">
      <c r="A165" s="0" t="n">
        <v>5654993</v>
      </c>
      <c r="B165" s="0" t="s">
        <v>9</v>
      </c>
      <c r="C165" s="0" t="s">
        <v>10</v>
      </c>
      <c r="D165" s="2" t="n">
        <v>45291</v>
      </c>
      <c r="E165" s="2" t="n">
        <v>45291</v>
      </c>
      <c r="F165" s="3" t="s">
        <v>288</v>
      </c>
      <c r="G165" s="3" t="s">
        <v>289</v>
      </c>
      <c r="H165" s="0" t="n">
        <v>0</v>
      </c>
      <c r="I165" s="3" t="s">
        <v>13</v>
      </c>
    </row>
    <row r="166" customFormat="false" ht="15" hidden="false" customHeight="false" outlineLevel="0" collapsed="false">
      <c r="A166" s="0" t="n">
        <v>5654994</v>
      </c>
      <c r="B166" s="0" t="s">
        <v>9</v>
      </c>
      <c r="C166" s="0" t="s">
        <v>10</v>
      </c>
      <c r="D166" s="2" t="n">
        <v>45291</v>
      </c>
      <c r="E166" s="2" t="n">
        <v>45291</v>
      </c>
      <c r="F166" s="3" t="s">
        <v>290</v>
      </c>
      <c r="G166" s="3" t="s">
        <v>291</v>
      </c>
      <c r="H166" s="0" t="n">
        <v>128545</v>
      </c>
      <c r="I166" s="3" t="s">
        <v>13</v>
      </c>
    </row>
    <row r="167" customFormat="false" ht="15" hidden="false" customHeight="false" outlineLevel="0" collapsed="false">
      <c r="A167" s="0" t="n">
        <v>5654995</v>
      </c>
      <c r="B167" s="0" t="s">
        <v>9</v>
      </c>
      <c r="C167" s="0" t="s">
        <v>10</v>
      </c>
      <c r="D167" s="2" t="n">
        <v>45291</v>
      </c>
      <c r="E167" s="2" t="n">
        <v>45291</v>
      </c>
      <c r="F167" s="3" t="s">
        <v>292</v>
      </c>
      <c r="G167" s="3" t="s">
        <v>293</v>
      </c>
      <c r="H167" s="0" t="n">
        <v>-165652</v>
      </c>
      <c r="I167" s="3" t="s">
        <v>13</v>
      </c>
    </row>
    <row r="168" customFormat="false" ht="15" hidden="false" customHeight="false" outlineLevel="0" collapsed="false">
      <c r="A168" s="0" t="n">
        <v>5654996</v>
      </c>
      <c r="B168" s="0" t="s">
        <v>9</v>
      </c>
      <c r="C168" s="0" t="s">
        <v>10</v>
      </c>
      <c r="D168" s="2" t="n">
        <v>45291</v>
      </c>
      <c r="E168" s="2" t="n">
        <v>45291</v>
      </c>
      <c r="F168" s="3" t="s">
        <v>294</v>
      </c>
      <c r="G168" s="3" t="s">
        <v>248</v>
      </c>
      <c r="H168" s="0" t="n">
        <v>0</v>
      </c>
      <c r="I168" s="3" t="s">
        <v>13</v>
      </c>
    </row>
    <row r="169" customFormat="false" ht="15" hidden="false" customHeight="false" outlineLevel="0" collapsed="false">
      <c r="A169" s="0" t="n">
        <v>5654997</v>
      </c>
      <c r="B169" s="0" t="s">
        <v>9</v>
      </c>
      <c r="C169" s="0" t="s">
        <v>10</v>
      </c>
      <c r="D169" s="2" t="n">
        <v>45291</v>
      </c>
      <c r="E169" s="2" t="n">
        <v>45291</v>
      </c>
      <c r="F169" s="3" t="s">
        <v>295</v>
      </c>
      <c r="G169" s="3" t="s">
        <v>296</v>
      </c>
      <c r="H169" s="0" t="n">
        <v>0</v>
      </c>
      <c r="I169" s="3" t="s">
        <v>13</v>
      </c>
    </row>
    <row r="170" customFormat="false" ht="15" hidden="false" customHeight="false" outlineLevel="0" collapsed="false">
      <c r="A170" s="0" t="n">
        <v>5654998</v>
      </c>
      <c r="B170" s="0" t="s">
        <v>9</v>
      </c>
      <c r="C170" s="0" t="s">
        <v>10</v>
      </c>
      <c r="D170" s="2" t="n">
        <v>45291</v>
      </c>
      <c r="E170" s="2" t="n">
        <v>45291</v>
      </c>
      <c r="F170" s="3" t="s">
        <v>297</v>
      </c>
      <c r="G170" s="3" t="s">
        <v>298</v>
      </c>
      <c r="H170" s="0" t="n">
        <v>1034514</v>
      </c>
      <c r="I170" s="3" t="s">
        <v>13</v>
      </c>
    </row>
    <row r="171" customFormat="false" ht="15" hidden="false" customHeight="false" outlineLevel="0" collapsed="false">
      <c r="A171" s="0" t="n">
        <v>5654999</v>
      </c>
      <c r="B171" s="0" t="s">
        <v>9</v>
      </c>
      <c r="C171" s="0" t="s">
        <v>10</v>
      </c>
      <c r="D171" s="2" t="n">
        <v>45291</v>
      </c>
      <c r="E171" s="2" t="n">
        <v>45291</v>
      </c>
      <c r="F171" s="3" t="s">
        <v>299</v>
      </c>
      <c r="G171" s="3" t="s">
        <v>300</v>
      </c>
      <c r="H171" s="0" t="n">
        <v>103547</v>
      </c>
      <c r="I171" s="3" t="s">
        <v>13</v>
      </c>
    </row>
    <row r="172" customFormat="false" ht="15" hidden="false" customHeight="false" outlineLevel="0" collapsed="false">
      <c r="A172" s="0" t="n">
        <v>5655000</v>
      </c>
      <c r="B172" s="0" t="s">
        <v>9</v>
      </c>
      <c r="C172" s="0" t="s">
        <v>10</v>
      </c>
      <c r="D172" s="2" t="n">
        <v>45291</v>
      </c>
      <c r="E172" s="2" t="n">
        <v>45291</v>
      </c>
      <c r="F172" s="3" t="s">
        <v>301</v>
      </c>
      <c r="G172" s="3" t="s">
        <v>302</v>
      </c>
      <c r="H172" s="0" t="n">
        <v>0</v>
      </c>
      <c r="I172" s="3" t="s">
        <v>13</v>
      </c>
    </row>
    <row r="173" customFormat="false" ht="15" hidden="false" customHeight="false" outlineLevel="0" collapsed="false">
      <c r="A173" s="0" t="n">
        <v>5655001</v>
      </c>
      <c r="B173" s="0" t="s">
        <v>9</v>
      </c>
      <c r="C173" s="0" t="s">
        <v>10</v>
      </c>
      <c r="D173" s="2" t="n">
        <v>45291</v>
      </c>
      <c r="E173" s="2" t="n">
        <v>45291</v>
      </c>
      <c r="F173" s="3" t="s">
        <v>303</v>
      </c>
      <c r="G173" s="3" t="s">
        <v>304</v>
      </c>
      <c r="H173" s="0" t="n">
        <v>0</v>
      </c>
      <c r="I173" s="3" t="s">
        <v>13</v>
      </c>
    </row>
    <row r="174" customFormat="false" ht="15" hidden="false" customHeight="false" outlineLevel="0" collapsed="false">
      <c r="A174" s="0" t="n">
        <v>5655002</v>
      </c>
      <c r="B174" s="0" t="s">
        <v>9</v>
      </c>
      <c r="C174" s="0" t="s">
        <v>10</v>
      </c>
      <c r="D174" s="2" t="n">
        <v>45291</v>
      </c>
      <c r="E174" s="2" t="n">
        <v>45291</v>
      </c>
      <c r="F174" s="3" t="s">
        <v>305</v>
      </c>
      <c r="G174" s="3" t="s">
        <v>306</v>
      </c>
      <c r="H174" s="0" t="n">
        <v>0</v>
      </c>
      <c r="I174" s="3" t="s">
        <v>13</v>
      </c>
    </row>
    <row r="175" customFormat="false" ht="15" hidden="false" customHeight="false" outlineLevel="0" collapsed="false">
      <c r="A175" s="0" t="n">
        <v>5655003</v>
      </c>
      <c r="B175" s="0" t="s">
        <v>9</v>
      </c>
      <c r="C175" s="0" t="s">
        <v>10</v>
      </c>
      <c r="D175" s="2" t="n">
        <v>45291</v>
      </c>
      <c r="E175" s="2" t="n">
        <v>45291</v>
      </c>
      <c r="F175" s="3" t="s">
        <v>307</v>
      </c>
      <c r="G175" s="3" t="s">
        <v>308</v>
      </c>
      <c r="H175" s="0" t="n">
        <v>0</v>
      </c>
      <c r="I175" s="3" t="s">
        <v>13</v>
      </c>
    </row>
    <row r="176" customFormat="false" ht="15" hidden="false" customHeight="false" outlineLevel="0" collapsed="false">
      <c r="A176" s="0" t="n">
        <v>5655004</v>
      </c>
      <c r="B176" s="0" t="s">
        <v>9</v>
      </c>
      <c r="C176" s="0" t="s">
        <v>10</v>
      </c>
      <c r="D176" s="2" t="n">
        <v>45291</v>
      </c>
      <c r="E176" s="2" t="n">
        <v>45291</v>
      </c>
      <c r="F176" s="3" t="s">
        <v>309</v>
      </c>
      <c r="G176" s="3" t="s">
        <v>310</v>
      </c>
      <c r="H176" s="0" t="n">
        <v>0</v>
      </c>
      <c r="I176" s="3" t="s">
        <v>13</v>
      </c>
    </row>
    <row r="177" customFormat="false" ht="15" hidden="false" customHeight="false" outlineLevel="0" collapsed="false">
      <c r="A177" s="0" t="n">
        <v>5655005</v>
      </c>
      <c r="B177" s="0" t="s">
        <v>9</v>
      </c>
      <c r="C177" s="0" t="s">
        <v>10</v>
      </c>
      <c r="D177" s="2" t="n">
        <v>45291</v>
      </c>
      <c r="E177" s="2" t="n">
        <v>45291</v>
      </c>
      <c r="F177" s="3" t="s">
        <v>311</v>
      </c>
      <c r="G177" s="3" t="s">
        <v>312</v>
      </c>
      <c r="H177" s="0" t="n">
        <v>830134</v>
      </c>
      <c r="I177" s="3" t="s">
        <v>13</v>
      </c>
    </row>
    <row r="178" customFormat="false" ht="15" hidden="false" customHeight="false" outlineLevel="0" collapsed="false">
      <c r="A178" s="0" t="n">
        <v>5655006</v>
      </c>
      <c r="B178" s="0" t="s">
        <v>9</v>
      </c>
      <c r="C178" s="0" t="s">
        <v>10</v>
      </c>
      <c r="D178" s="2" t="n">
        <v>45291</v>
      </c>
      <c r="E178" s="2" t="n">
        <v>45291</v>
      </c>
      <c r="F178" s="3" t="s">
        <v>313</v>
      </c>
      <c r="G178" s="3" t="s">
        <v>314</v>
      </c>
      <c r="H178" s="0" t="n">
        <v>0</v>
      </c>
      <c r="I178" s="3" t="s">
        <v>13</v>
      </c>
    </row>
    <row r="179" customFormat="false" ht="15" hidden="false" customHeight="false" outlineLevel="0" collapsed="false">
      <c r="A179" s="0" t="n">
        <v>5655007</v>
      </c>
      <c r="B179" s="0" t="s">
        <v>9</v>
      </c>
      <c r="C179" s="0" t="s">
        <v>10</v>
      </c>
      <c r="D179" s="2" t="n">
        <v>45291</v>
      </c>
      <c r="E179" s="2" t="n">
        <v>45291</v>
      </c>
      <c r="F179" s="3" t="s">
        <v>315</v>
      </c>
      <c r="G179" s="3" t="s">
        <v>293</v>
      </c>
      <c r="H179" s="0" t="n">
        <v>0</v>
      </c>
      <c r="I179" s="3" t="s">
        <v>13</v>
      </c>
    </row>
    <row r="180" customFormat="false" ht="15" hidden="false" customHeight="false" outlineLevel="0" collapsed="false">
      <c r="A180" s="0" t="n">
        <v>5655008</v>
      </c>
      <c r="B180" s="0" t="s">
        <v>9</v>
      </c>
      <c r="C180" s="0" t="s">
        <v>10</v>
      </c>
      <c r="D180" s="2" t="n">
        <v>45291</v>
      </c>
      <c r="E180" s="2" t="n">
        <v>45291</v>
      </c>
      <c r="F180" s="3" t="s">
        <v>316</v>
      </c>
      <c r="G180" s="3" t="s">
        <v>317</v>
      </c>
      <c r="H180" s="0" t="n">
        <v>100833</v>
      </c>
      <c r="I180" s="3" t="s">
        <v>13</v>
      </c>
    </row>
    <row r="181" customFormat="false" ht="15" hidden="false" customHeight="false" outlineLevel="0" collapsed="false">
      <c r="A181" s="0" t="n">
        <v>5655009</v>
      </c>
      <c r="B181" s="0" t="s">
        <v>9</v>
      </c>
      <c r="C181" s="0" t="s">
        <v>10</v>
      </c>
      <c r="D181" s="2" t="n">
        <v>45291</v>
      </c>
      <c r="E181" s="2" t="n">
        <v>45291</v>
      </c>
      <c r="F181" s="3" t="s">
        <v>318</v>
      </c>
      <c r="G181" s="3" t="s">
        <v>319</v>
      </c>
      <c r="H181" s="0" t="n">
        <v>0</v>
      </c>
      <c r="I181" s="3" t="s">
        <v>13</v>
      </c>
    </row>
    <row r="182" customFormat="false" ht="15" hidden="false" customHeight="false" outlineLevel="0" collapsed="false">
      <c r="A182" s="0" t="n">
        <v>5655010</v>
      </c>
      <c r="B182" s="0" t="s">
        <v>9</v>
      </c>
      <c r="C182" s="0" t="s">
        <v>10</v>
      </c>
      <c r="D182" s="2" t="n">
        <v>45291</v>
      </c>
      <c r="E182" s="2" t="n">
        <v>45291</v>
      </c>
      <c r="F182" s="3" t="s">
        <v>320</v>
      </c>
      <c r="G182" s="3" t="s">
        <v>321</v>
      </c>
      <c r="H182" s="0" t="n">
        <v>0</v>
      </c>
      <c r="I182" s="3" t="s">
        <v>13</v>
      </c>
    </row>
    <row r="183" customFormat="false" ht="15" hidden="false" customHeight="false" outlineLevel="0" collapsed="false">
      <c r="A183" s="0" t="n">
        <v>5655011</v>
      </c>
      <c r="B183" s="0" t="s">
        <v>9</v>
      </c>
      <c r="C183" s="0" t="s">
        <v>10</v>
      </c>
      <c r="D183" s="2" t="n">
        <v>45291</v>
      </c>
      <c r="E183" s="2" t="n">
        <v>45291</v>
      </c>
      <c r="F183" s="3" t="s">
        <v>322</v>
      </c>
      <c r="G183" s="3" t="s">
        <v>323</v>
      </c>
      <c r="H183" s="0" t="n">
        <v>0</v>
      </c>
      <c r="I183" s="3" t="s">
        <v>13</v>
      </c>
    </row>
    <row r="184" customFormat="false" ht="15" hidden="false" customHeight="false" outlineLevel="0" collapsed="false">
      <c r="A184" s="0" t="n">
        <v>5655012</v>
      </c>
      <c r="B184" s="0" t="s">
        <v>9</v>
      </c>
      <c r="C184" s="0" t="s">
        <v>10</v>
      </c>
      <c r="D184" s="2" t="n">
        <v>45291</v>
      </c>
      <c r="E184" s="2" t="n">
        <v>45291</v>
      </c>
      <c r="F184" s="3" t="s">
        <v>324</v>
      </c>
      <c r="G184" s="3" t="s">
        <v>325</v>
      </c>
      <c r="H184" s="0" t="n">
        <v>27537</v>
      </c>
      <c r="I184" s="3" t="s">
        <v>13</v>
      </c>
    </row>
    <row r="185" customFormat="false" ht="15" hidden="false" customHeight="false" outlineLevel="0" collapsed="false">
      <c r="A185" s="0" t="n">
        <v>5655013</v>
      </c>
      <c r="B185" s="0" t="s">
        <v>9</v>
      </c>
      <c r="C185" s="0" t="s">
        <v>10</v>
      </c>
      <c r="D185" s="2" t="n">
        <v>45291</v>
      </c>
      <c r="E185" s="2" t="n">
        <v>45291</v>
      </c>
      <c r="F185" s="3" t="s">
        <v>326</v>
      </c>
      <c r="G185" s="3" t="s">
        <v>327</v>
      </c>
      <c r="H185" s="0" t="n">
        <v>0</v>
      </c>
      <c r="I185" s="3" t="s">
        <v>13</v>
      </c>
    </row>
    <row r="186" customFormat="false" ht="15" hidden="false" customHeight="false" outlineLevel="0" collapsed="false">
      <c r="A186" s="0" t="n">
        <v>5655014</v>
      </c>
      <c r="B186" s="0" t="s">
        <v>9</v>
      </c>
      <c r="C186" s="0" t="s">
        <v>10</v>
      </c>
      <c r="D186" s="2" t="n">
        <v>44927</v>
      </c>
      <c r="E186" s="2" t="n">
        <v>45291</v>
      </c>
      <c r="F186" s="3" t="s">
        <v>328</v>
      </c>
      <c r="G186" s="3" t="s">
        <v>329</v>
      </c>
      <c r="H186" s="0" t="n">
        <v>13647849</v>
      </c>
      <c r="I186" s="3" t="s">
        <v>13</v>
      </c>
    </row>
    <row r="187" customFormat="false" ht="15" hidden="false" customHeight="false" outlineLevel="0" collapsed="false">
      <c r="A187" s="0" t="n">
        <v>5655015</v>
      </c>
      <c r="B187" s="0" t="s">
        <v>9</v>
      </c>
      <c r="C187" s="0" t="s">
        <v>10</v>
      </c>
      <c r="D187" s="2" t="n">
        <v>44927</v>
      </c>
      <c r="E187" s="2" t="n">
        <v>45291</v>
      </c>
      <c r="F187" s="3" t="s">
        <v>330</v>
      </c>
      <c r="G187" s="3" t="s">
        <v>331</v>
      </c>
      <c r="H187" s="0" t="n">
        <v>11643257</v>
      </c>
      <c r="I187" s="3" t="s">
        <v>13</v>
      </c>
    </row>
    <row r="188" customFormat="false" ht="15" hidden="false" customHeight="false" outlineLevel="0" collapsed="false">
      <c r="A188" s="0" t="n">
        <v>5655016</v>
      </c>
      <c r="B188" s="0" t="s">
        <v>9</v>
      </c>
      <c r="C188" s="0" t="s">
        <v>10</v>
      </c>
      <c r="D188" s="2" t="n">
        <v>44927</v>
      </c>
      <c r="E188" s="2" t="n">
        <v>45291</v>
      </c>
      <c r="F188" s="3" t="s">
        <v>332</v>
      </c>
      <c r="G188" s="3" t="s">
        <v>333</v>
      </c>
      <c r="H188" s="0" t="n">
        <v>2004592</v>
      </c>
      <c r="I188" s="3" t="s">
        <v>13</v>
      </c>
    </row>
    <row r="189" customFormat="false" ht="15" hidden="false" customHeight="false" outlineLevel="0" collapsed="false">
      <c r="A189" s="0" t="n">
        <v>5655017</v>
      </c>
      <c r="B189" s="0" t="s">
        <v>9</v>
      </c>
      <c r="C189" s="0" t="s">
        <v>10</v>
      </c>
      <c r="D189" s="2" t="n">
        <v>44927</v>
      </c>
      <c r="E189" s="2" t="n">
        <v>45291</v>
      </c>
      <c r="F189" s="3" t="s">
        <v>334</v>
      </c>
      <c r="G189" s="3" t="s">
        <v>335</v>
      </c>
      <c r="H189" s="0" t="n">
        <v>-5427247</v>
      </c>
      <c r="I189" s="3" t="s">
        <v>13</v>
      </c>
    </row>
    <row r="190" customFormat="false" ht="15" hidden="false" customHeight="false" outlineLevel="0" collapsed="false">
      <c r="A190" s="0" t="n">
        <v>5655018</v>
      </c>
      <c r="B190" s="0" t="s">
        <v>9</v>
      </c>
      <c r="C190" s="0" t="s">
        <v>10</v>
      </c>
      <c r="D190" s="2" t="n">
        <v>44927</v>
      </c>
      <c r="E190" s="2" t="n">
        <v>45291</v>
      </c>
      <c r="F190" s="3" t="s">
        <v>336</v>
      </c>
      <c r="G190" s="3" t="s">
        <v>337</v>
      </c>
      <c r="H190" s="0" t="n">
        <v>-5294256</v>
      </c>
      <c r="I190" s="3" t="s">
        <v>13</v>
      </c>
    </row>
    <row r="191" customFormat="false" ht="15" hidden="false" customHeight="false" outlineLevel="0" collapsed="false">
      <c r="A191" s="0" t="n">
        <v>5655019</v>
      </c>
      <c r="B191" s="0" t="s">
        <v>9</v>
      </c>
      <c r="C191" s="0" t="s">
        <v>10</v>
      </c>
      <c r="D191" s="2" t="n">
        <v>44927</v>
      </c>
      <c r="E191" s="2" t="n">
        <v>45291</v>
      </c>
      <c r="F191" s="3" t="s">
        <v>338</v>
      </c>
      <c r="G191" s="3" t="s">
        <v>339</v>
      </c>
      <c r="H191" s="0" t="n">
        <v>-132991</v>
      </c>
      <c r="I191" s="3" t="s">
        <v>13</v>
      </c>
    </row>
    <row r="192" customFormat="false" ht="15" hidden="false" customHeight="false" outlineLevel="0" collapsed="false">
      <c r="A192" s="0" t="n">
        <v>5655020</v>
      </c>
      <c r="B192" s="0" t="s">
        <v>9</v>
      </c>
      <c r="C192" s="0" t="s">
        <v>10</v>
      </c>
      <c r="D192" s="2" t="n">
        <v>44927</v>
      </c>
      <c r="E192" s="2" t="n">
        <v>45291</v>
      </c>
      <c r="F192" s="3" t="s">
        <v>340</v>
      </c>
      <c r="G192" s="3" t="s">
        <v>341</v>
      </c>
      <c r="H192" s="0" t="n">
        <v>8220602</v>
      </c>
      <c r="I192" s="3" t="s">
        <v>13</v>
      </c>
    </row>
    <row r="193" customFormat="false" ht="15" hidden="false" customHeight="false" outlineLevel="0" collapsed="false">
      <c r="A193" s="0" t="n">
        <v>5655021</v>
      </c>
      <c r="B193" s="0" t="s">
        <v>9</v>
      </c>
      <c r="C193" s="0" t="s">
        <v>10</v>
      </c>
      <c r="D193" s="2" t="n">
        <v>44927</v>
      </c>
      <c r="E193" s="2" t="n">
        <v>45291</v>
      </c>
      <c r="F193" s="3" t="s">
        <v>342</v>
      </c>
      <c r="G193" s="3" t="s">
        <v>343</v>
      </c>
      <c r="H193" s="0" t="n">
        <v>-7331525</v>
      </c>
      <c r="I193" s="3" t="s">
        <v>13</v>
      </c>
    </row>
    <row r="194" customFormat="false" ht="15" hidden="false" customHeight="false" outlineLevel="0" collapsed="false">
      <c r="A194" s="0" t="n">
        <v>5655022</v>
      </c>
      <c r="B194" s="0" t="s">
        <v>9</v>
      </c>
      <c r="C194" s="0" t="s">
        <v>10</v>
      </c>
      <c r="D194" s="2" t="n">
        <v>44927</v>
      </c>
      <c r="E194" s="2" t="n">
        <v>45291</v>
      </c>
      <c r="F194" s="3" t="s">
        <v>344</v>
      </c>
      <c r="G194" s="3" t="s">
        <v>345</v>
      </c>
      <c r="H194" s="0" t="n">
        <v>-3658154</v>
      </c>
      <c r="I194" s="3" t="s">
        <v>13</v>
      </c>
    </row>
    <row r="195" customFormat="false" ht="15" hidden="false" customHeight="false" outlineLevel="0" collapsed="false">
      <c r="A195" s="0" t="n">
        <v>5655023</v>
      </c>
      <c r="B195" s="0" t="s">
        <v>9</v>
      </c>
      <c r="C195" s="0" t="s">
        <v>10</v>
      </c>
      <c r="D195" s="2" t="n">
        <v>44927</v>
      </c>
      <c r="E195" s="2" t="n">
        <v>45291</v>
      </c>
      <c r="F195" s="3" t="s">
        <v>346</v>
      </c>
      <c r="G195" s="3" t="s">
        <v>347</v>
      </c>
      <c r="H195" s="0" t="n">
        <v>-1726176</v>
      </c>
      <c r="I195" s="3" t="s">
        <v>13</v>
      </c>
    </row>
    <row r="196" customFormat="false" ht="15" hidden="false" customHeight="false" outlineLevel="0" collapsed="false">
      <c r="A196" s="0" t="n">
        <v>5655024</v>
      </c>
      <c r="B196" s="0" t="s">
        <v>9</v>
      </c>
      <c r="C196" s="0" t="s">
        <v>10</v>
      </c>
      <c r="D196" s="2" t="n">
        <v>44927</v>
      </c>
      <c r="E196" s="2" t="n">
        <v>45291</v>
      </c>
      <c r="F196" s="3" t="s">
        <v>348</v>
      </c>
      <c r="G196" s="3" t="s">
        <v>349</v>
      </c>
      <c r="H196" s="0" t="n">
        <v>-1343277</v>
      </c>
      <c r="I196" s="3" t="s">
        <v>13</v>
      </c>
    </row>
    <row r="197" customFormat="false" ht="15" hidden="false" customHeight="false" outlineLevel="0" collapsed="false">
      <c r="A197" s="0" t="n">
        <v>5655025</v>
      </c>
      <c r="B197" s="0" t="s">
        <v>9</v>
      </c>
      <c r="C197" s="0" t="s">
        <v>10</v>
      </c>
      <c r="D197" s="2" t="n">
        <v>44927</v>
      </c>
      <c r="E197" s="2" t="n">
        <v>45291</v>
      </c>
      <c r="F197" s="3" t="s">
        <v>350</v>
      </c>
      <c r="G197" s="3" t="s">
        <v>351</v>
      </c>
      <c r="H197" s="0" t="n">
        <v>198797</v>
      </c>
      <c r="I197" s="3" t="s">
        <v>13</v>
      </c>
    </row>
    <row r="198" customFormat="false" ht="15" hidden="false" customHeight="false" outlineLevel="0" collapsed="false">
      <c r="A198" s="0" t="n">
        <v>5655026</v>
      </c>
      <c r="B198" s="0" t="s">
        <v>9</v>
      </c>
      <c r="C198" s="0" t="s">
        <v>10</v>
      </c>
      <c r="D198" s="2" t="n">
        <v>44927</v>
      </c>
      <c r="E198" s="2" t="n">
        <v>45291</v>
      </c>
      <c r="F198" s="3" t="s">
        <v>352</v>
      </c>
      <c r="G198" s="3" t="s">
        <v>353</v>
      </c>
      <c r="H198" s="0" t="n">
        <v>-802715</v>
      </c>
      <c r="I198" s="3" t="s">
        <v>13</v>
      </c>
    </row>
    <row r="199" customFormat="false" ht="15" hidden="false" customHeight="false" outlineLevel="0" collapsed="false">
      <c r="A199" s="0" t="n">
        <v>5655027</v>
      </c>
      <c r="B199" s="0" t="s">
        <v>9</v>
      </c>
      <c r="C199" s="0" t="s">
        <v>10</v>
      </c>
      <c r="D199" s="2" t="n">
        <v>44927</v>
      </c>
      <c r="E199" s="2" t="n">
        <v>45291</v>
      </c>
      <c r="F199" s="3" t="s">
        <v>354</v>
      </c>
      <c r="G199" s="3" t="s">
        <v>355</v>
      </c>
      <c r="H199" s="0" t="n">
        <v>0</v>
      </c>
      <c r="I199" s="3" t="s">
        <v>13</v>
      </c>
    </row>
    <row r="200" customFormat="false" ht="15" hidden="false" customHeight="false" outlineLevel="0" collapsed="false">
      <c r="A200" s="0" t="n">
        <v>5655028</v>
      </c>
      <c r="B200" s="0" t="s">
        <v>9</v>
      </c>
      <c r="C200" s="0" t="s">
        <v>10</v>
      </c>
      <c r="D200" s="2" t="n">
        <v>44927</v>
      </c>
      <c r="E200" s="2" t="n">
        <v>45291</v>
      </c>
      <c r="F200" s="3" t="s">
        <v>356</v>
      </c>
      <c r="G200" s="3" t="s">
        <v>357</v>
      </c>
      <c r="H200" s="0" t="n">
        <v>889077</v>
      </c>
      <c r="I200" s="3" t="s">
        <v>13</v>
      </c>
    </row>
    <row r="201" customFormat="false" ht="15" hidden="false" customHeight="false" outlineLevel="0" collapsed="false">
      <c r="A201" s="0" t="n">
        <v>5655029</v>
      </c>
      <c r="B201" s="0" t="s">
        <v>9</v>
      </c>
      <c r="C201" s="0" t="s">
        <v>10</v>
      </c>
      <c r="D201" s="2" t="n">
        <v>44927</v>
      </c>
      <c r="E201" s="2" t="n">
        <v>45291</v>
      </c>
      <c r="F201" s="3" t="s">
        <v>358</v>
      </c>
      <c r="G201" s="3" t="s">
        <v>359</v>
      </c>
      <c r="H201" s="0" t="n">
        <v>-48410</v>
      </c>
      <c r="I201" s="3" t="s">
        <v>13</v>
      </c>
    </row>
    <row r="202" customFormat="false" ht="15" hidden="false" customHeight="false" outlineLevel="0" collapsed="false">
      <c r="A202" s="0" t="n">
        <v>5655030</v>
      </c>
      <c r="B202" s="0" t="s">
        <v>9</v>
      </c>
      <c r="C202" s="0" t="s">
        <v>10</v>
      </c>
      <c r="D202" s="2" t="n">
        <v>44927</v>
      </c>
      <c r="E202" s="2" t="n">
        <v>45291</v>
      </c>
      <c r="F202" s="3" t="s">
        <v>360</v>
      </c>
      <c r="G202" s="3" t="s">
        <v>361</v>
      </c>
      <c r="H202" s="0" t="n">
        <v>610615</v>
      </c>
      <c r="I202" s="3" t="s">
        <v>13</v>
      </c>
    </row>
    <row r="203" customFormat="false" ht="15" hidden="false" customHeight="false" outlineLevel="0" collapsed="false">
      <c r="A203" s="0" t="n">
        <v>5655031</v>
      </c>
      <c r="B203" s="0" t="s">
        <v>9</v>
      </c>
      <c r="C203" s="0" t="s">
        <v>10</v>
      </c>
      <c r="D203" s="2" t="n">
        <v>44927</v>
      </c>
      <c r="E203" s="2" t="n">
        <v>45291</v>
      </c>
      <c r="F203" s="3" t="s">
        <v>362</v>
      </c>
      <c r="G203" s="3" t="s">
        <v>363</v>
      </c>
      <c r="H203" s="0" t="n">
        <v>-659025</v>
      </c>
      <c r="I203" s="3" t="s">
        <v>13</v>
      </c>
    </row>
    <row r="204" customFormat="false" ht="15" hidden="false" customHeight="false" outlineLevel="0" collapsed="false">
      <c r="A204" s="0" t="n">
        <v>5655032</v>
      </c>
      <c r="B204" s="0" t="s">
        <v>9</v>
      </c>
      <c r="C204" s="0" t="s">
        <v>10</v>
      </c>
      <c r="D204" s="2" t="n">
        <v>44927</v>
      </c>
      <c r="E204" s="2" t="n">
        <v>45291</v>
      </c>
      <c r="F204" s="3" t="s">
        <v>364</v>
      </c>
      <c r="G204" s="3" t="s">
        <v>365</v>
      </c>
      <c r="H204" s="0" t="n">
        <v>840667</v>
      </c>
      <c r="I204" s="3" t="s">
        <v>13</v>
      </c>
    </row>
    <row r="205" customFormat="false" ht="15" hidden="false" customHeight="false" outlineLevel="0" collapsed="false">
      <c r="A205" s="0" t="n">
        <v>5655033</v>
      </c>
      <c r="B205" s="0" t="s">
        <v>9</v>
      </c>
      <c r="C205" s="0" t="s">
        <v>10</v>
      </c>
      <c r="D205" s="2" t="n">
        <v>44927</v>
      </c>
      <c r="E205" s="2" t="n">
        <v>45291</v>
      </c>
      <c r="F205" s="3" t="s">
        <v>366</v>
      </c>
      <c r="G205" s="3" t="s">
        <v>367</v>
      </c>
      <c r="H205" s="0" t="n">
        <v>135592</v>
      </c>
      <c r="I205" s="3" t="s">
        <v>13</v>
      </c>
    </row>
    <row r="206" customFormat="false" ht="15" hidden="false" customHeight="false" outlineLevel="0" collapsed="false">
      <c r="A206" s="0" t="n">
        <v>5655034</v>
      </c>
      <c r="B206" s="0" t="s">
        <v>9</v>
      </c>
      <c r="C206" s="0" t="s">
        <v>10</v>
      </c>
      <c r="D206" s="2" t="n">
        <v>44927</v>
      </c>
      <c r="E206" s="2" t="n">
        <v>45291</v>
      </c>
      <c r="F206" s="3" t="s">
        <v>368</v>
      </c>
      <c r="G206" s="3" t="s">
        <v>369</v>
      </c>
      <c r="H206" s="0" t="n">
        <v>-105228</v>
      </c>
      <c r="I206" s="3" t="s">
        <v>13</v>
      </c>
    </row>
    <row r="207" customFormat="false" ht="15" hidden="false" customHeight="false" outlineLevel="0" collapsed="false">
      <c r="A207" s="0" t="n">
        <v>5655035</v>
      </c>
      <c r="B207" s="0" t="s">
        <v>9</v>
      </c>
      <c r="C207" s="0" t="s">
        <v>10</v>
      </c>
      <c r="D207" s="2" t="n">
        <v>44927</v>
      </c>
      <c r="E207" s="2" t="n">
        <v>45291</v>
      </c>
      <c r="F207" s="3" t="s">
        <v>370</v>
      </c>
      <c r="G207" s="3" t="s">
        <v>371</v>
      </c>
      <c r="H207" s="0" t="n">
        <v>240820</v>
      </c>
      <c r="I207" s="3" t="s">
        <v>13</v>
      </c>
    </row>
    <row r="208" customFormat="false" ht="15" hidden="false" customHeight="false" outlineLevel="0" collapsed="false">
      <c r="A208" s="0" t="n">
        <v>5655036</v>
      </c>
      <c r="B208" s="0" t="s">
        <v>9</v>
      </c>
      <c r="C208" s="0" t="s">
        <v>10</v>
      </c>
      <c r="D208" s="2" t="n">
        <v>44927</v>
      </c>
      <c r="E208" s="2" t="n">
        <v>45291</v>
      </c>
      <c r="F208" s="3" t="s">
        <v>372</v>
      </c>
      <c r="G208" s="3" t="s">
        <v>373</v>
      </c>
      <c r="H208" s="0" t="n">
        <v>976259</v>
      </c>
      <c r="I208" s="3" t="s">
        <v>13</v>
      </c>
    </row>
    <row r="209" customFormat="false" ht="15" hidden="false" customHeight="false" outlineLevel="0" collapsed="false">
      <c r="A209" s="0" t="n">
        <v>5655037</v>
      </c>
      <c r="B209" s="0" t="s">
        <v>9</v>
      </c>
      <c r="C209" s="0" t="s">
        <v>10</v>
      </c>
      <c r="D209" s="2" t="n">
        <v>44927</v>
      </c>
      <c r="E209" s="2" t="n">
        <v>45291</v>
      </c>
      <c r="F209" s="3" t="s">
        <v>374</v>
      </c>
      <c r="G209" s="3" t="s">
        <v>375</v>
      </c>
      <c r="H209" s="0" t="n">
        <v>0</v>
      </c>
      <c r="I209" s="3" t="s">
        <v>13</v>
      </c>
    </row>
    <row r="210" customFormat="false" ht="15" hidden="false" customHeight="false" outlineLevel="0" collapsed="false">
      <c r="A210" s="0" t="n">
        <v>5655038</v>
      </c>
      <c r="B210" s="0" t="s">
        <v>9</v>
      </c>
      <c r="C210" s="0" t="s">
        <v>10</v>
      </c>
      <c r="D210" s="2" t="n">
        <v>44927</v>
      </c>
      <c r="E210" s="2" t="n">
        <v>45291</v>
      </c>
      <c r="F210" s="3" t="s">
        <v>376</v>
      </c>
      <c r="G210" s="3" t="s">
        <v>377</v>
      </c>
      <c r="H210" s="0" t="n">
        <v>0</v>
      </c>
      <c r="I210" s="3" t="s">
        <v>13</v>
      </c>
    </row>
    <row r="211" customFormat="false" ht="15" hidden="false" customHeight="false" outlineLevel="0" collapsed="false">
      <c r="A211" s="0" t="n">
        <v>5655039</v>
      </c>
      <c r="B211" s="0" t="s">
        <v>9</v>
      </c>
      <c r="C211" s="0" t="s">
        <v>10</v>
      </c>
      <c r="D211" s="2" t="n">
        <v>44927</v>
      </c>
      <c r="E211" s="2" t="n">
        <v>45291</v>
      </c>
      <c r="F211" s="3" t="s">
        <v>378</v>
      </c>
      <c r="G211" s="3" t="s">
        <v>379</v>
      </c>
      <c r="H211" s="0" t="n">
        <v>0</v>
      </c>
      <c r="I211" s="3" t="s">
        <v>13</v>
      </c>
    </row>
    <row r="212" customFormat="false" ht="15" hidden="false" customHeight="false" outlineLevel="0" collapsed="false">
      <c r="A212" s="0" t="n">
        <v>5655040</v>
      </c>
      <c r="B212" s="0" t="s">
        <v>9</v>
      </c>
      <c r="C212" s="0" t="s">
        <v>10</v>
      </c>
      <c r="D212" s="2" t="n">
        <v>44927</v>
      </c>
      <c r="E212" s="2" t="n">
        <v>45291</v>
      </c>
      <c r="F212" s="3" t="s">
        <v>380</v>
      </c>
      <c r="G212" s="3" t="s">
        <v>381</v>
      </c>
      <c r="H212" s="0" t="n">
        <v>976259</v>
      </c>
      <c r="I212" s="3" t="s">
        <v>13</v>
      </c>
    </row>
    <row r="213" customFormat="false" ht="15" hidden="false" customHeight="false" outlineLevel="0" collapsed="false">
      <c r="A213" s="0" t="n">
        <v>5655041</v>
      </c>
      <c r="B213" s="0" t="s">
        <v>9</v>
      </c>
      <c r="C213" s="0" t="s">
        <v>10</v>
      </c>
      <c r="D213" s="2" t="n">
        <v>44927</v>
      </c>
      <c r="E213" s="2" t="n">
        <v>45291</v>
      </c>
      <c r="F213" s="3" t="s">
        <v>382</v>
      </c>
      <c r="G213" s="3" t="s">
        <v>383</v>
      </c>
      <c r="H213" s="0" t="n">
        <v>976259</v>
      </c>
      <c r="I213" s="3" t="s">
        <v>13</v>
      </c>
    </row>
    <row r="214" customFormat="false" ht="15" hidden="false" customHeight="false" outlineLevel="0" collapsed="false">
      <c r="A214" s="0" t="n">
        <v>5655042</v>
      </c>
      <c r="B214" s="0" t="s">
        <v>9</v>
      </c>
      <c r="C214" s="0" t="s">
        <v>10</v>
      </c>
      <c r="D214" s="2" t="n">
        <v>44927</v>
      </c>
      <c r="E214" s="2" t="n">
        <v>45291</v>
      </c>
      <c r="F214" s="3" t="s">
        <v>384</v>
      </c>
      <c r="G214" s="3" t="s">
        <v>385</v>
      </c>
      <c r="H214" s="0" t="n">
        <v>0</v>
      </c>
      <c r="I214" s="3" t="s">
        <v>13</v>
      </c>
    </row>
    <row r="215" customFormat="false" ht="15" hidden="false" customHeight="false" outlineLevel="0" collapsed="false">
      <c r="A215" s="0" t="n">
        <v>5655043</v>
      </c>
      <c r="B215" s="0" t="s">
        <v>9</v>
      </c>
      <c r="C215" s="0" t="s">
        <v>10</v>
      </c>
      <c r="D215" s="2" t="n">
        <v>44927</v>
      </c>
      <c r="E215" s="2" t="n">
        <v>45291</v>
      </c>
      <c r="F215" s="3" t="s">
        <v>386</v>
      </c>
      <c r="G215" s="3" t="s">
        <v>387</v>
      </c>
      <c r="H215" s="0" t="n">
        <v>0</v>
      </c>
      <c r="I215" s="3" t="s">
        <v>13</v>
      </c>
    </row>
    <row r="216" customFormat="false" ht="15" hidden="false" customHeight="false" outlineLevel="0" collapsed="false">
      <c r="A216" s="0" t="n">
        <v>5655044</v>
      </c>
      <c r="B216" s="0" t="s">
        <v>9</v>
      </c>
      <c r="C216" s="0" t="s">
        <v>10</v>
      </c>
      <c r="D216" s="2" t="n">
        <v>44927</v>
      </c>
      <c r="E216" s="2" t="n">
        <v>45291</v>
      </c>
      <c r="F216" s="3" t="s">
        <v>388</v>
      </c>
      <c r="G216" s="3" t="s">
        <v>389</v>
      </c>
      <c r="H216" s="0" t="n">
        <v>1</v>
      </c>
      <c r="I216" s="3" t="s">
        <v>13</v>
      </c>
    </row>
    <row r="217" customFormat="false" ht="15" hidden="false" customHeight="false" outlineLevel="0" collapsed="false">
      <c r="A217" s="0" t="n">
        <v>5655045</v>
      </c>
      <c r="B217" s="0" t="s">
        <v>9</v>
      </c>
      <c r="C217" s="0" t="s">
        <v>10</v>
      </c>
      <c r="D217" s="2" t="n">
        <v>44927</v>
      </c>
      <c r="E217" s="2" t="n">
        <v>45291</v>
      </c>
      <c r="F217" s="3" t="s">
        <v>390</v>
      </c>
      <c r="G217" s="3" t="s">
        <v>391</v>
      </c>
      <c r="H217" s="0" t="n">
        <v>1</v>
      </c>
      <c r="I217" s="3" t="s">
        <v>13</v>
      </c>
    </row>
    <row r="218" customFormat="false" ht="15" hidden="false" customHeight="false" outlineLevel="0" collapsed="false">
      <c r="A218" s="0" t="n">
        <v>5655046</v>
      </c>
      <c r="B218" s="0" t="s">
        <v>9</v>
      </c>
      <c r="C218" s="0" t="s">
        <v>10</v>
      </c>
      <c r="D218" s="2" t="n">
        <v>44927</v>
      </c>
      <c r="E218" s="2" t="n">
        <v>45291</v>
      </c>
      <c r="F218" s="3" t="s">
        <v>392</v>
      </c>
      <c r="G218" s="3" t="s">
        <v>393</v>
      </c>
      <c r="H218" s="0" t="n">
        <v>1</v>
      </c>
      <c r="I218" s="3" t="s">
        <v>13</v>
      </c>
    </row>
    <row r="219" customFormat="false" ht="15" hidden="false" customHeight="false" outlineLevel="0" collapsed="false">
      <c r="A219" s="0" t="n">
        <v>5655047</v>
      </c>
      <c r="B219" s="0" t="s">
        <v>9</v>
      </c>
      <c r="C219" s="0" t="s">
        <v>10</v>
      </c>
      <c r="D219" s="2" t="n">
        <v>44927</v>
      </c>
      <c r="E219" s="2" t="n">
        <v>45291</v>
      </c>
      <c r="F219" s="3" t="s">
        <v>394</v>
      </c>
      <c r="G219" s="3" t="s">
        <v>391</v>
      </c>
      <c r="H219" s="0" t="n">
        <v>1</v>
      </c>
      <c r="I219" s="3" t="s">
        <v>13</v>
      </c>
    </row>
    <row r="220" customFormat="false" ht="15" hidden="false" customHeight="false" outlineLevel="0" collapsed="false">
      <c r="A220" s="0" t="n">
        <v>5655048</v>
      </c>
      <c r="B220" s="0" t="s">
        <v>9</v>
      </c>
      <c r="C220" s="0" t="s">
        <v>10</v>
      </c>
      <c r="D220" s="2" t="n">
        <v>44927</v>
      </c>
      <c r="E220" s="2" t="n">
        <v>45291</v>
      </c>
      <c r="F220" s="3" t="s">
        <v>395</v>
      </c>
      <c r="G220" s="3" t="s">
        <v>396</v>
      </c>
      <c r="H220" s="0" t="n">
        <v>2663364</v>
      </c>
      <c r="I220" s="3" t="s">
        <v>13</v>
      </c>
    </row>
    <row r="221" customFormat="false" ht="15" hidden="false" customHeight="false" outlineLevel="0" collapsed="false">
      <c r="A221" s="0" t="n">
        <v>5655049</v>
      </c>
      <c r="B221" s="0" t="s">
        <v>9</v>
      </c>
      <c r="C221" s="0" t="s">
        <v>10</v>
      </c>
      <c r="D221" s="2" t="n">
        <v>44927</v>
      </c>
      <c r="E221" s="2" t="n">
        <v>45291</v>
      </c>
      <c r="F221" s="3" t="s">
        <v>397</v>
      </c>
      <c r="G221" s="3" t="s">
        <v>398</v>
      </c>
      <c r="H221" s="0" t="n">
        <v>2857914</v>
      </c>
      <c r="I221" s="3" t="s">
        <v>13</v>
      </c>
    </row>
    <row r="222" customFormat="false" ht="15" hidden="false" customHeight="false" outlineLevel="0" collapsed="false">
      <c r="A222" s="0" t="n">
        <v>5655050</v>
      </c>
      <c r="B222" s="0" t="s">
        <v>9</v>
      </c>
      <c r="C222" s="0" t="s">
        <v>10</v>
      </c>
      <c r="D222" s="2" t="n">
        <v>44927</v>
      </c>
      <c r="E222" s="2" t="n">
        <v>45291</v>
      </c>
      <c r="F222" s="3" t="s">
        <v>399</v>
      </c>
      <c r="G222" s="3" t="s">
        <v>400</v>
      </c>
      <c r="H222" s="0" t="n">
        <v>976259</v>
      </c>
      <c r="I222" s="3" t="s">
        <v>13</v>
      </c>
    </row>
    <row r="223" customFormat="false" ht="15" hidden="false" customHeight="false" outlineLevel="0" collapsed="false">
      <c r="A223" s="0" t="n">
        <v>5655051</v>
      </c>
      <c r="B223" s="0" t="s">
        <v>9</v>
      </c>
      <c r="C223" s="0" t="s">
        <v>10</v>
      </c>
      <c r="D223" s="2" t="n">
        <v>44927</v>
      </c>
      <c r="E223" s="2" t="n">
        <v>45291</v>
      </c>
      <c r="F223" s="3" t="s">
        <v>401</v>
      </c>
      <c r="G223" s="3" t="s">
        <v>402</v>
      </c>
      <c r="H223" s="0" t="n">
        <v>1098363</v>
      </c>
      <c r="I223" s="3" t="s">
        <v>13</v>
      </c>
    </row>
    <row r="224" customFormat="false" ht="15" hidden="false" customHeight="false" outlineLevel="0" collapsed="false">
      <c r="A224" s="0" t="n">
        <v>5655052</v>
      </c>
      <c r="B224" s="0" t="s">
        <v>9</v>
      </c>
      <c r="C224" s="0" t="s">
        <v>10</v>
      </c>
      <c r="D224" s="2" t="n">
        <v>44927</v>
      </c>
      <c r="E224" s="2" t="n">
        <v>45291</v>
      </c>
      <c r="F224" s="3" t="s">
        <v>403</v>
      </c>
      <c r="G224" s="3" t="s">
        <v>404</v>
      </c>
      <c r="H224" s="0" t="n">
        <v>416707</v>
      </c>
      <c r="I224" s="3" t="s">
        <v>13</v>
      </c>
    </row>
    <row r="225" customFormat="false" ht="15" hidden="false" customHeight="false" outlineLevel="0" collapsed="false">
      <c r="A225" s="0" t="n">
        <v>5655053</v>
      </c>
      <c r="B225" s="0" t="s">
        <v>9</v>
      </c>
      <c r="C225" s="0" t="s">
        <v>10</v>
      </c>
      <c r="D225" s="2" t="n">
        <v>44927</v>
      </c>
      <c r="E225" s="2" t="n">
        <v>45291</v>
      </c>
      <c r="F225" s="3" t="s">
        <v>405</v>
      </c>
      <c r="G225" s="3" t="s">
        <v>406</v>
      </c>
      <c r="H225" s="0" t="n">
        <v>164040</v>
      </c>
      <c r="I225" s="3" t="s">
        <v>13</v>
      </c>
    </row>
    <row r="226" customFormat="false" ht="15" hidden="false" customHeight="false" outlineLevel="0" collapsed="false">
      <c r="A226" s="0" t="n">
        <v>5655054</v>
      </c>
      <c r="B226" s="0" t="s">
        <v>9</v>
      </c>
      <c r="C226" s="0" t="s">
        <v>10</v>
      </c>
      <c r="D226" s="2" t="n">
        <v>44927</v>
      </c>
      <c r="E226" s="2" t="n">
        <v>45291</v>
      </c>
      <c r="F226" s="3" t="s">
        <v>407</v>
      </c>
      <c r="G226" s="3" t="s">
        <v>408</v>
      </c>
      <c r="H226" s="0" t="n">
        <v>-135592</v>
      </c>
      <c r="I226" s="3" t="s">
        <v>13</v>
      </c>
    </row>
    <row r="227" customFormat="false" ht="15" hidden="false" customHeight="false" outlineLevel="0" collapsed="false">
      <c r="A227" s="0" t="n">
        <v>5655055</v>
      </c>
      <c r="B227" s="0" t="s">
        <v>9</v>
      </c>
      <c r="C227" s="0" t="s">
        <v>10</v>
      </c>
      <c r="D227" s="2" t="n">
        <v>44927</v>
      </c>
      <c r="E227" s="2" t="n">
        <v>45291</v>
      </c>
      <c r="F227" s="3" t="s">
        <v>409</v>
      </c>
      <c r="G227" s="3" t="s">
        <v>410</v>
      </c>
      <c r="H227" s="0" t="n">
        <v>144351</v>
      </c>
      <c r="I227" s="3" t="s">
        <v>13</v>
      </c>
    </row>
    <row r="228" customFormat="false" ht="15" hidden="false" customHeight="false" outlineLevel="0" collapsed="false">
      <c r="A228" s="0" t="n">
        <v>5655056</v>
      </c>
      <c r="B228" s="0" t="s">
        <v>9</v>
      </c>
      <c r="C228" s="0" t="s">
        <v>10</v>
      </c>
      <c r="D228" s="2" t="n">
        <v>44927</v>
      </c>
      <c r="E228" s="2" t="n">
        <v>45291</v>
      </c>
      <c r="F228" s="3" t="s">
        <v>411</v>
      </c>
      <c r="G228" s="3" t="s">
        <v>412</v>
      </c>
      <c r="H228" s="0" t="n">
        <v>193786</v>
      </c>
      <c r="I228" s="3" t="s">
        <v>13</v>
      </c>
    </row>
    <row r="229" customFormat="false" ht="15" hidden="false" customHeight="false" outlineLevel="0" collapsed="false">
      <c r="A229" s="0" t="n">
        <v>5655057</v>
      </c>
      <c r="B229" s="0" t="s">
        <v>9</v>
      </c>
      <c r="C229" s="0" t="s">
        <v>10</v>
      </c>
      <c r="D229" s="2" t="n">
        <v>44927</v>
      </c>
      <c r="E229" s="2" t="n">
        <v>45291</v>
      </c>
      <c r="F229" s="3" t="s">
        <v>413</v>
      </c>
      <c r="G229" s="3" t="s">
        <v>414</v>
      </c>
      <c r="H229" s="0" t="n">
        <v>0</v>
      </c>
      <c r="I229" s="3" t="s">
        <v>13</v>
      </c>
    </row>
    <row r="230" customFormat="false" ht="15" hidden="false" customHeight="false" outlineLevel="0" collapsed="false">
      <c r="A230" s="0" t="n">
        <v>5655058</v>
      </c>
      <c r="B230" s="0" t="s">
        <v>9</v>
      </c>
      <c r="C230" s="0" t="s">
        <v>10</v>
      </c>
      <c r="D230" s="2" t="n">
        <v>44927</v>
      </c>
      <c r="E230" s="2" t="n">
        <v>45291</v>
      </c>
      <c r="F230" s="3" t="s">
        <v>415</v>
      </c>
      <c r="G230" s="3" t="s">
        <v>416</v>
      </c>
      <c r="H230" s="0" t="n">
        <v>0</v>
      </c>
      <c r="I230" s="3" t="s">
        <v>13</v>
      </c>
    </row>
    <row r="231" customFormat="false" ht="15" hidden="false" customHeight="false" outlineLevel="0" collapsed="false">
      <c r="A231" s="0" t="n">
        <v>5655059</v>
      </c>
      <c r="B231" s="0" t="s">
        <v>9</v>
      </c>
      <c r="C231" s="0" t="s">
        <v>10</v>
      </c>
      <c r="D231" s="2" t="n">
        <v>44927</v>
      </c>
      <c r="E231" s="2" t="n">
        <v>45291</v>
      </c>
      <c r="F231" s="3" t="s">
        <v>417</v>
      </c>
      <c r="G231" s="3" t="s">
        <v>418</v>
      </c>
      <c r="H231" s="0" t="n">
        <v>50862</v>
      </c>
      <c r="I231" s="3" t="s">
        <v>13</v>
      </c>
    </row>
    <row r="232" customFormat="false" ht="15" hidden="false" customHeight="false" outlineLevel="0" collapsed="false">
      <c r="A232" s="0" t="n">
        <v>5655060</v>
      </c>
      <c r="B232" s="0" t="s">
        <v>9</v>
      </c>
      <c r="C232" s="0" t="s">
        <v>10</v>
      </c>
      <c r="D232" s="2" t="n">
        <v>44927</v>
      </c>
      <c r="E232" s="2" t="n">
        <v>45291</v>
      </c>
      <c r="F232" s="3" t="s">
        <v>419</v>
      </c>
      <c r="G232" s="3" t="s">
        <v>420</v>
      </c>
      <c r="H232" s="0" t="n">
        <v>-152981</v>
      </c>
      <c r="I232" s="3" t="s">
        <v>13</v>
      </c>
    </row>
    <row r="233" customFormat="false" ht="15" hidden="false" customHeight="false" outlineLevel="0" collapsed="false">
      <c r="A233" s="0" t="n">
        <v>5655061</v>
      </c>
      <c r="B233" s="0" t="s">
        <v>9</v>
      </c>
      <c r="C233" s="0" t="s">
        <v>10</v>
      </c>
      <c r="D233" s="2" t="n">
        <v>44927</v>
      </c>
      <c r="E233" s="2" t="n">
        <v>45291</v>
      </c>
      <c r="F233" s="3" t="s">
        <v>421</v>
      </c>
      <c r="G233" s="3" t="s">
        <v>37</v>
      </c>
      <c r="H233" s="0" t="n">
        <v>62536</v>
      </c>
      <c r="I233" s="3" t="s">
        <v>13</v>
      </c>
    </row>
    <row r="234" customFormat="false" ht="15" hidden="false" customHeight="false" outlineLevel="0" collapsed="false">
      <c r="A234" s="0" t="n">
        <v>5655062</v>
      </c>
      <c r="B234" s="0" t="s">
        <v>9</v>
      </c>
      <c r="C234" s="0" t="s">
        <v>10</v>
      </c>
      <c r="D234" s="2" t="n">
        <v>44927</v>
      </c>
      <c r="E234" s="2" t="n">
        <v>45291</v>
      </c>
      <c r="F234" s="3" t="s">
        <v>422</v>
      </c>
      <c r="G234" s="3" t="s">
        <v>95</v>
      </c>
      <c r="H234" s="0" t="n">
        <v>237623</v>
      </c>
      <c r="I234" s="3" t="s">
        <v>13</v>
      </c>
    </row>
    <row r="235" customFormat="false" ht="15" hidden="false" customHeight="false" outlineLevel="0" collapsed="false">
      <c r="A235" s="0" t="n">
        <v>5655063</v>
      </c>
      <c r="B235" s="0" t="s">
        <v>9</v>
      </c>
      <c r="C235" s="0" t="s">
        <v>10</v>
      </c>
      <c r="D235" s="2" t="n">
        <v>44927</v>
      </c>
      <c r="E235" s="2" t="n">
        <v>45291</v>
      </c>
      <c r="F235" s="3" t="s">
        <v>423</v>
      </c>
      <c r="G235" s="3" t="s">
        <v>59</v>
      </c>
      <c r="H235" s="0" t="n">
        <v>122343</v>
      </c>
      <c r="I235" s="3" t="s">
        <v>13</v>
      </c>
    </row>
    <row r="236" customFormat="false" ht="15" hidden="false" customHeight="false" outlineLevel="0" collapsed="false">
      <c r="A236" s="0" t="n">
        <v>5655064</v>
      </c>
      <c r="B236" s="0" t="s">
        <v>9</v>
      </c>
      <c r="C236" s="0" t="s">
        <v>10</v>
      </c>
      <c r="D236" s="2" t="n">
        <v>44927</v>
      </c>
      <c r="E236" s="2" t="n">
        <v>45291</v>
      </c>
      <c r="F236" s="3" t="s">
        <v>424</v>
      </c>
      <c r="G236" s="3" t="s">
        <v>145</v>
      </c>
      <c r="H236" s="0" t="n">
        <v>156534</v>
      </c>
      <c r="I236" s="3" t="s">
        <v>13</v>
      </c>
    </row>
    <row r="237" customFormat="false" ht="15" hidden="false" customHeight="false" outlineLevel="0" collapsed="false">
      <c r="A237" s="0" t="n">
        <v>5655065</v>
      </c>
      <c r="B237" s="0" t="s">
        <v>9</v>
      </c>
      <c r="C237" s="0" t="s">
        <v>10</v>
      </c>
      <c r="D237" s="2" t="n">
        <v>44927</v>
      </c>
      <c r="E237" s="2" t="n">
        <v>45291</v>
      </c>
      <c r="F237" s="3" t="s">
        <v>425</v>
      </c>
      <c r="G237" s="3" t="s">
        <v>426</v>
      </c>
      <c r="H237" s="0" t="n">
        <v>-227181</v>
      </c>
      <c r="I237" s="3" t="s">
        <v>13</v>
      </c>
    </row>
    <row r="238" customFormat="false" ht="15" hidden="false" customHeight="false" outlineLevel="0" collapsed="false">
      <c r="A238" s="0" t="n">
        <v>5655066</v>
      </c>
      <c r="B238" s="0" t="s">
        <v>9</v>
      </c>
      <c r="C238" s="0" t="s">
        <v>10</v>
      </c>
      <c r="D238" s="2" t="n">
        <v>44927</v>
      </c>
      <c r="E238" s="2" t="n">
        <v>45291</v>
      </c>
      <c r="F238" s="3" t="s">
        <v>427</v>
      </c>
      <c r="G238" s="3" t="s">
        <v>428</v>
      </c>
      <c r="H238" s="0" t="n">
        <v>61530</v>
      </c>
      <c r="I238" s="3" t="s">
        <v>13</v>
      </c>
    </row>
    <row r="239" customFormat="false" ht="15" hidden="false" customHeight="false" outlineLevel="0" collapsed="false">
      <c r="A239" s="0" t="n">
        <v>5655067</v>
      </c>
      <c r="B239" s="0" t="s">
        <v>9</v>
      </c>
      <c r="C239" s="0" t="s">
        <v>10</v>
      </c>
      <c r="D239" s="2" t="n">
        <v>44927</v>
      </c>
      <c r="E239" s="2" t="n">
        <v>45291</v>
      </c>
      <c r="F239" s="3" t="s">
        <v>429</v>
      </c>
      <c r="G239" s="3" t="s">
        <v>196</v>
      </c>
      <c r="H239" s="0" t="n">
        <v>-129821</v>
      </c>
      <c r="I239" s="3" t="s">
        <v>13</v>
      </c>
    </row>
    <row r="240" customFormat="false" ht="15" hidden="false" customHeight="false" outlineLevel="0" collapsed="false">
      <c r="A240" s="0" t="n">
        <v>5655068</v>
      </c>
      <c r="B240" s="0" t="s">
        <v>9</v>
      </c>
      <c r="C240" s="0" t="s">
        <v>10</v>
      </c>
      <c r="D240" s="2" t="n">
        <v>44927</v>
      </c>
      <c r="E240" s="2" t="n">
        <v>45291</v>
      </c>
      <c r="F240" s="3" t="s">
        <v>430</v>
      </c>
      <c r="G240" s="3" t="s">
        <v>431</v>
      </c>
      <c r="H240" s="0" t="n">
        <v>-79721</v>
      </c>
      <c r="I240" s="3" t="s">
        <v>13</v>
      </c>
    </row>
    <row r="241" customFormat="false" ht="15" hidden="false" customHeight="false" outlineLevel="0" collapsed="false">
      <c r="A241" s="0" t="n">
        <v>5655069</v>
      </c>
      <c r="B241" s="0" t="s">
        <v>9</v>
      </c>
      <c r="C241" s="0" t="s">
        <v>10</v>
      </c>
      <c r="D241" s="2" t="n">
        <v>44927</v>
      </c>
      <c r="E241" s="2" t="n">
        <v>45291</v>
      </c>
      <c r="F241" s="3" t="s">
        <v>432</v>
      </c>
      <c r="G241" s="3" t="s">
        <v>53</v>
      </c>
      <c r="H241" s="0" t="n">
        <v>-245412</v>
      </c>
      <c r="I241" s="3" t="s">
        <v>13</v>
      </c>
    </row>
    <row r="242" customFormat="false" ht="15" hidden="false" customHeight="false" outlineLevel="0" collapsed="false">
      <c r="A242" s="0" t="n">
        <v>5655070</v>
      </c>
      <c r="B242" s="0" t="s">
        <v>9</v>
      </c>
      <c r="C242" s="0" t="s">
        <v>10</v>
      </c>
      <c r="D242" s="2" t="n">
        <v>44927</v>
      </c>
      <c r="E242" s="2" t="n">
        <v>45291</v>
      </c>
      <c r="F242" s="3" t="s">
        <v>433</v>
      </c>
      <c r="G242" s="3" t="s">
        <v>434</v>
      </c>
      <c r="H242" s="0" t="n">
        <v>-34212</v>
      </c>
      <c r="I242" s="3" t="s">
        <v>13</v>
      </c>
    </row>
    <row r="243" customFormat="false" ht="15" hidden="false" customHeight="false" outlineLevel="0" collapsed="false">
      <c r="A243" s="0" t="n">
        <v>5655071</v>
      </c>
      <c r="B243" s="0" t="s">
        <v>9</v>
      </c>
      <c r="C243" s="0" t="s">
        <v>10</v>
      </c>
      <c r="D243" s="2" t="n">
        <v>44927</v>
      </c>
      <c r="E243" s="2" t="n">
        <v>45291</v>
      </c>
      <c r="F243" s="3" t="s">
        <v>435</v>
      </c>
      <c r="G243" s="3" t="s">
        <v>436</v>
      </c>
      <c r="H243" s="0" t="n">
        <v>-150223</v>
      </c>
      <c r="I243" s="3" t="s">
        <v>13</v>
      </c>
    </row>
    <row r="244" customFormat="false" ht="15" hidden="false" customHeight="false" outlineLevel="0" collapsed="false">
      <c r="A244" s="0" t="n">
        <v>5655072</v>
      </c>
      <c r="B244" s="0" t="s">
        <v>9</v>
      </c>
      <c r="C244" s="0" t="s">
        <v>10</v>
      </c>
      <c r="D244" s="2" t="n">
        <v>44927</v>
      </c>
      <c r="E244" s="2" t="n">
        <v>45291</v>
      </c>
      <c r="F244" s="3" t="s">
        <v>437</v>
      </c>
      <c r="G244" s="3" t="s">
        <v>438</v>
      </c>
      <c r="H244" s="0" t="n">
        <v>-144453</v>
      </c>
      <c r="I244" s="3" t="s">
        <v>13</v>
      </c>
    </row>
    <row r="245" customFormat="false" ht="15" hidden="false" customHeight="false" outlineLevel="0" collapsed="false">
      <c r="A245" s="0" t="n">
        <v>5655073</v>
      </c>
      <c r="B245" s="0" t="s">
        <v>9</v>
      </c>
      <c r="C245" s="0" t="s">
        <v>10</v>
      </c>
      <c r="D245" s="2" t="n">
        <v>44927</v>
      </c>
      <c r="E245" s="2" t="n">
        <v>45291</v>
      </c>
      <c r="F245" s="3" t="s">
        <v>439</v>
      </c>
      <c r="G245" s="3" t="s">
        <v>440</v>
      </c>
      <c r="H245" s="0" t="n">
        <v>83476</v>
      </c>
      <c r="I245" s="3" t="s">
        <v>13</v>
      </c>
    </row>
    <row r="246" customFormat="false" ht="15" hidden="false" customHeight="false" outlineLevel="0" collapsed="false">
      <c r="A246" s="0" t="n">
        <v>5655074</v>
      </c>
      <c r="B246" s="0" t="s">
        <v>9</v>
      </c>
      <c r="C246" s="0" t="s">
        <v>10</v>
      </c>
      <c r="D246" s="2" t="n">
        <v>44927</v>
      </c>
      <c r="E246" s="2" t="n">
        <v>45291</v>
      </c>
      <c r="F246" s="3" t="s">
        <v>441</v>
      </c>
      <c r="G246" s="3" t="s">
        <v>442</v>
      </c>
      <c r="H246" s="0" t="n">
        <v>-892916</v>
      </c>
      <c r="I246" s="3" t="s">
        <v>13</v>
      </c>
    </row>
    <row r="247" customFormat="false" ht="15" hidden="false" customHeight="false" outlineLevel="0" collapsed="false">
      <c r="A247" s="0" t="n">
        <v>5655075</v>
      </c>
      <c r="B247" s="0" t="s">
        <v>9</v>
      </c>
      <c r="C247" s="0" t="s">
        <v>10</v>
      </c>
      <c r="D247" s="2" t="n">
        <v>44927</v>
      </c>
      <c r="E247" s="2" t="n">
        <v>45291</v>
      </c>
      <c r="F247" s="3" t="s">
        <v>443</v>
      </c>
      <c r="G247" s="3" t="s">
        <v>444</v>
      </c>
      <c r="H247" s="0" t="n">
        <v>-892886</v>
      </c>
      <c r="I247" s="3" t="s">
        <v>13</v>
      </c>
    </row>
    <row r="248" customFormat="false" ht="15" hidden="false" customHeight="false" outlineLevel="0" collapsed="false">
      <c r="A248" s="0" t="n">
        <v>5655076</v>
      </c>
      <c r="B248" s="0" t="s">
        <v>9</v>
      </c>
      <c r="C248" s="0" t="s">
        <v>10</v>
      </c>
      <c r="D248" s="2" t="n">
        <v>44927</v>
      </c>
      <c r="E248" s="2" t="n">
        <v>45291</v>
      </c>
      <c r="F248" s="3" t="s">
        <v>445</v>
      </c>
      <c r="G248" s="3" t="s">
        <v>446</v>
      </c>
      <c r="H248" s="0" t="n">
        <v>0</v>
      </c>
      <c r="I248" s="3" t="s">
        <v>13</v>
      </c>
    </row>
    <row r="249" customFormat="false" ht="15" hidden="false" customHeight="false" outlineLevel="0" collapsed="false">
      <c r="A249" s="0" t="n">
        <v>5655077</v>
      </c>
      <c r="B249" s="0" t="s">
        <v>9</v>
      </c>
      <c r="C249" s="0" t="s">
        <v>10</v>
      </c>
      <c r="D249" s="2" t="n">
        <v>44927</v>
      </c>
      <c r="E249" s="2" t="n">
        <v>45291</v>
      </c>
      <c r="F249" s="3" t="s">
        <v>447</v>
      </c>
      <c r="G249" s="3" t="s">
        <v>448</v>
      </c>
      <c r="H249" s="0" t="n">
        <v>-30</v>
      </c>
      <c r="I249" s="3" t="s">
        <v>13</v>
      </c>
    </row>
    <row r="250" customFormat="false" ht="15" hidden="false" customHeight="false" outlineLevel="0" collapsed="false">
      <c r="A250" s="0" t="n">
        <v>5655078</v>
      </c>
      <c r="B250" s="0" t="s">
        <v>9</v>
      </c>
      <c r="C250" s="0" t="s">
        <v>10</v>
      </c>
      <c r="D250" s="2" t="n">
        <v>44927</v>
      </c>
      <c r="E250" s="2" t="n">
        <v>45291</v>
      </c>
      <c r="F250" s="3" t="s">
        <v>449</v>
      </c>
      <c r="G250" s="3" t="s">
        <v>450</v>
      </c>
      <c r="H250" s="0" t="n">
        <v>-2009108</v>
      </c>
      <c r="I250" s="3" t="s">
        <v>13</v>
      </c>
    </row>
    <row r="251" customFormat="false" ht="15" hidden="false" customHeight="false" outlineLevel="0" collapsed="false">
      <c r="A251" s="0" t="n">
        <v>5655079</v>
      </c>
      <c r="B251" s="0" t="s">
        <v>9</v>
      </c>
      <c r="C251" s="0" t="s">
        <v>10</v>
      </c>
      <c r="D251" s="2" t="n">
        <v>44927</v>
      </c>
      <c r="E251" s="2" t="n">
        <v>45291</v>
      </c>
      <c r="F251" s="3" t="s">
        <v>451</v>
      </c>
      <c r="G251" s="3" t="s">
        <v>452</v>
      </c>
      <c r="H251" s="0" t="n">
        <v>0</v>
      </c>
      <c r="I251" s="3" t="s">
        <v>13</v>
      </c>
    </row>
    <row r="252" customFormat="false" ht="15" hidden="false" customHeight="false" outlineLevel="0" collapsed="false">
      <c r="A252" s="0" t="n">
        <v>5655080</v>
      </c>
      <c r="B252" s="0" t="s">
        <v>9</v>
      </c>
      <c r="C252" s="0" t="s">
        <v>10</v>
      </c>
      <c r="D252" s="2" t="n">
        <v>44927</v>
      </c>
      <c r="E252" s="2" t="n">
        <v>45291</v>
      </c>
      <c r="F252" s="3" t="s">
        <v>453</v>
      </c>
      <c r="G252" s="3" t="s">
        <v>454</v>
      </c>
      <c r="H252" s="0" t="n">
        <v>-288180</v>
      </c>
      <c r="I252" s="3" t="s">
        <v>13</v>
      </c>
    </row>
    <row r="253" customFormat="false" ht="15" hidden="false" customHeight="false" outlineLevel="0" collapsed="false">
      <c r="A253" s="0" t="n">
        <v>5655081</v>
      </c>
      <c r="B253" s="0" t="s">
        <v>9</v>
      </c>
      <c r="C253" s="0" t="s">
        <v>10</v>
      </c>
      <c r="D253" s="2" t="n">
        <v>44927</v>
      </c>
      <c r="E253" s="2" t="n">
        <v>45291</v>
      </c>
      <c r="F253" s="3" t="s">
        <v>455</v>
      </c>
      <c r="G253" s="3" t="s">
        <v>456</v>
      </c>
      <c r="H253" s="0" t="n">
        <v>-242188</v>
      </c>
      <c r="I253" s="3" t="s">
        <v>13</v>
      </c>
    </row>
    <row r="254" customFormat="false" ht="15" hidden="false" customHeight="false" outlineLevel="0" collapsed="false">
      <c r="A254" s="0" t="n">
        <v>5655082</v>
      </c>
      <c r="B254" s="0" t="s">
        <v>9</v>
      </c>
      <c r="C254" s="0" t="s">
        <v>10</v>
      </c>
      <c r="D254" s="2" t="n">
        <v>44927</v>
      </c>
      <c r="E254" s="2" t="n">
        <v>45291</v>
      </c>
      <c r="F254" s="3" t="s">
        <v>457</v>
      </c>
      <c r="G254" s="3" t="s">
        <v>458</v>
      </c>
      <c r="H254" s="0" t="n">
        <v>-262484</v>
      </c>
      <c r="I254" s="3" t="s">
        <v>13</v>
      </c>
    </row>
    <row r="255" customFormat="false" ht="15" hidden="false" customHeight="false" outlineLevel="0" collapsed="false">
      <c r="A255" s="0" t="n">
        <v>5655083</v>
      </c>
      <c r="B255" s="0" t="s">
        <v>9</v>
      </c>
      <c r="C255" s="0" t="s">
        <v>10</v>
      </c>
      <c r="D255" s="2" t="n">
        <v>44927</v>
      </c>
      <c r="E255" s="2" t="n">
        <v>45291</v>
      </c>
      <c r="F255" s="3" t="s">
        <v>459</v>
      </c>
      <c r="G255" s="3" t="s">
        <v>460</v>
      </c>
      <c r="H255" s="0" t="n">
        <v>-754152</v>
      </c>
      <c r="I255" s="3" t="s">
        <v>13</v>
      </c>
    </row>
    <row r="256" customFormat="false" ht="15" hidden="false" customHeight="false" outlineLevel="0" collapsed="false">
      <c r="A256" s="0" t="n">
        <v>5655084</v>
      </c>
      <c r="B256" s="0" t="s">
        <v>9</v>
      </c>
      <c r="C256" s="0" t="s">
        <v>10</v>
      </c>
      <c r="D256" s="2" t="n">
        <v>44927</v>
      </c>
      <c r="E256" s="2" t="n">
        <v>45291</v>
      </c>
      <c r="F256" s="3" t="s">
        <v>461</v>
      </c>
      <c r="G256" s="3" t="s">
        <v>462</v>
      </c>
      <c r="H256" s="0" t="n">
        <v>-462104</v>
      </c>
      <c r="I256" s="3" t="s">
        <v>13</v>
      </c>
    </row>
    <row r="257" customFormat="false" ht="15" hidden="false" customHeight="false" outlineLevel="0" collapsed="false">
      <c r="A257" s="0" t="n">
        <v>5655085</v>
      </c>
      <c r="B257" s="0" t="s">
        <v>9</v>
      </c>
      <c r="C257" s="0" t="s">
        <v>10</v>
      </c>
      <c r="D257" s="2" t="n">
        <v>44927</v>
      </c>
      <c r="E257" s="2" t="n">
        <v>45291</v>
      </c>
      <c r="F257" s="3" t="s">
        <v>463</v>
      </c>
      <c r="G257" s="3" t="s">
        <v>464</v>
      </c>
      <c r="H257" s="0" t="n">
        <v>-77504</v>
      </c>
      <c r="I257" s="3" t="s">
        <v>13</v>
      </c>
    </row>
    <row r="258" customFormat="false" ht="15" hidden="false" customHeight="false" outlineLevel="0" collapsed="false">
      <c r="A258" s="0" t="n">
        <v>5655086</v>
      </c>
      <c r="B258" s="0" t="s">
        <v>9</v>
      </c>
      <c r="C258" s="0" t="s">
        <v>10</v>
      </c>
      <c r="D258" s="2" t="n">
        <v>44927</v>
      </c>
      <c r="E258" s="2" t="n">
        <v>45291</v>
      </c>
      <c r="F258" s="3" t="s">
        <v>465</v>
      </c>
      <c r="G258" s="3" t="s">
        <v>466</v>
      </c>
      <c r="H258" s="0" t="n">
        <v>-316164</v>
      </c>
      <c r="I258" s="3" t="s">
        <v>13</v>
      </c>
    </row>
    <row r="259" customFormat="false" ht="15" hidden="false" customHeight="false" outlineLevel="0" collapsed="false">
      <c r="A259" s="0" t="n">
        <v>5655087</v>
      </c>
      <c r="B259" s="0" t="s">
        <v>9</v>
      </c>
      <c r="C259" s="0" t="s">
        <v>10</v>
      </c>
      <c r="D259" s="2" t="n">
        <v>44927</v>
      </c>
      <c r="E259" s="2" t="n">
        <v>45291</v>
      </c>
      <c r="F259" s="3" t="s">
        <v>467</v>
      </c>
      <c r="G259" s="3" t="s">
        <v>468</v>
      </c>
      <c r="H259" s="0" t="n">
        <v>2848351</v>
      </c>
      <c r="I259" s="3" t="s">
        <v>13</v>
      </c>
    </row>
    <row r="260" customFormat="false" ht="15" hidden="false" customHeight="false" outlineLevel="0" collapsed="false">
      <c r="A260" s="0" t="n">
        <v>5655088</v>
      </c>
      <c r="B260" s="0" t="s">
        <v>9</v>
      </c>
      <c r="C260" s="0" t="s">
        <v>10</v>
      </c>
      <c r="D260" s="2" t="n">
        <v>44927</v>
      </c>
      <c r="E260" s="2" t="n">
        <v>45291</v>
      </c>
      <c r="F260" s="3" t="s">
        <v>469</v>
      </c>
      <c r="G260" s="3" t="s">
        <v>470</v>
      </c>
      <c r="H260" s="0" t="n">
        <v>2532187</v>
      </c>
      <c r="I260" s="3" t="s">
        <v>13</v>
      </c>
    </row>
    <row r="261" customFormat="false" ht="15" hidden="false" customHeight="false" outlineLevel="0" collapsed="false">
      <c r="A261" s="0" t="n">
        <v>5655089</v>
      </c>
      <c r="B261" s="0" t="s">
        <v>9</v>
      </c>
      <c r="C261" s="0" t="s">
        <v>10</v>
      </c>
      <c r="D261" s="2" t="n">
        <v>44927</v>
      </c>
      <c r="E261" s="2" t="n">
        <v>45291</v>
      </c>
      <c r="F261" s="3" t="s">
        <v>471</v>
      </c>
      <c r="G261" s="3" t="s">
        <v>472</v>
      </c>
      <c r="H261" s="0" t="n">
        <v>16198032</v>
      </c>
      <c r="I261" s="3" t="s">
        <v>13</v>
      </c>
    </row>
    <row r="262" customFormat="false" ht="15" hidden="false" customHeight="false" outlineLevel="0" collapsed="false">
      <c r="A262" s="0" t="n">
        <v>5655090</v>
      </c>
      <c r="B262" s="0" t="s">
        <v>9</v>
      </c>
      <c r="C262" s="0" t="s">
        <v>10</v>
      </c>
      <c r="D262" s="2" t="n">
        <v>44927</v>
      </c>
      <c r="E262" s="2" t="n">
        <v>45291</v>
      </c>
      <c r="F262" s="3" t="s">
        <v>473</v>
      </c>
      <c r="G262" s="3" t="s">
        <v>474</v>
      </c>
      <c r="H262" s="0" t="n">
        <v>17265660</v>
      </c>
      <c r="I262" s="3" t="s">
        <v>13</v>
      </c>
    </row>
    <row r="263" customFormat="false" ht="15" hidden="false" customHeight="false" outlineLevel="0" collapsed="false">
      <c r="A263" s="0" t="n">
        <v>5655091</v>
      </c>
      <c r="B263" s="0" t="s">
        <v>9</v>
      </c>
      <c r="C263" s="0" t="s">
        <v>10</v>
      </c>
      <c r="D263" s="2" t="n">
        <v>44927</v>
      </c>
      <c r="E263" s="2" t="n">
        <v>45291</v>
      </c>
      <c r="F263" s="3" t="s">
        <v>475</v>
      </c>
      <c r="G263" s="3" t="s">
        <v>476</v>
      </c>
      <c r="H263" s="0" t="n">
        <v>275649</v>
      </c>
      <c r="I263" s="3" t="s">
        <v>13</v>
      </c>
    </row>
    <row r="264" customFormat="false" ht="15" hidden="false" customHeight="false" outlineLevel="0" collapsed="false">
      <c r="A264" s="0" t="n">
        <v>5655092</v>
      </c>
      <c r="B264" s="0" t="s">
        <v>9</v>
      </c>
      <c r="C264" s="0" t="s">
        <v>10</v>
      </c>
      <c r="D264" s="2" t="n">
        <v>44927</v>
      </c>
      <c r="E264" s="2" t="n">
        <v>45291</v>
      </c>
      <c r="F264" s="3" t="s">
        <v>477</v>
      </c>
      <c r="G264" s="3" t="s">
        <v>478</v>
      </c>
      <c r="H264" s="0" t="n">
        <v>0</v>
      </c>
      <c r="I264" s="3" t="s">
        <v>13</v>
      </c>
    </row>
    <row r="265" customFormat="false" ht="15" hidden="false" customHeight="false" outlineLevel="0" collapsed="false">
      <c r="A265" s="0" t="n">
        <v>5655093</v>
      </c>
      <c r="B265" s="0" t="s">
        <v>9</v>
      </c>
      <c r="C265" s="0" t="s">
        <v>10</v>
      </c>
      <c r="D265" s="2" t="n">
        <v>44927</v>
      </c>
      <c r="E265" s="2" t="n">
        <v>45291</v>
      </c>
      <c r="F265" s="3" t="s">
        <v>479</v>
      </c>
      <c r="G265" s="3" t="s">
        <v>480</v>
      </c>
      <c r="H265" s="0" t="n">
        <v>-1343277</v>
      </c>
      <c r="I265" s="3" t="s">
        <v>13</v>
      </c>
    </row>
    <row r="266" customFormat="false" ht="15" hidden="false" customHeight="false" outlineLevel="0" collapsed="false">
      <c r="A266" s="0" t="n">
        <v>5655094</v>
      </c>
      <c r="B266" s="0" t="s">
        <v>9</v>
      </c>
      <c r="C266" s="0" t="s">
        <v>10</v>
      </c>
      <c r="D266" s="2" t="n">
        <v>44927</v>
      </c>
      <c r="E266" s="2" t="n">
        <v>45291</v>
      </c>
      <c r="F266" s="3" t="s">
        <v>481</v>
      </c>
      <c r="G266" s="3" t="s">
        <v>482</v>
      </c>
      <c r="H266" s="0" t="n">
        <v>-8890918</v>
      </c>
      <c r="I266" s="3" t="s">
        <v>13</v>
      </c>
    </row>
    <row r="267" customFormat="false" ht="15" hidden="false" customHeight="false" outlineLevel="0" collapsed="false">
      <c r="A267" s="0" t="n">
        <v>5655095</v>
      </c>
      <c r="B267" s="0" t="s">
        <v>9</v>
      </c>
      <c r="C267" s="0" t="s">
        <v>10</v>
      </c>
      <c r="D267" s="2" t="n">
        <v>44927</v>
      </c>
      <c r="E267" s="2" t="n">
        <v>45291</v>
      </c>
      <c r="F267" s="3" t="s">
        <v>483</v>
      </c>
      <c r="G267" s="3" t="s">
        <v>484</v>
      </c>
      <c r="H267" s="0" t="n">
        <v>-6052186</v>
      </c>
      <c r="I267" s="3" t="s">
        <v>13</v>
      </c>
    </row>
    <row r="268" customFormat="false" ht="15" hidden="false" customHeight="false" outlineLevel="0" collapsed="false">
      <c r="A268" s="0" t="n">
        <v>5655096</v>
      </c>
      <c r="B268" s="0" t="s">
        <v>9</v>
      </c>
      <c r="C268" s="0" t="s">
        <v>10</v>
      </c>
      <c r="D268" s="2" t="n">
        <v>44927</v>
      </c>
      <c r="E268" s="2" t="n">
        <v>45291</v>
      </c>
      <c r="F268" s="3" t="s">
        <v>485</v>
      </c>
      <c r="G268" s="3" t="s">
        <v>486</v>
      </c>
      <c r="H268" s="0" t="n">
        <v>-2545363</v>
      </c>
      <c r="I268" s="3" t="s">
        <v>13</v>
      </c>
    </row>
    <row r="269" customFormat="false" ht="15" hidden="false" customHeight="false" outlineLevel="0" collapsed="false">
      <c r="A269" s="0" t="n">
        <v>5655097</v>
      </c>
      <c r="B269" s="0" t="s">
        <v>9</v>
      </c>
      <c r="C269" s="0" t="s">
        <v>10</v>
      </c>
      <c r="D269" s="2" t="n">
        <v>44927</v>
      </c>
      <c r="E269" s="2" t="n">
        <v>45291</v>
      </c>
      <c r="F269" s="3" t="s">
        <v>487</v>
      </c>
      <c r="G269" s="3" t="s">
        <v>488</v>
      </c>
      <c r="H269" s="0" t="n">
        <v>-293369</v>
      </c>
      <c r="I269" s="3" t="s">
        <v>13</v>
      </c>
    </row>
    <row r="270" customFormat="false" ht="15" hidden="false" customHeight="false" outlineLevel="0" collapsed="false">
      <c r="A270" s="0" t="n">
        <v>5655098</v>
      </c>
      <c r="B270" s="0" t="s">
        <v>9</v>
      </c>
      <c r="C270" s="0" t="s">
        <v>10</v>
      </c>
      <c r="D270" s="2" t="n">
        <v>44927</v>
      </c>
      <c r="E270" s="2" t="n">
        <v>45291</v>
      </c>
      <c r="F270" s="3" t="s">
        <v>489</v>
      </c>
      <c r="G270" s="3" t="s">
        <v>53</v>
      </c>
      <c r="H270" s="0" t="n">
        <v>0</v>
      </c>
      <c r="I270" s="3" t="s">
        <v>13</v>
      </c>
    </row>
    <row r="271" customFormat="false" ht="15" hidden="false" customHeight="false" outlineLevel="0" collapsed="false">
      <c r="A271" s="0" t="n">
        <v>5655099</v>
      </c>
      <c r="B271" s="0" t="s">
        <v>9</v>
      </c>
      <c r="C271" s="0" t="s">
        <v>10</v>
      </c>
      <c r="D271" s="2" t="n">
        <v>44927</v>
      </c>
      <c r="E271" s="2" t="n">
        <v>45291</v>
      </c>
      <c r="F271" s="3" t="s">
        <v>490</v>
      </c>
      <c r="G271" s="3" t="s">
        <v>491</v>
      </c>
      <c r="H271" s="0" t="n">
        <v>7307114</v>
      </c>
      <c r="I271" s="3" t="s">
        <v>13</v>
      </c>
    </row>
    <row r="272" customFormat="false" ht="15" hidden="false" customHeight="false" outlineLevel="0" collapsed="false">
      <c r="A272" s="0" t="n">
        <v>5655100</v>
      </c>
      <c r="B272" s="0" t="s">
        <v>9</v>
      </c>
      <c r="C272" s="0" t="s">
        <v>10</v>
      </c>
      <c r="D272" s="2" t="n">
        <v>44927</v>
      </c>
      <c r="E272" s="2" t="n">
        <v>45291</v>
      </c>
      <c r="F272" s="3" t="s">
        <v>492</v>
      </c>
      <c r="G272" s="3" t="s">
        <v>493</v>
      </c>
      <c r="H272" s="0" t="n">
        <v>-1098363</v>
      </c>
      <c r="I272" s="3" t="s">
        <v>13</v>
      </c>
    </row>
    <row r="273" customFormat="false" ht="15" hidden="false" customHeight="false" outlineLevel="0" collapsed="false">
      <c r="A273" s="0" t="n">
        <v>5655101</v>
      </c>
      <c r="B273" s="0" t="s">
        <v>9</v>
      </c>
      <c r="C273" s="0" t="s">
        <v>10</v>
      </c>
      <c r="D273" s="2" t="n">
        <v>44927</v>
      </c>
      <c r="E273" s="2" t="n">
        <v>45291</v>
      </c>
      <c r="F273" s="3" t="s">
        <v>494</v>
      </c>
      <c r="G273" s="3" t="s">
        <v>495</v>
      </c>
      <c r="H273" s="0" t="n">
        <v>-1098363</v>
      </c>
      <c r="I273" s="3" t="s">
        <v>13</v>
      </c>
    </row>
    <row r="274" customFormat="false" ht="15" hidden="false" customHeight="false" outlineLevel="0" collapsed="false">
      <c r="A274" s="0" t="n">
        <v>5655102</v>
      </c>
      <c r="B274" s="0" t="s">
        <v>9</v>
      </c>
      <c r="C274" s="0" t="s">
        <v>10</v>
      </c>
      <c r="D274" s="2" t="n">
        <v>44927</v>
      </c>
      <c r="E274" s="2" t="n">
        <v>45291</v>
      </c>
      <c r="F274" s="3" t="s">
        <v>496</v>
      </c>
      <c r="G274" s="3" t="s">
        <v>497</v>
      </c>
      <c r="H274" s="0" t="n">
        <v>0</v>
      </c>
      <c r="I274" s="3" t="s">
        <v>13</v>
      </c>
    </row>
    <row r="275" customFormat="false" ht="15" hidden="false" customHeight="false" outlineLevel="0" collapsed="false">
      <c r="A275" s="0" t="n">
        <v>5655103</v>
      </c>
      <c r="B275" s="0" t="s">
        <v>9</v>
      </c>
      <c r="C275" s="0" t="s">
        <v>10</v>
      </c>
      <c r="D275" s="2" t="n">
        <v>44927</v>
      </c>
      <c r="E275" s="2" t="n">
        <v>45291</v>
      </c>
      <c r="F275" s="3" t="s">
        <v>498</v>
      </c>
      <c r="G275" s="3" t="s">
        <v>499</v>
      </c>
      <c r="H275" s="0" t="n">
        <v>6208751</v>
      </c>
      <c r="I275" s="3" t="s">
        <v>13</v>
      </c>
    </row>
    <row r="276" customFormat="false" ht="15" hidden="false" customHeight="false" outlineLevel="0" collapsed="false">
      <c r="A276" s="0" t="n">
        <v>5655104</v>
      </c>
      <c r="B276" s="0" t="s">
        <v>9</v>
      </c>
      <c r="C276" s="0" t="s">
        <v>10</v>
      </c>
      <c r="D276" s="2" t="n">
        <v>44927</v>
      </c>
      <c r="E276" s="2" t="n">
        <v>45291</v>
      </c>
      <c r="F276" s="3" t="s">
        <v>500</v>
      </c>
      <c r="G276" s="3" t="s">
        <v>501</v>
      </c>
      <c r="H276" s="0" t="n">
        <v>629796</v>
      </c>
      <c r="I276" s="3" t="s">
        <v>13</v>
      </c>
    </row>
    <row r="277" customFormat="false" ht="15" hidden="false" customHeight="false" outlineLevel="0" collapsed="false">
      <c r="A277" s="0" t="n">
        <v>5655105</v>
      </c>
      <c r="B277" s="0" t="s">
        <v>9</v>
      </c>
      <c r="C277" s="0" t="s">
        <v>10</v>
      </c>
      <c r="D277" s="2" t="n">
        <v>44927</v>
      </c>
      <c r="E277" s="2" t="n">
        <v>45291</v>
      </c>
      <c r="F277" s="3" t="s">
        <v>502</v>
      </c>
      <c r="G277" s="3" t="s">
        <v>355</v>
      </c>
      <c r="H277" s="0" t="n">
        <v>0</v>
      </c>
      <c r="I277" s="3" t="s">
        <v>13</v>
      </c>
    </row>
    <row r="278" customFormat="false" ht="15" hidden="false" customHeight="false" outlineLevel="0" collapsed="false">
      <c r="A278" s="0" t="n">
        <v>5655106</v>
      </c>
      <c r="B278" s="0" t="s">
        <v>9</v>
      </c>
      <c r="C278" s="0" t="s">
        <v>10</v>
      </c>
      <c r="D278" s="2" t="n">
        <v>44927</v>
      </c>
      <c r="E278" s="2" t="n">
        <v>45291</v>
      </c>
      <c r="F278" s="3" t="s">
        <v>503</v>
      </c>
      <c r="G278" s="3" t="s">
        <v>361</v>
      </c>
      <c r="H278" s="0" t="n">
        <v>629796</v>
      </c>
      <c r="I278" s="3" t="s">
        <v>13</v>
      </c>
    </row>
    <row r="279" customFormat="false" ht="15" hidden="false" customHeight="false" outlineLevel="0" collapsed="false">
      <c r="A279" s="0" t="n">
        <v>5655107</v>
      </c>
      <c r="B279" s="0" t="s">
        <v>9</v>
      </c>
      <c r="C279" s="0" t="s">
        <v>10</v>
      </c>
      <c r="D279" s="2" t="n">
        <v>44927</v>
      </c>
      <c r="E279" s="2" t="n">
        <v>45291</v>
      </c>
      <c r="F279" s="3" t="s">
        <v>504</v>
      </c>
      <c r="G279" s="3" t="s">
        <v>53</v>
      </c>
      <c r="H279" s="0" t="n">
        <v>0</v>
      </c>
      <c r="I279" s="3" t="s">
        <v>13</v>
      </c>
    </row>
    <row r="280" customFormat="false" ht="15" hidden="false" customHeight="false" outlineLevel="0" collapsed="false">
      <c r="A280" s="0" t="n">
        <v>5655108</v>
      </c>
      <c r="B280" s="0" t="s">
        <v>9</v>
      </c>
      <c r="C280" s="0" t="s">
        <v>10</v>
      </c>
      <c r="D280" s="2" t="n">
        <v>44927</v>
      </c>
      <c r="E280" s="2" t="n">
        <v>45291</v>
      </c>
      <c r="F280" s="3" t="s">
        <v>505</v>
      </c>
      <c r="G280" s="3" t="s">
        <v>506</v>
      </c>
      <c r="H280" s="0" t="n">
        <v>6838547</v>
      </c>
      <c r="I280" s="3" t="s">
        <v>13</v>
      </c>
    </row>
    <row r="281" customFormat="false" ht="15" hidden="false" customHeight="false" outlineLevel="0" collapsed="false">
      <c r="A281" s="0" t="n">
        <v>5655109</v>
      </c>
      <c r="B281" s="0" t="s">
        <v>9</v>
      </c>
      <c r="C281" s="0" t="s">
        <v>10</v>
      </c>
      <c r="D281" s="2" t="n">
        <v>44927</v>
      </c>
      <c r="E281" s="2" t="n">
        <v>45291</v>
      </c>
      <c r="F281" s="3" t="s">
        <v>507</v>
      </c>
      <c r="G281" s="3" t="s">
        <v>508</v>
      </c>
      <c r="H281" s="0" t="n">
        <v>6838547</v>
      </c>
      <c r="I281" s="3" t="s">
        <v>13</v>
      </c>
    </row>
    <row r="282" customFormat="false" ht="15" hidden="false" customHeight="false" outlineLevel="0" collapsed="false">
      <c r="A282" s="0" t="n">
        <v>5655110</v>
      </c>
      <c r="B282" s="0" t="s">
        <v>9</v>
      </c>
      <c r="C282" s="0" t="s">
        <v>10</v>
      </c>
      <c r="D282" s="2" t="n">
        <v>44927</v>
      </c>
      <c r="E282" s="2" t="n">
        <v>45291</v>
      </c>
      <c r="F282" s="3" t="s">
        <v>509</v>
      </c>
      <c r="G282" s="3" t="s">
        <v>510</v>
      </c>
      <c r="H282" s="0" t="n">
        <v>1826672</v>
      </c>
      <c r="I282" s="3" t="s">
        <v>13</v>
      </c>
    </row>
    <row r="283" customFormat="false" ht="15" hidden="false" customHeight="false" outlineLevel="0" collapsed="false">
      <c r="A283" s="0" t="n">
        <v>5655111</v>
      </c>
      <c r="B283" s="0" t="s">
        <v>9</v>
      </c>
      <c r="C283" s="0" t="s">
        <v>10</v>
      </c>
      <c r="D283" s="2" t="n">
        <v>44927</v>
      </c>
      <c r="E283" s="2" t="n">
        <v>45291</v>
      </c>
      <c r="F283" s="3" t="s">
        <v>511</v>
      </c>
      <c r="G283" s="3" t="s">
        <v>512</v>
      </c>
      <c r="H283" s="0" t="n">
        <v>1390169</v>
      </c>
      <c r="I283" s="3" t="s">
        <v>13</v>
      </c>
    </row>
    <row r="284" customFormat="false" ht="15" hidden="false" customHeight="false" outlineLevel="0" collapsed="false">
      <c r="A284" s="0" t="n">
        <v>5655112</v>
      </c>
      <c r="B284" s="0" t="s">
        <v>9</v>
      </c>
      <c r="C284" s="0" t="s">
        <v>10</v>
      </c>
      <c r="D284" s="2" t="n">
        <v>44927</v>
      </c>
      <c r="E284" s="2" t="n">
        <v>45291</v>
      </c>
      <c r="F284" s="3" t="s">
        <v>513</v>
      </c>
      <c r="G284" s="3" t="s">
        <v>514</v>
      </c>
      <c r="H284" s="0" t="n">
        <v>261222</v>
      </c>
      <c r="I284" s="3" t="s">
        <v>13</v>
      </c>
    </row>
    <row r="285" customFormat="false" ht="15" hidden="false" customHeight="false" outlineLevel="0" collapsed="false">
      <c r="A285" s="0" t="n">
        <v>5655113</v>
      </c>
      <c r="B285" s="0" t="s">
        <v>9</v>
      </c>
      <c r="C285" s="0" t="s">
        <v>10</v>
      </c>
      <c r="D285" s="2" t="n">
        <v>44927</v>
      </c>
      <c r="E285" s="2" t="n">
        <v>45291</v>
      </c>
      <c r="F285" s="3" t="s">
        <v>515</v>
      </c>
      <c r="G285" s="3" t="s">
        <v>516</v>
      </c>
      <c r="H285" s="0" t="n">
        <v>99968</v>
      </c>
      <c r="I285" s="3" t="s">
        <v>13</v>
      </c>
    </row>
    <row r="286" customFormat="false" ht="15" hidden="false" customHeight="false" outlineLevel="0" collapsed="false">
      <c r="A286" s="0" t="n">
        <v>5655114</v>
      </c>
      <c r="B286" s="0" t="s">
        <v>9</v>
      </c>
      <c r="C286" s="0" t="s">
        <v>10</v>
      </c>
      <c r="D286" s="2" t="n">
        <v>44927</v>
      </c>
      <c r="E286" s="2" t="n">
        <v>45291</v>
      </c>
      <c r="F286" s="3" t="s">
        <v>517</v>
      </c>
      <c r="G286" s="3" t="s">
        <v>53</v>
      </c>
      <c r="H286" s="0" t="n">
        <v>75313</v>
      </c>
      <c r="I286" s="3" t="s">
        <v>13</v>
      </c>
    </row>
    <row r="287" customFormat="false" ht="15" hidden="false" customHeight="false" outlineLevel="0" collapsed="false">
      <c r="A287" s="0" t="n">
        <v>5655115</v>
      </c>
      <c r="B287" s="0" t="s">
        <v>9</v>
      </c>
      <c r="C287" s="0" t="s">
        <v>10</v>
      </c>
      <c r="D287" s="2" t="n">
        <v>44927</v>
      </c>
      <c r="E287" s="2" t="n">
        <v>45291</v>
      </c>
      <c r="F287" s="3" t="s">
        <v>518</v>
      </c>
      <c r="G287" s="3" t="s">
        <v>519</v>
      </c>
      <c r="H287" s="0" t="n">
        <v>41871</v>
      </c>
      <c r="I287" s="3" t="s">
        <v>13</v>
      </c>
    </row>
    <row r="288" customFormat="false" ht="15" hidden="false" customHeight="false" outlineLevel="0" collapsed="false">
      <c r="A288" s="0" t="n">
        <v>5655116</v>
      </c>
      <c r="B288" s="0" t="s">
        <v>9</v>
      </c>
      <c r="C288" s="0" t="s">
        <v>10</v>
      </c>
      <c r="D288" s="2" t="n">
        <v>44927</v>
      </c>
      <c r="E288" s="2" t="n">
        <v>45291</v>
      </c>
      <c r="F288" s="3" t="s">
        <v>520</v>
      </c>
      <c r="G288" s="3" t="s">
        <v>521</v>
      </c>
      <c r="H288" s="0" t="n">
        <v>33442</v>
      </c>
      <c r="I288" s="3" t="s">
        <v>13</v>
      </c>
    </row>
    <row r="289" customFormat="false" ht="15" hidden="false" customHeight="false" outlineLevel="0" collapsed="false">
      <c r="A289" s="0" t="n">
        <v>5655117</v>
      </c>
      <c r="B289" s="0" t="s">
        <v>9</v>
      </c>
      <c r="C289" s="0" t="s">
        <v>10</v>
      </c>
      <c r="D289" s="2" t="n">
        <v>44927</v>
      </c>
      <c r="E289" s="2" t="n">
        <v>45291</v>
      </c>
      <c r="F289" s="3" t="s">
        <v>522</v>
      </c>
      <c r="G289" s="3" t="s">
        <v>523</v>
      </c>
      <c r="H289" s="0" t="n">
        <v>2931810</v>
      </c>
      <c r="I289" s="3" t="s">
        <v>13</v>
      </c>
    </row>
    <row r="290" customFormat="false" ht="15" hidden="false" customHeight="false" outlineLevel="0" collapsed="false">
      <c r="A290" s="0" t="n">
        <v>5655118</v>
      </c>
      <c r="B290" s="0" t="s">
        <v>9</v>
      </c>
      <c r="C290" s="0" t="s">
        <v>10</v>
      </c>
      <c r="D290" s="2" t="n">
        <v>44927</v>
      </c>
      <c r="E290" s="2" t="n">
        <v>45291</v>
      </c>
      <c r="F290" s="3" t="s">
        <v>524</v>
      </c>
      <c r="G290" s="3" t="s">
        <v>525</v>
      </c>
      <c r="H290" s="0" t="n">
        <v>758792</v>
      </c>
      <c r="I290" s="3" t="s">
        <v>13</v>
      </c>
    </row>
    <row r="291" customFormat="false" ht="15" hidden="false" customHeight="false" outlineLevel="0" collapsed="false">
      <c r="A291" s="0" t="n">
        <v>5655119</v>
      </c>
      <c r="B291" s="0" t="s">
        <v>9</v>
      </c>
      <c r="C291" s="0" t="s">
        <v>10</v>
      </c>
      <c r="D291" s="2" t="n">
        <v>44927</v>
      </c>
      <c r="E291" s="2" t="n">
        <v>45291</v>
      </c>
      <c r="F291" s="3" t="s">
        <v>526</v>
      </c>
      <c r="G291" s="3" t="s">
        <v>527</v>
      </c>
      <c r="H291" s="0" t="n">
        <v>2058539</v>
      </c>
      <c r="I291" s="3" t="s">
        <v>13</v>
      </c>
    </row>
    <row r="292" customFormat="false" ht="15" hidden="false" customHeight="false" outlineLevel="0" collapsed="false">
      <c r="A292" s="0" t="n">
        <v>5655120</v>
      </c>
      <c r="B292" s="0" t="s">
        <v>9</v>
      </c>
      <c r="C292" s="0" t="s">
        <v>10</v>
      </c>
      <c r="D292" s="2" t="n">
        <v>44927</v>
      </c>
      <c r="E292" s="2" t="n">
        <v>45291</v>
      </c>
      <c r="F292" s="3" t="s">
        <v>528</v>
      </c>
      <c r="G292" s="3" t="s">
        <v>529</v>
      </c>
      <c r="H292" s="0" t="n">
        <v>114479</v>
      </c>
      <c r="I292" s="3" t="s">
        <v>13</v>
      </c>
    </row>
    <row r="293" customFormat="false" ht="15" hidden="false" customHeight="false" outlineLevel="0" collapsed="false">
      <c r="A293" s="0" t="n">
        <v>5655121</v>
      </c>
      <c r="B293" s="0" t="s">
        <v>9</v>
      </c>
      <c r="C293" s="0" t="s">
        <v>10</v>
      </c>
      <c r="D293" s="2" t="n">
        <v>44927</v>
      </c>
      <c r="E293" s="2" t="n">
        <v>45291</v>
      </c>
      <c r="F293" s="3" t="s">
        <v>530</v>
      </c>
      <c r="G293" s="3" t="s">
        <v>531</v>
      </c>
      <c r="H293" s="0" t="n">
        <v>1103806</v>
      </c>
      <c r="I293" s="3" t="s">
        <v>13</v>
      </c>
    </row>
    <row r="294" customFormat="false" ht="15" hidden="false" customHeight="false" outlineLevel="0" collapsed="false">
      <c r="A294" s="0" t="n">
        <v>5655122</v>
      </c>
      <c r="B294" s="0" t="s">
        <v>9</v>
      </c>
      <c r="C294" s="0" t="s">
        <v>10</v>
      </c>
      <c r="D294" s="2" t="n">
        <v>44927</v>
      </c>
      <c r="E294" s="2" t="n">
        <v>45291</v>
      </c>
      <c r="F294" s="3" t="s">
        <v>532</v>
      </c>
      <c r="G294" s="3" t="s">
        <v>533</v>
      </c>
      <c r="H294" s="0" t="n">
        <v>0</v>
      </c>
      <c r="I294" s="3" t="s">
        <v>13</v>
      </c>
    </row>
    <row r="295" customFormat="false" ht="15" hidden="false" customHeight="false" outlineLevel="0" collapsed="false">
      <c r="A295" s="0" t="n">
        <v>5655123</v>
      </c>
      <c r="B295" s="0" t="s">
        <v>9</v>
      </c>
      <c r="C295" s="0" t="s">
        <v>10</v>
      </c>
      <c r="D295" s="2" t="n">
        <v>44927</v>
      </c>
      <c r="E295" s="2" t="n">
        <v>45291</v>
      </c>
      <c r="F295" s="3" t="s">
        <v>534</v>
      </c>
      <c r="G295" s="3" t="s">
        <v>535</v>
      </c>
      <c r="H295" s="0" t="n">
        <v>424236</v>
      </c>
      <c r="I295" s="3" t="s">
        <v>13</v>
      </c>
    </row>
    <row r="296" customFormat="false" ht="15" hidden="false" customHeight="false" outlineLevel="0" collapsed="false">
      <c r="A296" s="0" t="n">
        <v>5655124</v>
      </c>
      <c r="B296" s="0" t="s">
        <v>9</v>
      </c>
      <c r="C296" s="0" t="s">
        <v>10</v>
      </c>
      <c r="D296" s="2" t="n">
        <v>44927</v>
      </c>
      <c r="E296" s="2" t="n">
        <v>45291</v>
      </c>
      <c r="F296" s="3" t="s">
        <v>536</v>
      </c>
      <c r="G296" s="3" t="s">
        <v>497</v>
      </c>
      <c r="H296" s="0" t="n">
        <v>679570</v>
      </c>
      <c r="I296" s="3" t="s">
        <v>13</v>
      </c>
    </row>
    <row r="297" customFormat="false" ht="15" hidden="false" customHeight="false" outlineLevel="0" collapsed="false">
      <c r="A297" s="0" t="n">
        <v>5655125</v>
      </c>
      <c r="B297" s="0" t="s">
        <v>9</v>
      </c>
      <c r="C297" s="0" t="s">
        <v>10</v>
      </c>
      <c r="D297" s="2" t="n">
        <v>44927</v>
      </c>
      <c r="E297" s="2" t="n">
        <v>45291</v>
      </c>
      <c r="F297" s="3" t="s">
        <v>537</v>
      </c>
      <c r="G297" s="3" t="s">
        <v>363</v>
      </c>
      <c r="H297" s="0" t="n">
        <v>679570</v>
      </c>
      <c r="I297" s="3" t="s">
        <v>13</v>
      </c>
    </row>
    <row r="298" customFormat="false" ht="15" hidden="false" customHeight="false" outlineLevel="0" collapsed="false">
      <c r="A298" s="0" t="n">
        <v>5655126</v>
      </c>
      <c r="B298" s="0" t="s">
        <v>9</v>
      </c>
      <c r="C298" s="0" t="s">
        <v>10</v>
      </c>
      <c r="D298" s="2" t="n">
        <v>44927</v>
      </c>
      <c r="E298" s="2" t="n">
        <v>45291</v>
      </c>
      <c r="F298" s="3" t="s">
        <v>538</v>
      </c>
      <c r="G298" s="3" t="s">
        <v>539</v>
      </c>
      <c r="H298" s="0" t="n">
        <v>976259</v>
      </c>
      <c r="I298" s="3" t="s">
        <v>13</v>
      </c>
    </row>
    <row r="299" customFormat="false" ht="15" hidden="false" customHeight="false" outlineLevel="0" collapsed="false">
      <c r="A299" s="0" t="n">
        <v>5655127</v>
      </c>
      <c r="B299" s="0" t="s">
        <v>9</v>
      </c>
      <c r="C299" s="0" t="s">
        <v>10</v>
      </c>
      <c r="D299" s="2" t="n">
        <v>44927</v>
      </c>
      <c r="E299" s="2" t="n">
        <v>45291</v>
      </c>
      <c r="F299" s="3" t="s">
        <v>540</v>
      </c>
      <c r="G299" s="3" t="s">
        <v>541</v>
      </c>
      <c r="H299" s="0" t="n">
        <v>682046</v>
      </c>
      <c r="I299" s="3" t="s">
        <v>13</v>
      </c>
    </row>
    <row r="300" customFormat="false" ht="15" hidden="false" customHeight="false" outlineLevel="0" collapsed="false">
      <c r="A300" s="0" t="n">
        <v>5655128</v>
      </c>
      <c r="B300" s="0" t="s">
        <v>9</v>
      </c>
      <c r="C300" s="0" t="s">
        <v>10</v>
      </c>
      <c r="D300" s="2" t="n">
        <v>44927</v>
      </c>
      <c r="E300" s="2" t="n">
        <v>45291</v>
      </c>
      <c r="F300" s="3" t="s">
        <v>542</v>
      </c>
      <c r="G300" s="3" t="s">
        <v>543</v>
      </c>
      <c r="H300" s="0" t="n">
        <v>0</v>
      </c>
      <c r="I300" s="3" t="s">
        <v>13</v>
      </c>
    </row>
    <row r="301" customFormat="false" ht="15" hidden="false" customHeight="false" outlineLevel="0" collapsed="false">
      <c r="A301" s="0" t="n">
        <v>5655129</v>
      </c>
      <c r="B301" s="0" t="s">
        <v>9</v>
      </c>
      <c r="C301" s="0" t="s">
        <v>10</v>
      </c>
      <c r="D301" s="2" t="n">
        <v>44927</v>
      </c>
      <c r="E301" s="2" t="n">
        <v>45291</v>
      </c>
      <c r="F301" s="3" t="s">
        <v>544</v>
      </c>
      <c r="G301" s="3" t="s">
        <v>545</v>
      </c>
      <c r="H301" s="0" t="n">
        <v>294213</v>
      </c>
      <c r="I301" s="3" t="s">
        <v>13</v>
      </c>
    </row>
    <row r="302" customFormat="false" ht="15" hidden="false" customHeight="false" outlineLevel="0" collapsed="false">
      <c r="A302" s="0" t="n">
        <v>5655130</v>
      </c>
      <c r="B302" s="0" t="s">
        <v>9</v>
      </c>
      <c r="C302" s="0" t="s">
        <v>10</v>
      </c>
      <c r="D302" s="2" t="n">
        <v>44927</v>
      </c>
      <c r="E302" s="2" t="n">
        <v>45291</v>
      </c>
      <c r="F302" s="3" t="s">
        <v>546</v>
      </c>
      <c r="G302" s="3" t="s">
        <v>547</v>
      </c>
      <c r="H302" s="0" t="n">
        <v>0</v>
      </c>
      <c r="I302" s="3" t="s">
        <v>13</v>
      </c>
    </row>
    <row r="303" customFormat="false" ht="15" hidden="false" customHeight="false" outlineLevel="0" collapsed="false">
      <c r="A303" s="0" t="n">
        <v>5655131</v>
      </c>
      <c r="B303" s="0" t="s">
        <v>9</v>
      </c>
      <c r="C303" s="0" t="s">
        <v>10</v>
      </c>
      <c r="D303" s="2" t="n">
        <v>44927</v>
      </c>
      <c r="E303" s="2" t="n">
        <v>45291</v>
      </c>
      <c r="F303" s="3" t="s">
        <v>548</v>
      </c>
      <c r="G303" s="3" t="s">
        <v>53</v>
      </c>
      <c r="H303" s="0" t="n">
        <v>0</v>
      </c>
      <c r="I303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3"/>
  <sheetViews>
    <sheetView showFormulas="false" showGridLines="true" showRowColHeaders="true" showZeros="true" rightToLeft="false" tabSelected="false" showOutlineSymbols="true" defaultGridColor="true" view="normal" topLeftCell="A64" colorId="64" zoomScale="134" zoomScaleNormal="134" zoomScalePageLayoutView="100" workbookViewId="0">
      <selection pane="topLeft" activeCell="H162" activeCellId="0" sqref="H162"/>
    </sheetView>
  </sheetViews>
  <sheetFormatPr defaultColWidth="11.5078125" defaultRowHeight="15" zeroHeight="false" outlineLevelRow="0" outlineLevelCol="0"/>
  <cols>
    <col collapsed="false" customWidth="true" hidden="false" outlineLevel="0" max="5" min="5" style="0" width="10.16"/>
    <col collapsed="false" customWidth="true" hidden="false" outlineLevel="0" max="6" min="6" style="0" width="12.16"/>
    <col collapsed="false" customWidth="true" hidden="false" outlineLevel="0" max="7" min="7" style="0" width="69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6554474</v>
      </c>
      <c r="B2" s="0" t="s">
        <v>9</v>
      </c>
      <c r="C2" s="0" t="s">
        <v>549</v>
      </c>
      <c r="D2" s="2" t="n">
        <v>46022</v>
      </c>
      <c r="E2" s="2" t="n">
        <v>46022</v>
      </c>
      <c r="F2" s="3" t="s">
        <v>11</v>
      </c>
      <c r="G2" s="3" t="s">
        <v>12</v>
      </c>
      <c r="H2" s="0" t="n">
        <v>19626027</v>
      </c>
      <c r="I2" s="3" t="s">
        <v>13</v>
      </c>
    </row>
    <row r="3" customFormat="false" ht="15" hidden="false" customHeight="false" outlineLevel="0" collapsed="false">
      <c r="A3" s="0" t="n">
        <v>6554475</v>
      </c>
      <c r="B3" s="0" t="s">
        <v>9</v>
      </c>
      <c r="C3" s="0" t="s">
        <v>549</v>
      </c>
      <c r="D3" s="2" t="n">
        <v>46022</v>
      </c>
      <c r="E3" s="2" t="n">
        <v>46022</v>
      </c>
      <c r="F3" s="3" t="s">
        <v>14</v>
      </c>
      <c r="G3" s="3" t="s">
        <v>15</v>
      </c>
      <c r="H3" s="0" t="n">
        <v>11633757</v>
      </c>
      <c r="I3" s="3" t="s">
        <v>13</v>
      </c>
    </row>
    <row r="4" customFormat="false" ht="15" hidden="false" customHeight="false" outlineLevel="0" collapsed="false">
      <c r="A4" s="0" t="n">
        <v>6554476</v>
      </c>
      <c r="B4" s="0" t="s">
        <v>9</v>
      </c>
      <c r="C4" s="0" t="s">
        <v>549</v>
      </c>
      <c r="D4" s="2" t="n">
        <v>46022</v>
      </c>
      <c r="E4" s="2" t="n">
        <v>46022</v>
      </c>
      <c r="F4" s="3" t="s">
        <v>16</v>
      </c>
      <c r="G4" s="3" t="s">
        <v>17</v>
      </c>
      <c r="H4" s="0" t="n">
        <v>978066</v>
      </c>
      <c r="I4" s="3" t="s">
        <v>13</v>
      </c>
    </row>
    <row r="5" customFormat="false" ht="15" hidden="false" customHeight="false" outlineLevel="0" collapsed="false">
      <c r="A5" s="0" t="n">
        <v>6554477</v>
      </c>
      <c r="B5" s="0" t="s">
        <v>9</v>
      </c>
      <c r="C5" s="0" t="s">
        <v>549</v>
      </c>
      <c r="D5" s="2" t="n">
        <v>46022</v>
      </c>
      <c r="E5" s="2" t="n">
        <v>46022</v>
      </c>
      <c r="F5" s="3" t="s">
        <v>18</v>
      </c>
      <c r="G5" s="3" t="s">
        <v>19</v>
      </c>
      <c r="H5" s="0" t="n">
        <v>924745</v>
      </c>
      <c r="I5" s="3" t="s">
        <v>13</v>
      </c>
    </row>
    <row r="6" customFormat="false" ht="15" hidden="false" customHeight="false" outlineLevel="0" collapsed="false">
      <c r="A6" s="0" t="n">
        <v>6554478</v>
      </c>
      <c r="B6" s="0" t="s">
        <v>9</v>
      </c>
      <c r="C6" s="0" t="s">
        <v>549</v>
      </c>
      <c r="D6" s="2" t="n">
        <v>46022</v>
      </c>
      <c r="E6" s="2" t="n">
        <v>46022</v>
      </c>
      <c r="F6" s="3" t="s">
        <v>20</v>
      </c>
      <c r="G6" s="3" t="s">
        <v>21</v>
      </c>
      <c r="H6" s="0" t="n">
        <v>924745</v>
      </c>
      <c r="I6" s="3" t="s">
        <v>13</v>
      </c>
    </row>
    <row r="7" customFormat="false" ht="15" hidden="false" customHeight="false" outlineLevel="0" collapsed="false">
      <c r="A7" s="0" t="n">
        <v>6554479</v>
      </c>
      <c r="B7" s="0" t="s">
        <v>9</v>
      </c>
      <c r="C7" s="0" t="s">
        <v>549</v>
      </c>
      <c r="D7" s="2" t="n">
        <v>46022</v>
      </c>
      <c r="E7" s="2" t="n">
        <v>46022</v>
      </c>
      <c r="F7" s="3" t="s">
        <v>22</v>
      </c>
      <c r="G7" s="3" t="s">
        <v>23</v>
      </c>
      <c r="H7" s="0" t="n">
        <v>0</v>
      </c>
      <c r="I7" s="3" t="s">
        <v>13</v>
      </c>
    </row>
    <row r="8" customFormat="false" ht="15" hidden="false" customHeight="false" outlineLevel="0" collapsed="false">
      <c r="A8" s="0" t="n">
        <v>6554480</v>
      </c>
      <c r="B8" s="0" t="s">
        <v>9</v>
      </c>
      <c r="C8" s="0" t="s">
        <v>549</v>
      </c>
      <c r="D8" s="2" t="n">
        <v>46022</v>
      </c>
      <c r="E8" s="2" t="n">
        <v>46022</v>
      </c>
      <c r="F8" s="3" t="s">
        <v>24</v>
      </c>
      <c r="G8" s="3" t="s">
        <v>25</v>
      </c>
      <c r="H8" s="0" t="n">
        <v>924745</v>
      </c>
      <c r="I8" s="3" t="s">
        <v>13</v>
      </c>
    </row>
    <row r="9" customFormat="false" ht="15" hidden="false" customHeight="false" outlineLevel="0" collapsed="false">
      <c r="A9" s="0" t="n">
        <v>6554481</v>
      </c>
      <c r="B9" s="0" t="s">
        <v>9</v>
      </c>
      <c r="C9" s="0" t="s">
        <v>549</v>
      </c>
      <c r="D9" s="2" t="n">
        <v>46022</v>
      </c>
      <c r="E9" s="2" t="n">
        <v>46022</v>
      </c>
      <c r="F9" s="3" t="s">
        <v>26</v>
      </c>
      <c r="G9" s="3" t="s">
        <v>27</v>
      </c>
      <c r="H9" s="0" t="n">
        <v>0</v>
      </c>
      <c r="I9" s="3" t="s">
        <v>13</v>
      </c>
    </row>
    <row r="10" customFormat="false" ht="15" hidden="false" customHeight="false" outlineLevel="0" collapsed="false">
      <c r="A10" s="0" t="n">
        <v>6554482</v>
      </c>
      <c r="B10" s="0" t="s">
        <v>9</v>
      </c>
      <c r="C10" s="0" t="s">
        <v>549</v>
      </c>
      <c r="D10" s="2" t="n">
        <v>46022</v>
      </c>
      <c r="E10" s="2" t="n">
        <v>46022</v>
      </c>
      <c r="F10" s="3" t="s">
        <v>28</v>
      </c>
      <c r="G10" s="3" t="s">
        <v>29</v>
      </c>
      <c r="H10" s="0" t="n">
        <v>0</v>
      </c>
      <c r="I10" s="3" t="s">
        <v>13</v>
      </c>
    </row>
    <row r="11" customFormat="false" ht="15" hidden="false" customHeight="false" outlineLevel="0" collapsed="false">
      <c r="A11" s="0" t="n">
        <v>6554483</v>
      </c>
      <c r="B11" s="0" t="s">
        <v>9</v>
      </c>
      <c r="C11" s="0" t="s">
        <v>549</v>
      </c>
      <c r="D11" s="2" t="n">
        <v>46022</v>
      </c>
      <c r="E11" s="2" t="n">
        <v>46022</v>
      </c>
      <c r="F11" s="3" t="s">
        <v>30</v>
      </c>
      <c r="G11" s="3" t="s">
        <v>31</v>
      </c>
      <c r="H11" s="0" t="n">
        <v>7175248</v>
      </c>
      <c r="I11" s="3" t="s">
        <v>13</v>
      </c>
    </row>
    <row r="12" customFormat="false" ht="15" hidden="false" customHeight="false" outlineLevel="0" collapsed="false">
      <c r="A12" s="0" t="n">
        <v>6554484</v>
      </c>
      <c r="B12" s="0" t="s">
        <v>9</v>
      </c>
      <c r="C12" s="0" t="s">
        <v>549</v>
      </c>
      <c r="D12" s="2" t="n">
        <v>46022</v>
      </c>
      <c r="E12" s="2" t="n">
        <v>46022</v>
      </c>
      <c r="F12" s="3" t="s">
        <v>32</v>
      </c>
      <c r="G12" s="3" t="s">
        <v>33</v>
      </c>
      <c r="H12" s="0" t="n">
        <v>7175248</v>
      </c>
      <c r="I12" s="3" t="s">
        <v>13</v>
      </c>
    </row>
    <row r="13" customFormat="false" ht="15" hidden="false" customHeight="false" outlineLevel="0" collapsed="false">
      <c r="A13" s="0" t="n">
        <v>6554485</v>
      </c>
      <c r="B13" s="0" t="s">
        <v>9</v>
      </c>
      <c r="C13" s="0" t="s">
        <v>549</v>
      </c>
      <c r="D13" s="2" t="n">
        <v>46022</v>
      </c>
      <c r="E13" s="2" t="n">
        <v>46022</v>
      </c>
      <c r="F13" s="3" t="s">
        <v>34</v>
      </c>
      <c r="G13" s="3" t="s">
        <v>35</v>
      </c>
      <c r="H13" s="0" t="n">
        <v>0</v>
      </c>
      <c r="I13" s="3" t="s">
        <v>13</v>
      </c>
    </row>
    <row r="14" customFormat="false" ht="15" hidden="false" customHeight="false" outlineLevel="0" collapsed="false">
      <c r="A14" s="0" t="n">
        <v>6554486</v>
      </c>
      <c r="B14" s="0" t="s">
        <v>9</v>
      </c>
      <c r="C14" s="0" t="s">
        <v>549</v>
      </c>
      <c r="D14" s="2" t="n">
        <v>46022</v>
      </c>
      <c r="E14" s="2" t="n">
        <v>46022</v>
      </c>
      <c r="F14" s="3" t="s">
        <v>36</v>
      </c>
      <c r="G14" s="3" t="s">
        <v>37</v>
      </c>
      <c r="H14" s="0" t="n">
        <v>1865898</v>
      </c>
      <c r="I14" s="3" t="s">
        <v>13</v>
      </c>
    </row>
    <row r="15" customFormat="false" ht="15" hidden="false" customHeight="false" outlineLevel="0" collapsed="false">
      <c r="A15" s="0" t="n">
        <v>6554487</v>
      </c>
      <c r="B15" s="0" t="s">
        <v>9</v>
      </c>
      <c r="C15" s="0" t="s">
        <v>549</v>
      </c>
      <c r="D15" s="2" t="n">
        <v>46022</v>
      </c>
      <c r="E15" s="2" t="n">
        <v>46022</v>
      </c>
      <c r="F15" s="3" t="s">
        <v>38</v>
      </c>
      <c r="G15" s="3" t="s">
        <v>39</v>
      </c>
      <c r="H15" s="0" t="n">
        <v>0</v>
      </c>
      <c r="I15" s="3" t="s">
        <v>13</v>
      </c>
    </row>
    <row r="16" customFormat="false" ht="15" hidden="false" customHeight="false" outlineLevel="0" collapsed="false">
      <c r="A16" s="0" t="n">
        <v>6554488</v>
      </c>
      <c r="B16" s="0" t="s">
        <v>9</v>
      </c>
      <c r="C16" s="0" t="s">
        <v>549</v>
      </c>
      <c r="D16" s="2" t="n">
        <v>46022</v>
      </c>
      <c r="E16" s="2" t="n">
        <v>46022</v>
      </c>
      <c r="F16" s="3" t="s">
        <v>40</v>
      </c>
      <c r="G16" s="3" t="s">
        <v>41</v>
      </c>
      <c r="H16" s="0" t="n">
        <v>592726</v>
      </c>
      <c r="I16" s="3" t="s">
        <v>13</v>
      </c>
    </row>
    <row r="17" customFormat="false" ht="15" hidden="false" customHeight="false" outlineLevel="0" collapsed="false">
      <c r="A17" s="0" t="n">
        <v>6554489</v>
      </c>
      <c r="B17" s="0" t="s">
        <v>9</v>
      </c>
      <c r="C17" s="0" t="s">
        <v>549</v>
      </c>
      <c r="D17" s="2" t="n">
        <v>46022</v>
      </c>
      <c r="E17" s="2" t="n">
        <v>46022</v>
      </c>
      <c r="F17" s="3" t="s">
        <v>42</v>
      </c>
      <c r="G17" s="3" t="s">
        <v>43</v>
      </c>
      <c r="H17" s="0" t="n">
        <v>592726</v>
      </c>
      <c r="I17" s="3" t="s">
        <v>13</v>
      </c>
    </row>
    <row r="18" customFormat="false" ht="15" hidden="false" customHeight="false" outlineLevel="0" collapsed="false">
      <c r="A18" s="0" t="n">
        <v>6554490</v>
      </c>
      <c r="B18" s="0" t="s">
        <v>9</v>
      </c>
      <c r="C18" s="0" t="s">
        <v>549</v>
      </c>
      <c r="D18" s="2" t="n">
        <v>46022</v>
      </c>
      <c r="E18" s="2" t="n">
        <v>46022</v>
      </c>
      <c r="F18" s="3" t="s">
        <v>550</v>
      </c>
      <c r="G18" s="3" t="s">
        <v>41</v>
      </c>
      <c r="H18" s="0" t="n">
        <v>470036</v>
      </c>
      <c r="I18" s="3" t="s">
        <v>13</v>
      </c>
    </row>
    <row r="19" customFormat="false" ht="15" hidden="false" customHeight="false" outlineLevel="0" collapsed="false">
      <c r="A19" s="0" t="n">
        <v>6554491</v>
      </c>
      <c r="B19" s="0" t="s">
        <v>9</v>
      </c>
      <c r="C19" s="0" t="s">
        <v>549</v>
      </c>
      <c r="D19" s="2" t="n">
        <v>46022</v>
      </c>
      <c r="E19" s="2" t="n">
        <v>46022</v>
      </c>
      <c r="F19" s="3" t="s">
        <v>551</v>
      </c>
      <c r="G19" s="3" t="s">
        <v>552</v>
      </c>
      <c r="H19" s="0" t="n">
        <v>122690</v>
      </c>
      <c r="I19" s="3" t="s">
        <v>13</v>
      </c>
    </row>
    <row r="20" customFormat="false" ht="15" hidden="false" customHeight="false" outlineLevel="0" collapsed="false">
      <c r="A20" s="0" t="n">
        <v>6554492</v>
      </c>
      <c r="B20" s="0" t="s">
        <v>9</v>
      </c>
      <c r="C20" s="0" t="s">
        <v>549</v>
      </c>
      <c r="D20" s="2" t="n">
        <v>46022</v>
      </c>
      <c r="E20" s="2" t="n">
        <v>46022</v>
      </c>
      <c r="F20" s="3" t="s">
        <v>44</v>
      </c>
      <c r="G20" s="3" t="s">
        <v>45</v>
      </c>
      <c r="H20" s="0" t="n">
        <v>0</v>
      </c>
      <c r="I20" s="3" t="s">
        <v>13</v>
      </c>
    </row>
    <row r="21" customFormat="false" ht="15" hidden="false" customHeight="false" outlineLevel="0" collapsed="false">
      <c r="A21" s="0" t="n">
        <v>6554493</v>
      </c>
      <c r="B21" s="0" t="s">
        <v>9</v>
      </c>
      <c r="C21" s="0" t="s">
        <v>549</v>
      </c>
      <c r="D21" s="2" t="n">
        <v>46022</v>
      </c>
      <c r="E21" s="2" t="n">
        <v>46022</v>
      </c>
      <c r="F21" s="3" t="s">
        <v>46</v>
      </c>
      <c r="G21" s="3" t="s">
        <v>47</v>
      </c>
      <c r="H21" s="0" t="n">
        <v>97074</v>
      </c>
      <c r="I21" s="3" t="s">
        <v>13</v>
      </c>
    </row>
    <row r="22" customFormat="false" ht="15" hidden="false" customHeight="false" outlineLevel="0" collapsed="false">
      <c r="A22" s="0" t="n">
        <v>6554494</v>
      </c>
      <c r="B22" s="0" t="s">
        <v>9</v>
      </c>
      <c r="C22" s="0" t="s">
        <v>549</v>
      </c>
      <c r="D22" s="2" t="n">
        <v>46022</v>
      </c>
      <c r="E22" s="2" t="n">
        <v>46022</v>
      </c>
      <c r="F22" s="3" t="s">
        <v>48</v>
      </c>
      <c r="G22" s="3" t="s">
        <v>49</v>
      </c>
      <c r="H22" s="0" t="n">
        <v>0</v>
      </c>
      <c r="I22" s="3" t="s">
        <v>13</v>
      </c>
    </row>
    <row r="23" customFormat="false" ht="15" hidden="false" customHeight="false" outlineLevel="0" collapsed="false">
      <c r="A23" s="0" t="n">
        <v>6554495</v>
      </c>
      <c r="B23" s="0" t="s">
        <v>9</v>
      </c>
      <c r="C23" s="0" t="s">
        <v>549</v>
      </c>
      <c r="D23" s="2" t="n">
        <v>46022</v>
      </c>
      <c r="E23" s="2" t="n">
        <v>46022</v>
      </c>
      <c r="F23" s="3" t="s">
        <v>50</v>
      </c>
      <c r="G23" s="3" t="s">
        <v>51</v>
      </c>
      <c r="H23" s="0" t="n">
        <v>0</v>
      </c>
      <c r="I23" s="3" t="s">
        <v>13</v>
      </c>
    </row>
    <row r="24" customFormat="false" ht="15" hidden="false" customHeight="false" outlineLevel="0" collapsed="false">
      <c r="A24" s="0" t="n">
        <v>6554496</v>
      </c>
      <c r="B24" s="0" t="s">
        <v>9</v>
      </c>
      <c r="C24" s="0" t="s">
        <v>549</v>
      </c>
      <c r="D24" s="2" t="n">
        <v>46022</v>
      </c>
      <c r="E24" s="2" t="n">
        <v>46022</v>
      </c>
      <c r="F24" s="3" t="s">
        <v>52</v>
      </c>
      <c r="G24" s="3" t="s">
        <v>53</v>
      </c>
      <c r="H24" s="0" t="n">
        <v>97074</v>
      </c>
      <c r="I24" s="3" t="s">
        <v>13</v>
      </c>
    </row>
    <row r="25" customFormat="false" ht="15" hidden="false" customHeight="false" outlineLevel="0" collapsed="false">
      <c r="A25" s="0" t="n">
        <v>6554497</v>
      </c>
      <c r="B25" s="0" t="s">
        <v>9</v>
      </c>
      <c r="C25" s="0" t="s">
        <v>549</v>
      </c>
      <c r="D25" s="2" t="n">
        <v>46022</v>
      </c>
      <c r="E25" s="2" t="n">
        <v>46022</v>
      </c>
      <c r="F25" s="3" t="s">
        <v>54</v>
      </c>
      <c r="G25" s="3" t="s">
        <v>55</v>
      </c>
      <c r="H25" s="0" t="n">
        <v>0</v>
      </c>
      <c r="I25" s="3" t="s">
        <v>13</v>
      </c>
    </row>
    <row r="26" customFormat="false" ht="15" hidden="false" customHeight="false" outlineLevel="0" collapsed="false">
      <c r="A26" s="0" t="n">
        <v>6554498</v>
      </c>
      <c r="B26" s="0" t="s">
        <v>9</v>
      </c>
      <c r="C26" s="0" t="s">
        <v>549</v>
      </c>
      <c r="D26" s="2" t="n">
        <v>46022</v>
      </c>
      <c r="E26" s="2" t="n">
        <v>46022</v>
      </c>
      <c r="F26" s="3" t="s">
        <v>56</v>
      </c>
      <c r="G26" s="3" t="s">
        <v>57</v>
      </c>
      <c r="H26" s="0" t="n">
        <v>7937</v>
      </c>
      <c r="I26" s="3" t="s">
        <v>13</v>
      </c>
    </row>
    <row r="27" customFormat="false" ht="15" hidden="false" customHeight="false" outlineLevel="0" collapsed="false">
      <c r="A27" s="0" t="n">
        <v>6554499</v>
      </c>
      <c r="B27" s="0" t="s">
        <v>9</v>
      </c>
      <c r="C27" s="0" t="s">
        <v>549</v>
      </c>
      <c r="D27" s="2" t="n">
        <v>46022</v>
      </c>
      <c r="E27" s="2" t="n">
        <v>46022</v>
      </c>
      <c r="F27" s="3" t="s">
        <v>58</v>
      </c>
      <c r="G27" s="3" t="s">
        <v>59</v>
      </c>
      <c r="H27" s="0" t="n">
        <v>89137</v>
      </c>
      <c r="I27" s="3" t="s">
        <v>13</v>
      </c>
    </row>
    <row r="28" customFormat="false" ht="15" hidden="false" customHeight="false" outlineLevel="0" collapsed="false">
      <c r="A28" s="0" t="n">
        <v>6554500</v>
      </c>
      <c r="B28" s="0" t="s">
        <v>9</v>
      </c>
      <c r="C28" s="0" t="s">
        <v>549</v>
      </c>
      <c r="D28" s="2" t="n">
        <v>46022</v>
      </c>
      <c r="E28" s="2" t="n">
        <v>46022</v>
      </c>
      <c r="F28" s="3" t="s">
        <v>60</v>
      </c>
      <c r="G28" s="3" t="s">
        <v>61</v>
      </c>
      <c r="H28" s="0" t="n">
        <v>0</v>
      </c>
      <c r="I28" s="3" t="s">
        <v>13</v>
      </c>
    </row>
    <row r="29" customFormat="false" ht="15" hidden="false" customHeight="false" outlineLevel="0" collapsed="false">
      <c r="A29" s="0" t="n">
        <v>6554501</v>
      </c>
      <c r="B29" s="0" t="s">
        <v>9</v>
      </c>
      <c r="C29" s="0" t="s">
        <v>549</v>
      </c>
      <c r="D29" s="2" t="n">
        <v>46022</v>
      </c>
      <c r="E29" s="2" t="n">
        <v>46022</v>
      </c>
      <c r="F29" s="3" t="s">
        <v>62</v>
      </c>
      <c r="G29" s="3" t="s">
        <v>63</v>
      </c>
      <c r="H29" s="0" t="n">
        <v>7992270</v>
      </c>
      <c r="I29" s="3" t="s">
        <v>13</v>
      </c>
    </row>
    <row r="30" customFormat="false" ht="15" hidden="false" customHeight="false" outlineLevel="0" collapsed="false">
      <c r="A30" s="0" t="n">
        <v>6554502</v>
      </c>
      <c r="B30" s="0" t="s">
        <v>9</v>
      </c>
      <c r="C30" s="0" t="s">
        <v>549</v>
      </c>
      <c r="D30" s="2" t="n">
        <v>46022</v>
      </c>
      <c r="E30" s="2" t="n">
        <v>46022</v>
      </c>
      <c r="F30" s="3" t="s">
        <v>64</v>
      </c>
      <c r="G30" s="3" t="s">
        <v>65</v>
      </c>
      <c r="H30" s="0" t="n">
        <v>1320400</v>
      </c>
      <c r="I30" s="3" t="s">
        <v>13</v>
      </c>
    </row>
    <row r="31" customFormat="false" ht="15" hidden="false" customHeight="false" outlineLevel="0" collapsed="false">
      <c r="A31" s="0" t="n">
        <v>6554503</v>
      </c>
      <c r="B31" s="0" t="s">
        <v>9</v>
      </c>
      <c r="C31" s="0" t="s">
        <v>549</v>
      </c>
      <c r="D31" s="2" t="n">
        <v>46022</v>
      </c>
      <c r="E31" s="2" t="n">
        <v>46022</v>
      </c>
      <c r="F31" s="3" t="s">
        <v>66</v>
      </c>
      <c r="G31" s="3" t="s">
        <v>21</v>
      </c>
      <c r="H31" s="0" t="n">
        <v>0</v>
      </c>
      <c r="I31" s="3" t="s">
        <v>13</v>
      </c>
    </row>
    <row r="32" customFormat="false" ht="15" hidden="false" customHeight="false" outlineLevel="0" collapsed="false">
      <c r="A32" s="0" t="n">
        <v>6554504</v>
      </c>
      <c r="B32" s="0" t="s">
        <v>9</v>
      </c>
      <c r="C32" s="0" t="s">
        <v>549</v>
      </c>
      <c r="D32" s="2" t="n">
        <v>46022</v>
      </c>
      <c r="E32" s="2" t="n">
        <v>46022</v>
      </c>
      <c r="F32" s="3" t="s">
        <v>67</v>
      </c>
      <c r="G32" s="3" t="s">
        <v>25</v>
      </c>
      <c r="H32" s="0" t="n">
        <v>0</v>
      </c>
      <c r="I32" s="3" t="s">
        <v>13</v>
      </c>
    </row>
    <row r="33" customFormat="false" ht="15" hidden="false" customHeight="false" outlineLevel="0" collapsed="false">
      <c r="A33" s="0" t="n">
        <v>6554505</v>
      </c>
      <c r="B33" s="0" t="s">
        <v>9</v>
      </c>
      <c r="C33" s="0" t="s">
        <v>549</v>
      </c>
      <c r="D33" s="2" t="n">
        <v>46022</v>
      </c>
      <c r="E33" s="2" t="n">
        <v>46022</v>
      </c>
      <c r="F33" s="3" t="s">
        <v>68</v>
      </c>
      <c r="G33" s="3" t="s">
        <v>27</v>
      </c>
      <c r="H33" s="0" t="n">
        <v>0</v>
      </c>
      <c r="I33" s="3" t="s">
        <v>13</v>
      </c>
    </row>
    <row r="34" customFormat="false" ht="15" hidden="false" customHeight="false" outlineLevel="0" collapsed="false">
      <c r="A34" s="0" t="n">
        <v>6554506</v>
      </c>
      <c r="B34" s="0" t="s">
        <v>9</v>
      </c>
      <c r="C34" s="0" t="s">
        <v>549</v>
      </c>
      <c r="D34" s="2" t="n">
        <v>46022</v>
      </c>
      <c r="E34" s="2" t="n">
        <v>46022</v>
      </c>
      <c r="F34" s="3" t="s">
        <v>69</v>
      </c>
      <c r="G34" s="3" t="s">
        <v>29</v>
      </c>
      <c r="H34" s="0" t="n">
        <v>0</v>
      </c>
      <c r="I34" s="3" t="s">
        <v>13</v>
      </c>
    </row>
    <row r="35" customFormat="false" ht="15" hidden="false" customHeight="false" outlineLevel="0" collapsed="false">
      <c r="A35" s="0" t="n">
        <v>6554507</v>
      </c>
      <c r="B35" s="0" t="s">
        <v>9</v>
      </c>
      <c r="C35" s="0" t="s">
        <v>549</v>
      </c>
      <c r="D35" s="2" t="n">
        <v>46022</v>
      </c>
      <c r="E35" s="2" t="n">
        <v>46022</v>
      </c>
      <c r="F35" s="3" t="s">
        <v>70</v>
      </c>
      <c r="G35" s="3" t="s">
        <v>31</v>
      </c>
      <c r="H35" s="0" t="n">
        <v>0</v>
      </c>
      <c r="I35" s="3" t="s">
        <v>13</v>
      </c>
    </row>
    <row r="36" customFormat="false" ht="15" hidden="false" customHeight="false" outlineLevel="0" collapsed="false">
      <c r="A36" s="0" t="n">
        <v>6554508</v>
      </c>
      <c r="B36" s="0" t="s">
        <v>9</v>
      </c>
      <c r="C36" s="0" t="s">
        <v>549</v>
      </c>
      <c r="D36" s="2" t="n">
        <v>46022</v>
      </c>
      <c r="E36" s="2" t="n">
        <v>46022</v>
      </c>
      <c r="F36" s="3" t="s">
        <v>71</v>
      </c>
      <c r="G36" s="3" t="s">
        <v>33</v>
      </c>
      <c r="H36" s="0" t="n">
        <v>0</v>
      </c>
      <c r="I36" s="3" t="s">
        <v>13</v>
      </c>
    </row>
    <row r="37" customFormat="false" ht="15" hidden="false" customHeight="false" outlineLevel="0" collapsed="false">
      <c r="A37" s="0" t="n">
        <v>6554509</v>
      </c>
      <c r="B37" s="0" t="s">
        <v>9</v>
      </c>
      <c r="C37" s="0" t="s">
        <v>549</v>
      </c>
      <c r="D37" s="2" t="n">
        <v>46022</v>
      </c>
      <c r="E37" s="2" t="n">
        <v>46022</v>
      </c>
      <c r="F37" s="3" t="s">
        <v>72</v>
      </c>
      <c r="G37" s="3" t="s">
        <v>35</v>
      </c>
      <c r="H37" s="0" t="n">
        <v>0</v>
      </c>
      <c r="I37" s="3" t="s">
        <v>13</v>
      </c>
    </row>
    <row r="38" customFormat="false" ht="15" hidden="false" customHeight="false" outlineLevel="0" collapsed="false">
      <c r="A38" s="0" t="n">
        <v>6554510</v>
      </c>
      <c r="B38" s="0" t="s">
        <v>9</v>
      </c>
      <c r="C38" s="0" t="s">
        <v>549</v>
      </c>
      <c r="D38" s="2" t="n">
        <v>46022</v>
      </c>
      <c r="E38" s="2" t="n">
        <v>46022</v>
      </c>
      <c r="F38" s="3" t="s">
        <v>73</v>
      </c>
      <c r="G38" s="3" t="s">
        <v>37</v>
      </c>
      <c r="H38" s="0" t="n">
        <v>0</v>
      </c>
      <c r="I38" s="3" t="s">
        <v>13</v>
      </c>
    </row>
    <row r="39" customFormat="false" ht="15" hidden="false" customHeight="false" outlineLevel="0" collapsed="false">
      <c r="A39" s="0" t="n">
        <v>6554511</v>
      </c>
      <c r="B39" s="0" t="s">
        <v>9</v>
      </c>
      <c r="C39" s="0" t="s">
        <v>549</v>
      </c>
      <c r="D39" s="2" t="n">
        <v>46022</v>
      </c>
      <c r="E39" s="2" t="n">
        <v>46022</v>
      </c>
      <c r="F39" s="3" t="s">
        <v>74</v>
      </c>
      <c r="G39" s="3" t="s">
        <v>39</v>
      </c>
      <c r="H39" s="0" t="n">
        <v>0</v>
      </c>
      <c r="I39" s="3" t="s">
        <v>13</v>
      </c>
    </row>
    <row r="40" customFormat="false" ht="15" hidden="false" customHeight="false" outlineLevel="0" collapsed="false">
      <c r="A40" s="0" t="n">
        <v>6554512</v>
      </c>
      <c r="B40" s="0" t="s">
        <v>9</v>
      </c>
      <c r="C40" s="0" t="s">
        <v>549</v>
      </c>
      <c r="D40" s="2" t="n">
        <v>46022</v>
      </c>
      <c r="E40" s="2" t="n">
        <v>46022</v>
      </c>
      <c r="F40" s="3" t="s">
        <v>75</v>
      </c>
      <c r="G40" s="3" t="s">
        <v>76</v>
      </c>
      <c r="H40" s="0" t="n">
        <v>741858</v>
      </c>
      <c r="I40" s="3" t="s">
        <v>13</v>
      </c>
    </row>
    <row r="41" customFormat="false" ht="15" hidden="false" customHeight="false" outlineLevel="0" collapsed="false">
      <c r="A41" s="0" t="n">
        <v>6554513</v>
      </c>
      <c r="B41" s="0" t="s">
        <v>9</v>
      </c>
      <c r="C41" s="0" t="s">
        <v>549</v>
      </c>
      <c r="D41" s="2" t="n">
        <v>46022</v>
      </c>
      <c r="E41" s="2" t="n">
        <v>46022</v>
      </c>
      <c r="F41" s="3" t="s">
        <v>77</v>
      </c>
      <c r="G41" s="3" t="s">
        <v>78</v>
      </c>
      <c r="H41" s="0" t="n">
        <v>741858</v>
      </c>
      <c r="I41" s="3" t="s">
        <v>13</v>
      </c>
    </row>
    <row r="42" customFormat="false" ht="15" hidden="false" customHeight="false" outlineLevel="0" collapsed="false">
      <c r="A42" s="0" t="n">
        <v>6554514</v>
      </c>
      <c r="B42" s="0" t="s">
        <v>9</v>
      </c>
      <c r="C42" s="0" t="s">
        <v>549</v>
      </c>
      <c r="D42" s="2" t="n">
        <v>46022</v>
      </c>
      <c r="E42" s="2" t="n">
        <v>46022</v>
      </c>
      <c r="F42" s="3" t="s">
        <v>79</v>
      </c>
      <c r="G42" s="3" t="s">
        <v>45</v>
      </c>
      <c r="H42" s="0" t="n">
        <v>0</v>
      </c>
      <c r="I42" s="3" t="s">
        <v>13</v>
      </c>
    </row>
    <row r="43" customFormat="false" ht="15" hidden="false" customHeight="false" outlineLevel="0" collapsed="false">
      <c r="A43" s="0" t="n">
        <v>6554515</v>
      </c>
      <c r="B43" s="0" t="s">
        <v>9</v>
      </c>
      <c r="C43" s="0" t="s">
        <v>549</v>
      </c>
      <c r="D43" s="2" t="n">
        <v>46022</v>
      </c>
      <c r="E43" s="2" t="n">
        <v>46022</v>
      </c>
      <c r="F43" s="3" t="s">
        <v>80</v>
      </c>
      <c r="G43" s="3" t="s">
        <v>81</v>
      </c>
      <c r="H43" s="0" t="n">
        <v>0</v>
      </c>
      <c r="I43" s="3" t="s">
        <v>13</v>
      </c>
    </row>
    <row r="44" customFormat="false" ht="15" hidden="false" customHeight="false" outlineLevel="0" collapsed="false">
      <c r="A44" s="0" t="n">
        <v>6554516</v>
      </c>
      <c r="B44" s="0" t="s">
        <v>9</v>
      </c>
      <c r="C44" s="0" t="s">
        <v>549</v>
      </c>
      <c r="D44" s="2" t="n">
        <v>46022</v>
      </c>
      <c r="E44" s="2" t="n">
        <v>46022</v>
      </c>
      <c r="F44" s="3" t="s">
        <v>82</v>
      </c>
      <c r="G44" s="3" t="s">
        <v>83</v>
      </c>
      <c r="H44" s="0" t="n">
        <v>0</v>
      </c>
      <c r="I44" s="3" t="s">
        <v>13</v>
      </c>
    </row>
    <row r="45" customFormat="false" ht="15" hidden="false" customHeight="false" outlineLevel="0" collapsed="false">
      <c r="A45" s="0" t="n">
        <v>6554517</v>
      </c>
      <c r="B45" s="0" t="s">
        <v>9</v>
      </c>
      <c r="C45" s="0" t="s">
        <v>549</v>
      </c>
      <c r="D45" s="2" t="n">
        <v>46022</v>
      </c>
      <c r="E45" s="2" t="n">
        <v>46022</v>
      </c>
      <c r="F45" s="3" t="s">
        <v>84</v>
      </c>
      <c r="G45" s="3" t="s">
        <v>85</v>
      </c>
      <c r="H45" s="0" t="n">
        <v>0</v>
      </c>
      <c r="I45" s="3" t="s">
        <v>13</v>
      </c>
    </row>
    <row r="46" customFormat="false" ht="15" hidden="false" customHeight="false" outlineLevel="0" collapsed="false">
      <c r="A46" s="0" t="n">
        <v>6554518</v>
      </c>
      <c r="B46" s="0" t="s">
        <v>9</v>
      </c>
      <c r="C46" s="0" t="s">
        <v>549</v>
      </c>
      <c r="D46" s="2" t="n">
        <v>46022</v>
      </c>
      <c r="E46" s="2" t="n">
        <v>46022</v>
      </c>
      <c r="F46" s="3" t="s">
        <v>86</v>
      </c>
      <c r="G46" s="3" t="s">
        <v>87</v>
      </c>
      <c r="H46" s="0" t="n">
        <v>0</v>
      </c>
      <c r="I46" s="3" t="s">
        <v>13</v>
      </c>
    </row>
    <row r="47" customFormat="false" ht="15" hidden="false" customHeight="false" outlineLevel="0" collapsed="false">
      <c r="A47" s="0" t="n">
        <v>6554519</v>
      </c>
      <c r="B47" s="0" t="s">
        <v>9</v>
      </c>
      <c r="C47" s="0" t="s">
        <v>549</v>
      </c>
      <c r="D47" s="2" t="n">
        <v>46022</v>
      </c>
      <c r="E47" s="2" t="n">
        <v>46022</v>
      </c>
      <c r="F47" s="3" t="s">
        <v>88</v>
      </c>
      <c r="G47" s="3" t="s">
        <v>89</v>
      </c>
      <c r="H47" s="0" t="n">
        <v>578542</v>
      </c>
      <c r="I47" s="3" t="s">
        <v>13</v>
      </c>
    </row>
    <row r="48" customFormat="false" ht="15" hidden="false" customHeight="false" outlineLevel="0" collapsed="false">
      <c r="A48" s="0" t="n">
        <v>6554520</v>
      </c>
      <c r="B48" s="0" t="s">
        <v>9</v>
      </c>
      <c r="C48" s="0" t="s">
        <v>549</v>
      </c>
      <c r="D48" s="2" t="n">
        <v>46022</v>
      </c>
      <c r="E48" s="2" t="n">
        <v>46022</v>
      </c>
      <c r="F48" s="3" t="s">
        <v>90</v>
      </c>
      <c r="G48" s="3" t="s">
        <v>49</v>
      </c>
      <c r="H48" s="0" t="n">
        <v>0</v>
      </c>
      <c r="I48" s="3" t="s">
        <v>13</v>
      </c>
    </row>
    <row r="49" customFormat="false" ht="15" hidden="false" customHeight="false" outlineLevel="0" collapsed="false">
      <c r="A49" s="0" t="n">
        <v>6554521</v>
      </c>
      <c r="B49" s="0" t="s">
        <v>9</v>
      </c>
      <c r="C49" s="0" t="s">
        <v>549</v>
      </c>
      <c r="D49" s="2" t="n">
        <v>46022</v>
      </c>
      <c r="E49" s="2" t="n">
        <v>46022</v>
      </c>
      <c r="F49" s="3" t="s">
        <v>91</v>
      </c>
      <c r="G49" s="3" t="s">
        <v>51</v>
      </c>
      <c r="H49" s="0" t="n">
        <v>0</v>
      </c>
      <c r="I49" s="3" t="s">
        <v>13</v>
      </c>
    </row>
    <row r="50" customFormat="false" ht="15" hidden="false" customHeight="false" outlineLevel="0" collapsed="false">
      <c r="A50" s="0" t="n">
        <v>6554522</v>
      </c>
      <c r="B50" s="0" t="s">
        <v>9</v>
      </c>
      <c r="C50" s="0" t="s">
        <v>549</v>
      </c>
      <c r="D50" s="2" t="n">
        <v>46022</v>
      </c>
      <c r="E50" s="2" t="n">
        <v>46022</v>
      </c>
      <c r="F50" s="3" t="s">
        <v>92</v>
      </c>
      <c r="G50" s="3" t="s">
        <v>93</v>
      </c>
      <c r="H50" s="0" t="n">
        <v>0</v>
      </c>
      <c r="I50" s="3" t="s">
        <v>13</v>
      </c>
    </row>
    <row r="51" customFormat="false" ht="15" hidden="false" customHeight="false" outlineLevel="0" collapsed="false">
      <c r="A51" s="0" t="n">
        <v>6554523</v>
      </c>
      <c r="B51" s="0" t="s">
        <v>9</v>
      </c>
      <c r="C51" s="0" t="s">
        <v>549</v>
      </c>
      <c r="D51" s="2" t="n">
        <v>46022</v>
      </c>
      <c r="E51" s="2" t="n">
        <v>46022</v>
      </c>
      <c r="F51" s="3" t="s">
        <v>94</v>
      </c>
      <c r="G51" s="3" t="s">
        <v>95</v>
      </c>
      <c r="H51" s="0" t="n">
        <v>401066</v>
      </c>
      <c r="I51" s="3" t="s">
        <v>13</v>
      </c>
    </row>
    <row r="52" customFormat="false" ht="15" hidden="false" customHeight="false" outlineLevel="0" collapsed="false">
      <c r="A52" s="0" t="n">
        <v>6554524</v>
      </c>
      <c r="B52" s="0" t="s">
        <v>9</v>
      </c>
      <c r="C52" s="0" t="s">
        <v>549</v>
      </c>
      <c r="D52" s="2" t="n">
        <v>46022</v>
      </c>
      <c r="E52" s="2" t="n">
        <v>46022</v>
      </c>
      <c r="F52" s="3" t="s">
        <v>96</v>
      </c>
      <c r="G52" s="3" t="s">
        <v>59</v>
      </c>
      <c r="H52" s="0" t="n">
        <v>177476</v>
      </c>
      <c r="I52" s="3" t="s">
        <v>13</v>
      </c>
    </row>
    <row r="53" customFormat="false" ht="15" hidden="false" customHeight="false" outlineLevel="0" collapsed="false">
      <c r="A53" s="0" t="n">
        <v>6554525</v>
      </c>
      <c r="B53" s="0" t="s">
        <v>9</v>
      </c>
      <c r="C53" s="0" t="s">
        <v>549</v>
      </c>
      <c r="D53" s="2" t="n">
        <v>46022</v>
      </c>
      <c r="E53" s="2" t="n">
        <v>46022</v>
      </c>
      <c r="F53" s="3" t="s">
        <v>97</v>
      </c>
      <c r="G53" s="3" t="s">
        <v>55</v>
      </c>
      <c r="H53" s="0" t="n">
        <v>0</v>
      </c>
      <c r="I53" s="3" t="s">
        <v>13</v>
      </c>
    </row>
    <row r="54" customFormat="false" ht="15" hidden="false" customHeight="false" outlineLevel="0" collapsed="false">
      <c r="A54" s="0" t="n">
        <v>6554526</v>
      </c>
      <c r="B54" s="0" t="s">
        <v>9</v>
      </c>
      <c r="C54" s="0" t="s">
        <v>549</v>
      </c>
      <c r="D54" s="2" t="n">
        <v>46022</v>
      </c>
      <c r="E54" s="2" t="n">
        <v>46022</v>
      </c>
      <c r="F54" s="3" t="s">
        <v>98</v>
      </c>
      <c r="G54" s="3" t="s">
        <v>99</v>
      </c>
      <c r="H54" s="0" t="n">
        <v>55124</v>
      </c>
      <c r="I54" s="3" t="s">
        <v>13</v>
      </c>
    </row>
    <row r="55" customFormat="false" ht="15" hidden="false" customHeight="false" outlineLevel="0" collapsed="false">
      <c r="A55" s="0" t="n">
        <v>6554527</v>
      </c>
      <c r="B55" s="0" t="s">
        <v>9</v>
      </c>
      <c r="C55" s="0" t="s">
        <v>549</v>
      </c>
      <c r="D55" s="2" t="n">
        <v>46022</v>
      </c>
      <c r="E55" s="2" t="n">
        <v>46022</v>
      </c>
      <c r="F55" s="3" t="s">
        <v>100</v>
      </c>
      <c r="G55" s="3" t="s">
        <v>101</v>
      </c>
      <c r="H55" s="0" t="n">
        <v>55124</v>
      </c>
      <c r="I55" s="3" t="s">
        <v>13</v>
      </c>
    </row>
    <row r="56" customFormat="false" ht="15" hidden="false" customHeight="false" outlineLevel="0" collapsed="false">
      <c r="A56" s="0" t="n">
        <v>6554528</v>
      </c>
      <c r="B56" s="0" t="s">
        <v>9</v>
      </c>
      <c r="C56" s="0" t="s">
        <v>549</v>
      </c>
      <c r="D56" s="2" t="n">
        <v>46022</v>
      </c>
      <c r="E56" s="2" t="n">
        <v>46022</v>
      </c>
      <c r="F56" s="3" t="s">
        <v>102</v>
      </c>
      <c r="G56" s="3" t="s">
        <v>103</v>
      </c>
      <c r="H56" s="0" t="n">
        <v>0</v>
      </c>
      <c r="I56" s="3" t="s">
        <v>13</v>
      </c>
    </row>
    <row r="57" customFormat="false" ht="15" hidden="false" customHeight="false" outlineLevel="0" collapsed="false">
      <c r="A57" s="0" t="n">
        <v>6554529</v>
      </c>
      <c r="B57" s="0" t="s">
        <v>9</v>
      </c>
      <c r="C57" s="0" t="s">
        <v>549</v>
      </c>
      <c r="D57" s="2" t="n">
        <v>46022</v>
      </c>
      <c r="E57" s="2" t="n">
        <v>46022</v>
      </c>
      <c r="F57" s="3" t="s">
        <v>104</v>
      </c>
      <c r="G57" s="3" t="s">
        <v>105</v>
      </c>
      <c r="H57" s="0" t="n">
        <v>55124</v>
      </c>
      <c r="I57" s="3" t="s">
        <v>13</v>
      </c>
    </row>
    <row r="58" customFormat="false" ht="15" hidden="false" customHeight="false" outlineLevel="0" collapsed="false">
      <c r="A58" s="0" t="n">
        <v>6554530</v>
      </c>
      <c r="B58" s="0" t="s">
        <v>9</v>
      </c>
      <c r="C58" s="0" t="s">
        <v>549</v>
      </c>
      <c r="D58" s="2" t="n">
        <v>46022</v>
      </c>
      <c r="E58" s="2" t="n">
        <v>46022</v>
      </c>
      <c r="F58" s="3" t="s">
        <v>106</v>
      </c>
      <c r="G58" s="3" t="s">
        <v>107</v>
      </c>
      <c r="H58" s="0" t="n">
        <v>0</v>
      </c>
      <c r="I58" s="3" t="s">
        <v>13</v>
      </c>
    </row>
    <row r="59" customFormat="false" ht="15" hidden="false" customHeight="false" outlineLevel="0" collapsed="false">
      <c r="A59" s="0" t="n">
        <v>6554531</v>
      </c>
      <c r="B59" s="0" t="s">
        <v>9</v>
      </c>
      <c r="C59" s="0" t="s">
        <v>549</v>
      </c>
      <c r="D59" s="2" t="n">
        <v>46022</v>
      </c>
      <c r="E59" s="2" t="n">
        <v>46022</v>
      </c>
      <c r="F59" s="3" t="s">
        <v>108</v>
      </c>
      <c r="G59" s="3" t="s">
        <v>109</v>
      </c>
      <c r="H59" s="0" t="n">
        <v>0</v>
      </c>
      <c r="I59" s="3" t="s">
        <v>13</v>
      </c>
    </row>
    <row r="60" customFormat="false" ht="15" hidden="false" customHeight="false" outlineLevel="0" collapsed="false">
      <c r="A60" s="0" t="n">
        <v>6554532</v>
      </c>
      <c r="B60" s="0" t="s">
        <v>9</v>
      </c>
      <c r="C60" s="0" t="s">
        <v>549</v>
      </c>
      <c r="D60" s="2" t="n">
        <v>46022</v>
      </c>
      <c r="E60" s="2" t="n">
        <v>46022</v>
      </c>
      <c r="F60" s="3" t="s">
        <v>110</v>
      </c>
      <c r="G60" s="3" t="s">
        <v>111</v>
      </c>
      <c r="H60" s="0" t="n">
        <v>5005784</v>
      </c>
      <c r="I60" s="3" t="s">
        <v>13</v>
      </c>
    </row>
    <row r="61" customFormat="false" ht="15" hidden="false" customHeight="false" outlineLevel="0" collapsed="false">
      <c r="A61" s="0" t="n">
        <v>6554533</v>
      </c>
      <c r="B61" s="0" t="s">
        <v>9</v>
      </c>
      <c r="C61" s="0" t="s">
        <v>549</v>
      </c>
      <c r="D61" s="2" t="n">
        <v>46022</v>
      </c>
      <c r="E61" s="2" t="n">
        <v>46022</v>
      </c>
      <c r="F61" s="3" t="s">
        <v>112</v>
      </c>
      <c r="G61" s="3" t="s">
        <v>113</v>
      </c>
      <c r="H61" s="0" t="n">
        <v>2834048</v>
      </c>
      <c r="I61" s="3" t="s">
        <v>13</v>
      </c>
    </row>
    <row r="62" customFormat="false" ht="15" hidden="false" customHeight="false" outlineLevel="0" collapsed="false">
      <c r="A62" s="0" t="n">
        <v>6554534</v>
      </c>
      <c r="B62" s="0" t="s">
        <v>9</v>
      </c>
      <c r="C62" s="0" t="s">
        <v>549</v>
      </c>
      <c r="D62" s="2" t="n">
        <v>46022</v>
      </c>
      <c r="E62" s="2" t="n">
        <v>46022</v>
      </c>
      <c r="F62" s="3" t="s">
        <v>114</v>
      </c>
      <c r="G62" s="3" t="s">
        <v>115</v>
      </c>
      <c r="H62" s="0" t="n">
        <v>2076567</v>
      </c>
      <c r="I62" s="3" t="s">
        <v>13</v>
      </c>
    </row>
    <row r="63" customFormat="false" ht="15" hidden="false" customHeight="false" outlineLevel="0" collapsed="false">
      <c r="A63" s="0" t="n">
        <v>6554535</v>
      </c>
      <c r="B63" s="0" t="s">
        <v>9</v>
      </c>
      <c r="C63" s="0" t="s">
        <v>549</v>
      </c>
      <c r="D63" s="2" t="n">
        <v>46022</v>
      </c>
      <c r="E63" s="2" t="n">
        <v>46022</v>
      </c>
      <c r="F63" s="3" t="s">
        <v>116</v>
      </c>
      <c r="G63" s="3" t="s">
        <v>117</v>
      </c>
      <c r="H63" s="0" t="n">
        <v>95169</v>
      </c>
      <c r="I63" s="3" t="s">
        <v>13</v>
      </c>
    </row>
    <row r="64" customFormat="false" ht="15" hidden="false" customHeight="false" outlineLevel="0" collapsed="false">
      <c r="A64" s="0" t="n">
        <v>6554536</v>
      </c>
      <c r="B64" s="0" t="s">
        <v>9</v>
      </c>
      <c r="C64" s="0" t="s">
        <v>549</v>
      </c>
      <c r="D64" s="2" t="n">
        <v>46022</v>
      </c>
      <c r="E64" s="2" t="n">
        <v>46022</v>
      </c>
      <c r="F64" s="3" t="s">
        <v>118</v>
      </c>
      <c r="G64" s="3" t="s">
        <v>119</v>
      </c>
      <c r="H64" s="0" t="n">
        <v>1610962</v>
      </c>
      <c r="I64" s="3" t="s">
        <v>13</v>
      </c>
    </row>
    <row r="65" customFormat="false" ht="15" hidden="false" customHeight="false" outlineLevel="0" collapsed="false">
      <c r="A65" s="0" t="n">
        <v>6554537</v>
      </c>
      <c r="B65" s="0" t="s">
        <v>9</v>
      </c>
      <c r="C65" s="0" t="s">
        <v>549</v>
      </c>
      <c r="D65" s="2" t="n">
        <v>46022</v>
      </c>
      <c r="E65" s="2" t="n">
        <v>46022</v>
      </c>
      <c r="F65" s="3" t="s">
        <v>120</v>
      </c>
      <c r="G65" s="3" t="s">
        <v>121</v>
      </c>
      <c r="H65" s="0" t="n">
        <v>1479185</v>
      </c>
      <c r="I65" s="3" t="s">
        <v>13</v>
      </c>
    </row>
    <row r="66" customFormat="false" ht="15" hidden="false" customHeight="false" outlineLevel="0" collapsed="false">
      <c r="A66" s="0" t="n">
        <v>6554538</v>
      </c>
      <c r="B66" s="0" t="s">
        <v>9</v>
      </c>
      <c r="C66" s="0" t="s">
        <v>549</v>
      </c>
      <c r="D66" s="2" t="n">
        <v>46022</v>
      </c>
      <c r="E66" s="2" t="n">
        <v>46022</v>
      </c>
      <c r="F66" s="3" t="s">
        <v>122</v>
      </c>
      <c r="G66" s="3" t="s">
        <v>123</v>
      </c>
      <c r="H66" s="0" t="n">
        <v>0</v>
      </c>
      <c r="I66" s="3" t="s">
        <v>13</v>
      </c>
    </row>
    <row r="67" customFormat="false" ht="15" hidden="false" customHeight="false" outlineLevel="0" collapsed="false">
      <c r="A67" s="0" t="n">
        <v>6554539</v>
      </c>
      <c r="B67" s="0" t="s">
        <v>9</v>
      </c>
      <c r="C67" s="0" t="s">
        <v>549</v>
      </c>
      <c r="D67" s="2" t="n">
        <v>46022</v>
      </c>
      <c r="E67" s="2" t="n">
        <v>46022</v>
      </c>
      <c r="F67" s="3" t="s">
        <v>124</v>
      </c>
      <c r="G67" s="3" t="s">
        <v>125</v>
      </c>
      <c r="H67" s="0" t="n">
        <v>1479185</v>
      </c>
      <c r="I67" s="3" t="s">
        <v>13</v>
      </c>
    </row>
    <row r="68" customFormat="false" ht="15" hidden="false" customHeight="false" outlineLevel="0" collapsed="false">
      <c r="A68" s="0" t="n">
        <v>6554540</v>
      </c>
      <c r="B68" s="0" t="s">
        <v>9</v>
      </c>
      <c r="C68" s="0" t="s">
        <v>549</v>
      </c>
      <c r="D68" s="2" t="n">
        <v>46022</v>
      </c>
      <c r="E68" s="2" t="n">
        <v>46022</v>
      </c>
      <c r="F68" s="3" t="s">
        <v>126</v>
      </c>
      <c r="G68" s="3" t="s">
        <v>127</v>
      </c>
      <c r="H68" s="0" t="n">
        <v>0</v>
      </c>
      <c r="I68" s="3" t="s">
        <v>13</v>
      </c>
    </row>
    <row r="69" customFormat="false" ht="15" hidden="false" customHeight="false" outlineLevel="0" collapsed="false">
      <c r="A69" s="0" t="n">
        <v>6554541</v>
      </c>
      <c r="B69" s="0" t="s">
        <v>9</v>
      </c>
      <c r="C69" s="0" t="s">
        <v>549</v>
      </c>
      <c r="D69" s="2" t="n">
        <v>46022</v>
      </c>
      <c r="E69" s="2" t="n">
        <v>46022</v>
      </c>
      <c r="F69" s="3" t="s">
        <v>128</v>
      </c>
      <c r="G69" s="3" t="s">
        <v>129</v>
      </c>
      <c r="H69" s="0" t="n">
        <v>131777</v>
      </c>
      <c r="I69" s="3" t="s">
        <v>13</v>
      </c>
    </row>
    <row r="70" customFormat="false" ht="15" hidden="false" customHeight="false" outlineLevel="0" collapsed="false">
      <c r="A70" s="0" t="n">
        <v>6554542</v>
      </c>
      <c r="B70" s="0" t="s">
        <v>9</v>
      </c>
      <c r="C70" s="0" t="s">
        <v>549</v>
      </c>
      <c r="D70" s="2" t="n">
        <v>46022</v>
      </c>
      <c r="E70" s="2" t="n">
        <v>46022</v>
      </c>
      <c r="F70" s="3" t="s">
        <v>130</v>
      </c>
      <c r="G70" s="3" t="s">
        <v>131</v>
      </c>
      <c r="H70" s="0" t="n">
        <v>19626027</v>
      </c>
      <c r="I70" s="3" t="s">
        <v>13</v>
      </c>
    </row>
    <row r="71" customFormat="false" ht="15" hidden="false" customHeight="false" outlineLevel="0" collapsed="false">
      <c r="A71" s="0" t="n">
        <v>6554543</v>
      </c>
      <c r="B71" s="0" t="s">
        <v>9</v>
      </c>
      <c r="C71" s="0" t="s">
        <v>549</v>
      </c>
      <c r="D71" s="2" t="n">
        <v>46022</v>
      </c>
      <c r="E71" s="2" t="n">
        <v>46022</v>
      </c>
      <c r="F71" s="3" t="s">
        <v>132</v>
      </c>
      <c r="G71" s="3" t="s">
        <v>133</v>
      </c>
      <c r="H71" s="0" t="n">
        <v>6866734</v>
      </c>
      <c r="I71" s="3" t="s">
        <v>13</v>
      </c>
    </row>
    <row r="72" customFormat="false" ht="15" hidden="false" customHeight="false" outlineLevel="0" collapsed="false">
      <c r="A72" s="0" t="n">
        <v>6554544</v>
      </c>
      <c r="B72" s="0" t="s">
        <v>9</v>
      </c>
      <c r="C72" s="0" t="s">
        <v>549</v>
      </c>
      <c r="D72" s="2" t="n">
        <v>46022</v>
      </c>
      <c r="E72" s="2" t="n">
        <v>46022</v>
      </c>
      <c r="F72" s="3" t="s">
        <v>134</v>
      </c>
      <c r="G72" s="3" t="s">
        <v>135</v>
      </c>
      <c r="H72" s="0" t="n">
        <v>543931</v>
      </c>
      <c r="I72" s="3" t="s">
        <v>13</v>
      </c>
    </row>
    <row r="73" customFormat="false" ht="15" hidden="false" customHeight="false" outlineLevel="0" collapsed="false">
      <c r="A73" s="0" t="n">
        <v>6554545</v>
      </c>
      <c r="B73" s="0" t="s">
        <v>9</v>
      </c>
      <c r="C73" s="0" t="s">
        <v>549</v>
      </c>
      <c r="D73" s="2" t="n">
        <v>46022</v>
      </c>
      <c r="E73" s="2" t="n">
        <v>46022</v>
      </c>
      <c r="F73" s="3" t="s">
        <v>136</v>
      </c>
      <c r="G73" s="3" t="s">
        <v>137</v>
      </c>
      <c r="H73" s="0" t="n">
        <v>126411</v>
      </c>
      <c r="I73" s="3" t="s">
        <v>13</v>
      </c>
    </row>
    <row r="74" customFormat="false" ht="15" hidden="false" customHeight="false" outlineLevel="0" collapsed="false">
      <c r="A74" s="0" t="n">
        <v>6554546</v>
      </c>
      <c r="B74" s="0" t="s">
        <v>9</v>
      </c>
      <c r="C74" s="0" t="s">
        <v>549</v>
      </c>
      <c r="D74" s="2" t="n">
        <v>46022</v>
      </c>
      <c r="E74" s="2" t="n">
        <v>46022</v>
      </c>
      <c r="F74" s="3" t="s">
        <v>138</v>
      </c>
      <c r="G74" s="3" t="s">
        <v>139</v>
      </c>
      <c r="H74" s="0" t="n">
        <v>126411</v>
      </c>
      <c r="I74" s="3" t="s">
        <v>13</v>
      </c>
    </row>
    <row r="75" customFormat="false" ht="15" hidden="false" customHeight="false" outlineLevel="0" collapsed="false">
      <c r="A75" s="0" t="n">
        <v>6554547</v>
      </c>
      <c r="B75" s="0" t="s">
        <v>9</v>
      </c>
      <c r="C75" s="0" t="s">
        <v>549</v>
      </c>
      <c r="D75" s="2" t="n">
        <v>46022</v>
      </c>
      <c r="E75" s="2" t="n">
        <v>46022</v>
      </c>
      <c r="F75" s="3" t="s">
        <v>140</v>
      </c>
      <c r="G75" s="3" t="s">
        <v>141</v>
      </c>
      <c r="H75" s="0" t="n">
        <v>417520</v>
      </c>
      <c r="I75" s="3" t="s">
        <v>13</v>
      </c>
    </row>
    <row r="76" customFormat="false" ht="15" hidden="false" customHeight="false" outlineLevel="0" collapsed="false">
      <c r="A76" s="0" t="n">
        <v>6554548</v>
      </c>
      <c r="B76" s="0" t="s">
        <v>9</v>
      </c>
      <c r="C76" s="0" t="s">
        <v>549</v>
      </c>
      <c r="D76" s="2" t="n">
        <v>46022</v>
      </c>
      <c r="E76" s="2" t="n">
        <v>46022</v>
      </c>
      <c r="F76" s="3" t="s">
        <v>142</v>
      </c>
      <c r="G76" s="3" t="s">
        <v>143</v>
      </c>
      <c r="H76" s="0" t="n">
        <v>417520</v>
      </c>
      <c r="I76" s="3" t="s">
        <v>13</v>
      </c>
    </row>
    <row r="77" customFormat="false" ht="15" hidden="false" customHeight="false" outlineLevel="0" collapsed="false">
      <c r="A77" s="0" t="n">
        <v>6554549</v>
      </c>
      <c r="B77" s="0" t="s">
        <v>9</v>
      </c>
      <c r="C77" s="0" t="s">
        <v>549</v>
      </c>
      <c r="D77" s="2" t="n">
        <v>46022</v>
      </c>
      <c r="E77" s="2" t="n">
        <v>46022</v>
      </c>
      <c r="F77" s="3" t="s">
        <v>144</v>
      </c>
      <c r="G77" s="3" t="s">
        <v>145</v>
      </c>
      <c r="H77" s="0" t="n">
        <v>1815588</v>
      </c>
      <c r="I77" s="3" t="s">
        <v>13</v>
      </c>
    </row>
    <row r="78" customFormat="false" ht="15" hidden="false" customHeight="false" outlineLevel="0" collapsed="false">
      <c r="A78" s="0" t="n">
        <v>6554550</v>
      </c>
      <c r="B78" s="0" t="s">
        <v>9</v>
      </c>
      <c r="C78" s="0" t="s">
        <v>549</v>
      </c>
      <c r="D78" s="2" t="n">
        <v>46022</v>
      </c>
      <c r="E78" s="2" t="n">
        <v>46022</v>
      </c>
      <c r="F78" s="3" t="s">
        <v>146</v>
      </c>
      <c r="G78" s="3" t="s">
        <v>147</v>
      </c>
      <c r="H78" s="0" t="n">
        <v>1485771</v>
      </c>
      <c r="I78" s="3" t="s">
        <v>13</v>
      </c>
    </row>
    <row r="79" customFormat="false" ht="15" hidden="false" customHeight="false" outlineLevel="0" collapsed="false">
      <c r="A79" s="0" t="n">
        <v>6554551</v>
      </c>
      <c r="B79" s="0" t="s">
        <v>9</v>
      </c>
      <c r="C79" s="0" t="s">
        <v>549</v>
      </c>
      <c r="D79" s="2" t="n">
        <v>46022</v>
      </c>
      <c r="E79" s="2" t="n">
        <v>46022</v>
      </c>
      <c r="F79" s="3" t="s">
        <v>148</v>
      </c>
      <c r="G79" s="3" t="s">
        <v>147</v>
      </c>
      <c r="H79" s="0" t="n">
        <v>1444615</v>
      </c>
      <c r="I79" s="3" t="s">
        <v>13</v>
      </c>
    </row>
    <row r="80" customFormat="false" ht="15" hidden="false" customHeight="false" outlineLevel="0" collapsed="false">
      <c r="A80" s="0" t="n">
        <v>6554552</v>
      </c>
      <c r="B80" s="0" t="s">
        <v>9</v>
      </c>
      <c r="C80" s="0" t="s">
        <v>549</v>
      </c>
      <c r="D80" s="2" t="n">
        <v>46022</v>
      </c>
      <c r="E80" s="2" t="n">
        <v>46022</v>
      </c>
      <c r="F80" s="3" t="s">
        <v>149</v>
      </c>
      <c r="G80" s="3" t="s">
        <v>150</v>
      </c>
      <c r="H80" s="0" t="n">
        <v>41156</v>
      </c>
      <c r="I80" s="3" t="s">
        <v>13</v>
      </c>
    </row>
    <row r="81" customFormat="false" ht="15" hidden="false" customHeight="false" outlineLevel="0" collapsed="false">
      <c r="A81" s="0" t="n">
        <v>6554553</v>
      </c>
      <c r="B81" s="0" t="s">
        <v>9</v>
      </c>
      <c r="C81" s="0" t="s">
        <v>549</v>
      </c>
      <c r="D81" s="2" t="n">
        <v>46022</v>
      </c>
      <c r="E81" s="2" t="n">
        <v>46022</v>
      </c>
      <c r="F81" s="3" t="s">
        <v>151</v>
      </c>
      <c r="G81" s="3" t="s">
        <v>152</v>
      </c>
      <c r="H81" s="0" t="n">
        <v>329817</v>
      </c>
      <c r="I81" s="3" t="s">
        <v>13</v>
      </c>
    </row>
    <row r="82" customFormat="false" ht="15" hidden="false" customHeight="false" outlineLevel="0" collapsed="false">
      <c r="A82" s="0" t="n">
        <v>6554554</v>
      </c>
      <c r="B82" s="0" t="s">
        <v>9</v>
      </c>
      <c r="C82" s="0" t="s">
        <v>549</v>
      </c>
      <c r="D82" s="2" t="n">
        <v>46022</v>
      </c>
      <c r="E82" s="2" t="n">
        <v>46022</v>
      </c>
      <c r="F82" s="3" t="s">
        <v>153</v>
      </c>
      <c r="G82" s="3" t="s">
        <v>154</v>
      </c>
      <c r="H82" s="0" t="n">
        <v>590159</v>
      </c>
      <c r="I82" s="3" t="s">
        <v>13</v>
      </c>
    </row>
    <row r="83" customFormat="false" ht="15" hidden="false" customHeight="false" outlineLevel="0" collapsed="false">
      <c r="A83" s="0" t="n">
        <v>6554555</v>
      </c>
      <c r="B83" s="0" t="s">
        <v>9</v>
      </c>
      <c r="C83" s="0" t="s">
        <v>549</v>
      </c>
      <c r="D83" s="2" t="n">
        <v>46022</v>
      </c>
      <c r="E83" s="2" t="n">
        <v>46022</v>
      </c>
      <c r="F83" s="3" t="s">
        <v>155</v>
      </c>
      <c r="G83" s="3" t="s">
        <v>156</v>
      </c>
      <c r="H83" s="0" t="n">
        <v>258801</v>
      </c>
      <c r="I83" s="3" t="s">
        <v>13</v>
      </c>
    </row>
    <row r="84" customFormat="false" ht="15" hidden="false" customHeight="false" outlineLevel="0" collapsed="false">
      <c r="A84" s="0" t="n">
        <v>6554556</v>
      </c>
      <c r="B84" s="0" t="s">
        <v>9</v>
      </c>
      <c r="C84" s="0" t="s">
        <v>549</v>
      </c>
      <c r="D84" s="2" t="n">
        <v>46022</v>
      </c>
      <c r="E84" s="2" t="n">
        <v>46022</v>
      </c>
      <c r="F84" s="3" t="s">
        <v>157</v>
      </c>
      <c r="G84" s="3" t="s">
        <v>158</v>
      </c>
      <c r="H84" s="0" t="n">
        <v>86814</v>
      </c>
      <c r="I84" s="3" t="s">
        <v>13</v>
      </c>
    </row>
    <row r="85" customFormat="false" ht="15" hidden="false" customHeight="false" outlineLevel="0" collapsed="false">
      <c r="A85" s="0" t="n">
        <v>6554557</v>
      </c>
      <c r="B85" s="0" t="s">
        <v>9</v>
      </c>
      <c r="C85" s="0" t="s">
        <v>549</v>
      </c>
      <c r="D85" s="2" t="n">
        <v>46022</v>
      </c>
      <c r="E85" s="2" t="n">
        <v>46022</v>
      </c>
      <c r="F85" s="3" t="s">
        <v>159</v>
      </c>
      <c r="G85" s="3" t="s">
        <v>160</v>
      </c>
      <c r="H85" s="0" t="n">
        <v>171987</v>
      </c>
      <c r="I85" s="3" t="s">
        <v>13</v>
      </c>
    </row>
    <row r="86" customFormat="false" ht="15" hidden="false" customHeight="false" outlineLevel="0" collapsed="false">
      <c r="A86" s="0" t="n">
        <v>6554558</v>
      </c>
      <c r="B86" s="0" t="s">
        <v>9</v>
      </c>
      <c r="C86" s="0" t="s">
        <v>549</v>
      </c>
      <c r="D86" s="2" t="n">
        <v>46022</v>
      </c>
      <c r="E86" s="2" t="n">
        <v>46022</v>
      </c>
      <c r="F86" s="3" t="s">
        <v>161</v>
      </c>
      <c r="G86" s="3" t="s">
        <v>162</v>
      </c>
      <c r="H86" s="0" t="n">
        <v>325141</v>
      </c>
      <c r="I86" s="3" t="s">
        <v>13</v>
      </c>
    </row>
    <row r="87" customFormat="false" ht="15" hidden="false" customHeight="false" outlineLevel="0" collapsed="false">
      <c r="A87" s="0" t="n">
        <v>6554559</v>
      </c>
      <c r="B87" s="0" t="s">
        <v>9</v>
      </c>
      <c r="C87" s="0" t="s">
        <v>549</v>
      </c>
      <c r="D87" s="2" t="n">
        <v>46022</v>
      </c>
      <c r="E87" s="2" t="n">
        <v>46022</v>
      </c>
      <c r="F87" s="3" t="s">
        <v>163</v>
      </c>
      <c r="G87" s="3" t="s">
        <v>164</v>
      </c>
      <c r="H87" s="0" t="n">
        <v>6217</v>
      </c>
      <c r="I87" s="3" t="s">
        <v>13</v>
      </c>
    </row>
    <row r="88" customFormat="false" ht="15" hidden="false" customHeight="false" outlineLevel="0" collapsed="false">
      <c r="A88" s="0" t="n">
        <v>6554560</v>
      </c>
      <c r="B88" s="0" t="s">
        <v>9</v>
      </c>
      <c r="C88" s="0" t="s">
        <v>549</v>
      </c>
      <c r="D88" s="2" t="n">
        <v>46022</v>
      </c>
      <c r="E88" s="2" t="n">
        <v>46022</v>
      </c>
      <c r="F88" s="3" t="s">
        <v>165</v>
      </c>
      <c r="G88" s="3" t="s">
        <v>166</v>
      </c>
      <c r="H88" s="0" t="n">
        <v>21087</v>
      </c>
      <c r="I88" s="3" t="s">
        <v>13</v>
      </c>
    </row>
    <row r="89" customFormat="false" ht="15" hidden="false" customHeight="false" outlineLevel="0" collapsed="false">
      <c r="A89" s="0" t="n">
        <v>6554561</v>
      </c>
      <c r="B89" s="0" t="s">
        <v>9</v>
      </c>
      <c r="C89" s="0" t="s">
        <v>549</v>
      </c>
      <c r="D89" s="2" t="n">
        <v>46022</v>
      </c>
      <c r="E89" s="2" t="n">
        <v>46022</v>
      </c>
      <c r="F89" s="3" t="s">
        <v>167</v>
      </c>
      <c r="G89" s="3" t="s">
        <v>166</v>
      </c>
      <c r="H89" s="0" t="n">
        <v>21087</v>
      </c>
      <c r="I89" s="3" t="s">
        <v>13</v>
      </c>
    </row>
    <row r="90" customFormat="false" ht="15" hidden="false" customHeight="false" outlineLevel="0" collapsed="false">
      <c r="A90" s="0" t="n">
        <v>6554562</v>
      </c>
      <c r="B90" s="0" t="s">
        <v>9</v>
      </c>
      <c r="C90" s="0" t="s">
        <v>549</v>
      </c>
      <c r="D90" s="2" t="n">
        <v>46022</v>
      </c>
      <c r="E90" s="2" t="n">
        <v>46022</v>
      </c>
      <c r="F90" s="3" t="s">
        <v>168</v>
      </c>
      <c r="G90" s="3" t="s">
        <v>169</v>
      </c>
      <c r="H90" s="0" t="n">
        <v>21087</v>
      </c>
      <c r="I90" s="3" t="s">
        <v>13</v>
      </c>
    </row>
    <row r="91" customFormat="false" ht="15" hidden="false" customHeight="false" outlineLevel="0" collapsed="false">
      <c r="A91" s="0" t="n">
        <v>6554563</v>
      </c>
      <c r="B91" s="0" t="s">
        <v>9</v>
      </c>
      <c r="C91" s="0" t="s">
        <v>549</v>
      </c>
      <c r="D91" s="2" t="n">
        <v>46022</v>
      </c>
      <c r="E91" s="2" t="n">
        <v>46022</v>
      </c>
      <c r="F91" s="3" t="s">
        <v>170</v>
      </c>
      <c r="G91" s="3" t="s">
        <v>171</v>
      </c>
      <c r="H91" s="0" t="n">
        <v>0</v>
      </c>
      <c r="I91" s="3" t="s">
        <v>13</v>
      </c>
    </row>
    <row r="92" customFormat="false" ht="15" hidden="false" customHeight="false" outlineLevel="0" collapsed="false">
      <c r="A92" s="0" t="n">
        <v>6554564</v>
      </c>
      <c r="B92" s="0" t="s">
        <v>9</v>
      </c>
      <c r="C92" s="0" t="s">
        <v>549</v>
      </c>
      <c r="D92" s="2" t="n">
        <v>46022</v>
      </c>
      <c r="E92" s="2" t="n">
        <v>46022</v>
      </c>
      <c r="F92" s="3" t="s">
        <v>172</v>
      </c>
      <c r="G92" s="3" t="s">
        <v>173</v>
      </c>
      <c r="H92" s="0" t="n">
        <v>0</v>
      </c>
      <c r="I92" s="3" t="s">
        <v>13</v>
      </c>
    </row>
    <row r="93" customFormat="false" ht="15" hidden="false" customHeight="false" outlineLevel="0" collapsed="false">
      <c r="A93" s="0" t="n">
        <v>6554565</v>
      </c>
      <c r="B93" s="0" t="s">
        <v>9</v>
      </c>
      <c r="C93" s="0" t="s">
        <v>549</v>
      </c>
      <c r="D93" s="2" t="n">
        <v>46022</v>
      </c>
      <c r="E93" s="2" t="n">
        <v>46022</v>
      </c>
      <c r="F93" s="3" t="s">
        <v>174</v>
      </c>
      <c r="G93" s="3" t="s">
        <v>175</v>
      </c>
      <c r="H93" s="0" t="n">
        <v>0</v>
      </c>
      <c r="I93" s="3" t="s">
        <v>13</v>
      </c>
    </row>
    <row r="94" customFormat="false" ht="15" hidden="false" customHeight="false" outlineLevel="0" collapsed="false">
      <c r="A94" s="0" t="n">
        <v>6554566</v>
      </c>
      <c r="B94" s="0" t="s">
        <v>9</v>
      </c>
      <c r="C94" s="0" t="s">
        <v>549</v>
      </c>
      <c r="D94" s="2" t="n">
        <v>46022</v>
      </c>
      <c r="E94" s="2" t="n">
        <v>46022</v>
      </c>
      <c r="F94" s="3" t="s">
        <v>176</v>
      </c>
      <c r="G94" s="3" t="s">
        <v>177</v>
      </c>
      <c r="H94" s="0" t="n">
        <v>3803901</v>
      </c>
      <c r="I94" s="3" t="s">
        <v>13</v>
      </c>
    </row>
    <row r="95" customFormat="false" ht="15" hidden="false" customHeight="false" outlineLevel="0" collapsed="false">
      <c r="A95" s="0" t="n">
        <v>6554567</v>
      </c>
      <c r="B95" s="0" t="s">
        <v>9</v>
      </c>
      <c r="C95" s="0" t="s">
        <v>549</v>
      </c>
      <c r="D95" s="2" t="n">
        <v>46022</v>
      </c>
      <c r="E95" s="2" t="n">
        <v>46022</v>
      </c>
      <c r="F95" s="3" t="s">
        <v>178</v>
      </c>
      <c r="G95" s="3" t="s">
        <v>179</v>
      </c>
      <c r="H95" s="0" t="n">
        <v>0</v>
      </c>
      <c r="I95" s="3" t="s">
        <v>13</v>
      </c>
    </row>
    <row r="96" customFormat="false" ht="15" hidden="false" customHeight="false" outlineLevel="0" collapsed="false">
      <c r="A96" s="0" t="n">
        <v>6554568</v>
      </c>
      <c r="B96" s="0" t="s">
        <v>9</v>
      </c>
      <c r="C96" s="0" t="s">
        <v>549</v>
      </c>
      <c r="D96" s="2" t="n">
        <v>46022</v>
      </c>
      <c r="E96" s="2" t="n">
        <v>46022</v>
      </c>
      <c r="F96" s="3" t="s">
        <v>180</v>
      </c>
      <c r="G96" s="3" t="s">
        <v>181</v>
      </c>
      <c r="H96" s="0" t="n">
        <v>0</v>
      </c>
      <c r="I96" s="3" t="s">
        <v>13</v>
      </c>
    </row>
    <row r="97" customFormat="false" ht="15" hidden="false" customHeight="false" outlineLevel="0" collapsed="false">
      <c r="A97" s="0" t="n">
        <v>6554569</v>
      </c>
      <c r="B97" s="0" t="s">
        <v>9</v>
      </c>
      <c r="C97" s="0" t="s">
        <v>549</v>
      </c>
      <c r="D97" s="2" t="n">
        <v>46022</v>
      </c>
      <c r="E97" s="2" t="n">
        <v>46022</v>
      </c>
      <c r="F97" s="3" t="s">
        <v>182</v>
      </c>
      <c r="G97" s="3" t="s">
        <v>183</v>
      </c>
      <c r="H97" s="0" t="n">
        <v>0</v>
      </c>
      <c r="I97" s="3" t="s">
        <v>13</v>
      </c>
    </row>
    <row r="98" customFormat="false" ht="15" hidden="false" customHeight="false" outlineLevel="0" collapsed="false">
      <c r="A98" s="0" t="n">
        <v>6554570</v>
      </c>
      <c r="B98" s="0" t="s">
        <v>9</v>
      </c>
      <c r="C98" s="0" t="s">
        <v>549</v>
      </c>
      <c r="D98" s="2" t="n">
        <v>46022</v>
      </c>
      <c r="E98" s="2" t="n">
        <v>46022</v>
      </c>
      <c r="F98" s="3" t="s">
        <v>184</v>
      </c>
      <c r="G98" s="3" t="s">
        <v>185</v>
      </c>
      <c r="H98" s="0" t="n">
        <v>0</v>
      </c>
      <c r="I98" s="3" t="s">
        <v>13</v>
      </c>
    </row>
    <row r="99" customFormat="false" ht="15" hidden="false" customHeight="false" outlineLevel="0" collapsed="false">
      <c r="A99" s="0" t="n">
        <v>6554571</v>
      </c>
      <c r="B99" s="0" t="s">
        <v>9</v>
      </c>
      <c r="C99" s="0" t="s">
        <v>549</v>
      </c>
      <c r="D99" s="2" t="n">
        <v>46022</v>
      </c>
      <c r="E99" s="2" t="n">
        <v>46022</v>
      </c>
      <c r="F99" s="3" t="s">
        <v>186</v>
      </c>
      <c r="G99" s="3" t="s">
        <v>53</v>
      </c>
      <c r="H99" s="0" t="n">
        <v>3803901</v>
      </c>
      <c r="I99" s="3" t="s">
        <v>13</v>
      </c>
    </row>
    <row r="100" customFormat="false" ht="15" hidden="false" customHeight="false" outlineLevel="0" collapsed="false">
      <c r="A100" s="0" t="n">
        <v>6554572</v>
      </c>
      <c r="B100" s="0" t="s">
        <v>9</v>
      </c>
      <c r="C100" s="0" t="s">
        <v>549</v>
      </c>
      <c r="D100" s="2" t="n">
        <v>46022</v>
      </c>
      <c r="E100" s="2" t="n">
        <v>46022</v>
      </c>
      <c r="F100" s="3" t="s">
        <v>187</v>
      </c>
      <c r="G100" s="3" t="s">
        <v>188</v>
      </c>
      <c r="H100" s="0" t="n">
        <v>199212</v>
      </c>
      <c r="I100" s="3" t="s">
        <v>13</v>
      </c>
    </row>
    <row r="101" customFormat="false" ht="15" hidden="false" customHeight="false" outlineLevel="0" collapsed="false">
      <c r="A101" s="0" t="n">
        <v>6554573</v>
      </c>
      <c r="B101" s="0" t="s">
        <v>9</v>
      </c>
      <c r="C101" s="0" t="s">
        <v>549</v>
      </c>
      <c r="D101" s="2" t="n">
        <v>46022</v>
      </c>
      <c r="E101" s="2" t="n">
        <v>46022</v>
      </c>
      <c r="F101" s="3" t="s">
        <v>189</v>
      </c>
      <c r="G101" s="3" t="s">
        <v>190</v>
      </c>
      <c r="H101" s="0" t="n">
        <v>0</v>
      </c>
      <c r="I101" s="3" t="s">
        <v>13</v>
      </c>
    </row>
    <row r="102" customFormat="false" ht="15" hidden="false" customHeight="false" outlineLevel="0" collapsed="false">
      <c r="A102" s="0" t="n">
        <v>6554574</v>
      </c>
      <c r="B102" s="0" t="s">
        <v>9</v>
      </c>
      <c r="C102" s="0" t="s">
        <v>549</v>
      </c>
      <c r="D102" s="2" t="n">
        <v>46022</v>
      </c>
      <c r="E102" s="2" t="n">
        <v>46022</v>
      </c>
      <c r="F102" s="3" t="s">
        <v>191</v>
      </c>
      <c r="G102" s="3" t="s">
        <v>192</v>
      </c>
      <c r="H102" s="0" t="n">
        <v>0</v>
      </c>
      <c r="I102" s="3" t="s">
        <v>13</v>
      </c>
    </row>
    <row r="103" customFormat="false" ht="15" hidden="false" customHeight="false" outlineLevel="0" collapsed="false">
      <c r="A103" s="0" t="n">
        <v>6554575</v>
      </c>
      <c r="B103" s="0" t="s">
        <v>9</v>
      </c>
      <c r="C103" s="0" t="s">
        <v>549</v>
      </c>
      <c r="D103" s="2" t="n">
        <v>46022</v>
      </c>
      <c r="E103" s="2" t="n">
        <v>46022</v>
      </c>
      <c r="F103" s="3" t="s">
        <v>193</v>
      </c>
      <c r="G103" s="3" t="s">
        <v>194</v>
      </c>
      <c r="H103" s="0" t="n">
        <v>0</v>
      </c>
      <c r="I103" s="3" t="s">
        <v>13</v>
      </c>
    </row>
    <row r="104" customFormat="false" ht="15" hidden="false" customHeight="false" outlineLevel="0" collapsed="false">
      <c r="A104" s="0" t="n">
        <v>6554576</v>
      </c>
      <c r="B104" s="0" t="s">
        <v>9</v>
      </c>
      <c r="C104" s="0" t="s">
        <v>549</v>
      </c>
      <c r="D104" s="2" t="n">
        <v>46022</v>
      </c>
      <c r="E104" s="2" t="n">
        <v>46022</v>
      </c>
      <c r="F104" s="3" t="s">
        <v>195</v>
      </c>
      <c r="G104" s="3" t="s">
        <v>196</v>
      </c>
      <c r="H104" s="0" t="n">
        <v>235614</v>
      </c>
      <c r="I104" s="3" t="s">
        <v>13</v>
      </c>
    </row>
    <row r="105" customFormat="false" ht="15" hidden="false" customHeight="false" outlineLevel="0" collapsed="false">
      <c r="A105" s="0" t="n">
        <v>6554577</v>
      </c>
      <c r="B105" s="0" t="s">
        <v>9</v>
      </c>
      <c r="C105" s="0" t="s">
        <v>549</v>
      </c>
      <c r="D105" s="2" t="n">
        <v>46022</v>
      </c>
      <c r="E105" s="2" t="n">
        <v>46022</v>
      </c>
      <c r="F105" s="3" t="s">
        <v>197</v>
      </c>
      <c r="G105" s="3" t="s">
        <v>198</v>
      </c>
      <c r="H105" s="0" t="n">
        <v>12787</v>
      </c>
      <c r="I105" s="3" t="s">
        <v>13</v>
      </c>
    </row>
    <row r="106" customFormat="false" ht="15" hidden="false" customHeight="false" outlineLevel="0" collapsed="false">
      <c r="A106" s="0" t="n">
        <v>6554578</v>
      </c>
      <c r="B106" s="0" t="s">
        <v>9</v>
      </c>
      <c r="C106" s="0" t="s">
        <v>549</v>
      </c>
      <c r="D106" s="2" t="n">
        <v>46022</v>
      </c>
      <c r="E106" s="2" t="n">
        <v>46022</v>
      </c>
      <c r="F106" s="3" t="s">
        <v>199</v>
      </c>
      <c r="G106" s="3" t="s">
        <v>200</v>
      </c>
      <c r="H106" s="0" t="n">
        <v>2602231</v>
      </c>
      <c r="I106" s="3" t="s">
        <v>13</v>
      </c>
    </row>
    <row r="107" customFormat="false" ht="15" hidden="false" customHeight="false" outlineLevel="0" collapsed="false">
      <c r="A107" s="0" t="n">
        <v>6554579</v>
      </c>
      <c r="B107" s="0" t="s">
        <v>9</v>
      </c>
      <c r="C107" s="0" t="s">
        <v>549</v>
      </c>
      <c r="D107" s="2" t="n">
        <v>46022</v>
      </c>
      <c r="E107" s="2" t="n">
        <v>46022</v>
      </c>
      <c r="F107" s="3" t="s">
        <v>201</v>
      </c>
      <c r="G107" s="3" t="s">
        <v>57</v>
      </c>
      <c r="H107" s="0" t="n">
        <v>13820</v>
      </c>
      <c r="I107" s="3" t="s">
        <v>13</v>
      </c>
    </row>
    <row r="108" customFormat="false" ht="15" hidden="false" customHeight="false" outlineLevel="0" collapsed="false">
      <c r="A108" s="0" t="n">
        <v>6554580</v>
      </c>
      <c r="B108" s="0" t="s">
        <v>9</v>
      </c>
      <c r="C108" s="0" t="s">
        <v>549</v>
      </c>
      <c r="D108" s="2" t="n">
        <v>46022</v>
      </c>
      <c r="E108" s="2" t="n">
        <v>46022</v>
      </c>
      <c r="F108" s="3" t="s">
        <v>202</v>
      </c>
      <c r="G108" s="3" t="s">
        <v>203</v>
      </c>
      <c r="H108" s="0" t="n">
        <v>740237</v>
      </c>
      <c r="I108" s="3" t="s">
        <v>13</v>
      </c>
    </row>
    <row r="109" customFormat="false" ht="15" hidden="false" customHeight="false" outlineLevel="0" collapsed="false">
      <c r="A109" s="0" t="n">
        <v>6554581</v>
      </c>
      <c r="B109" s="0" t="s">
        <v>9</v>
      </c>
      <c r="C109" s="0" t="s">
        <v>549</v>
      </c>
      <c r="D109" s="2" t="n">
        <v>46022</v>
      </c>
      <c r="E109" s="2" t="n">
        <v>46022</v>
      </c>
      <c r="F109" s="3" t="s">
        <v>204</v>
      </c>
      <c r="G109" s="3" t="s">
        <v>205</v>
      </c>
      <c r="H109" s="0" t="n">
        <v>92068</v>
      </c>
      <c r="I109" s="3" t="s">
        <v>13</v>
      </c>
    </row>
    <row r="110" customFormat="false" ht="15" hidden="false" customHeight="false" outlineLevel="0" collapsed="false">
      <c r="A110" s="0" t="n">
        <v>6554582</v>
      </c>
      <c r="B110" s="0" t="s">
        <v>9</v>
      </c>
      <c r="C110" s="0" t="s">
        <v>549</v>
      </c>
      <c r="D110" s="2" t="n">
        <v>46022</v>
      </c>
      <c r="E110" s="2" t="n">
        <v>46022</v>
      </c>
      <c r="F110" s="3" t="s">
        <v>206</v>
      </c>
      <c r="G110" s="3" t="s">
        <v>207</v>
      </c>
      <c r="H110" s="0" t="n">
        <v>92068</v>
      </c>
      <c r="I110" s="3" t="s">
        <v>13</v>
      </c>
    </row>
    <row r="111" customFormat="false" ht="15" hidden="false" customHeight="false" outlineLevel="0" collapsed="false">
      <c r="A111" s="0" t="n">
        <v>6554583</v>
      </c>
      <c r="B111" s="0" t="s">
        <v>9</v>
      </c>
      <c r="C111" s="0" t="s">
        <v>549</v>
      </c>
      <c r="D111" s="2" t="n">
        <v>46022</v>
      </c>
      <c r="E111" s="2" t="n">
        <v>46022</v>
      </c>
      <c r="F111" s="3" t="s">
        <v>208</v>
      </c>
      <c r="G111" s="3" t="s">
        <v>209</v>
      </c>
      <c r="H111" s="0" t="n">
        <v>0</v>
      </c>
      <c r="I111" s="3" t="s">
        <v>13</v>
      </c>
    </row>
    <row r="112" customFormat="false" ht="15" hidden="false" customHeight="false" outlineLevel="0" collapsed="false">
      <c r="A112" s="0" t="n">
        <v>6554584</v>
      </c>
      <c r="B112" s="0" t="s">
        <v>9</v>
      </c>
      <c r="C112" s="0" t="s">
        <v>549</v>
      </c>
      <c r="D112" s="2" t="n">
        <v>46022</v>
      </c>
      <c r="E112" s="2" t="n">
        <v>46022</v>
      </c>
      <c r="F112" s="3" t="s">
        <v>210</v>
      </c>
      <c r="G112" s="3" t="s">
        <v>211</v>
      </c>
      <c r="H112" s="0" t="n">
        <v>0</v>
      </c>
      <c r="I112" s="3" t="s">
        <v>13</v>
      </c>
    </row>
    <row r="113" customFormat="false" ht="15" hidden="false" customHeight="false" outlineLevel="0" collapsed="false">
      <c r="A113" s="0" t="n">
        <v>6554585</v>
      </c>
      <c r="B113" s="0" t="s">
        <v>9</v>
      </c>
      <c r="C113" s="0" t="s">
        <v>549</v>
      </c>
      <c r="D113" s="2" t="n">
        <v>46022</v>
      </c>
      <c r="E113" s="2" t="n">
        <v>46022</v>
      </c>
      <c r="F113" s="3" t="s">
        <v>212</v>
      </c>
      <c r="G113" s="3" t="s">
        <v>213</v>
      </c>
      <c r="H113" s="0" t="n">
        <v>0</v>
      </c>
      <c r="I113" s="3" t="s">
        <v>13</v>
      </c>
    </row>
    <row r="114" customFormat="false" ht="15" hidden="false" customHeight="false" outlineLevel="0" collapsed="false">
      <c r="A114" s="0" t="n">
        <v>6554586</v>
      </c>
      <c r="B114" s="0" t="s">
        <v>9</v>
      </c>
      <c r="C114" s="0" t="s">
        <v>549</v>
      </c>
      <c r="D114" s="2" t="n">
        <v>46022</v>
      </c>
      <c r="E114" s="2" t="n">
        <v>46022</v>
      </c>
      <c r="F114" s="3" t="s">
        <v>214</v>
      </c>
      <c r="G114" s="3" t="s">
        <v>215</v>
      </c>
      <c r="H114" s="0" t="n">
        <v>22353</v>
      </c>
      <c r="I114" s="3" t="s">
        <v>13</v>
      </c>
    </row>
    <row r="115" customFormat="false" ht="15" hidden="false" customHeight="false" outlineLevel="0" collapsed="false">
      <c r="A115" s="0" t="n">
        <v>6554587</v>
      </c>
      <c r="B115" s="0" t="s">
        <v>9</v>
      </c>
      <c r="C115" s="0" t="s">
        <v>549</v>
      </c>
      <c r="D115" s="2" t="n">
        <v>46022</v>
      </c>
      <c r="E115" s="2" t="n">
        <v>46022</v>
      </c>
      <c r="F115" s="3" t="s">
        <v>216</v>
      </c>
      <c r="G115" s="3" t="s">
        <v>217</v>
      </c>
      <c r="H115" s="0" t="n">
        <v>69715</v>
      </c>
      <c r="I115" s="3" t="s">
        <v>13</v>
      </c>
    </row>
    <row r="116" customFormat="false" ht="15" hidden="false" customHeight="false" outlineLevel="0" collapsed="false">
      <c r="A116" s="0" t="n">
        <v>6554588</v>
      </c>
      <c r="B116" s="0" t="s">
        <v>9</v>
      </c>
      <c r="C116" s="0" t="s">
        <v>549</v>
      </c>
      <c r="D116" s="2" t="n">
        <v>46022</v>
      </c>
      <c r="E116" s="2" t="n">
        <v>46022</v>
      </c>
      <c r="F116" s="3" t="s">
        <v>218</v>
      </c>
      <c r="G116" s="3" t="s">
        <v>219</v>
      </c>
      <c r="H116" s="0" t="n">
        <v>0</v>
      </c>
      <c r="I116" s="3" t="s">
        <v>13</v>
      </c>
    </row>
    <row r="117" customFormat="false" ht="15" hidden="false" customHeight="false" outlineLevel="0" collapsed="false">
      <c r="A117" s="0" t="n">
        <v>6554589</v>
      </c>
      <c r="B117" s="0" t="s">
        <v>9</v>
      </c>
      <c r="C117" s="0" t="s">
        <v>549</v>
      </c>
      <c r="D117" s="2" t="n">
        <v>46022</v>
      </c>
      <c r="E117" s="2" t="n">
        <v>46022</v>
      </c>
      <c r="F117" s="3" t="s">
        <v>220</v>
      </c>
      <c r="G117" s="3" t="s">
        <v>221</v>
      </c>
      <c r="H117" s="0" t="n">
        <v>0</v>
      </c>
      <c r="I117" s="3" t="s">
        <v>13</v>
      </c>
    </row>
    <row r="118" customFormat="false" ht="15" hidden="false" customHeight="false" outlineLevel="0" collapsed="false">
      <c r="A118" s="0" t="n">
        <v>6554590</v>
      </c>
      <c r="B118" s="0" t="s">
        <v>9</v>
      </c>
      <c r="C118" s="0" t="s">
        <v>549</v>
      </c>
      <c r="D118" s="2" t="n">
        <v>46022</v>
      </c>
      <c r="E118" s="2" t="n">
        <v>46022</v>
      </c>
      <c r="F118" s="3" t="s">
        <v>222</v>
      </c>
      <c r="G118" s="3" t="s">
        <v>223</v>
      </c>
      <c r="H118" s="0" t="n">
        <v>0</v>
      </c>
      <c r="I118" s="3" t="s">
        <v>13</v>
      </c>
    </row>
    <row r="119" customFormat="false" ht="15" hidden="false" customHeight="false" outlineLevel="0" collapsed="false">
      <c r="A119" s="0" t="n">
        <v>6554591</v>
      </c>
      <c r="B119" s="0" t="s">
        <v>9</v>
      </c>
      <c r="C119" s="0" t="s">
        <v>549</v>
      </c>
      <c r="D119" s="2" t="n">
        <v>46022</v>
      </c>
      <c r="E119" s="2" t="n">
        <v>46022</v>
      </c>
      <c r="F119" s="3" t="s">
        <v>224</v>
      </c>
      <c r="G119" s="3" t="s">
        <v>225</v>
      </c>
      <c r="H119" s="0" t="n">
        <v>0</v>
      </c>
      <c r="I119" s="3" t="s">
        <v>13</v>
      </c>
    </row>
    <row r="120" customFormat="false" ht="15" hidden="false" customHeight="false" outlineLevel="0" collapsed="false">
      <c r="A120" s="0" t="n">
        <v>6554592</v>
      </c>
      <c r="B120" s="0" t="s">
        <v>9</v>
      </c>
      <c r="C120" s="0" t="s">
        <v>549</v>
      </c>
      <c r="D120" s="2" t="n">
        <v>46022</v>
      </c>
      <c r="E120" s="2" t="n">
        <v>46022</v>
      </c>
      <c r="F120" s="3" t="s">
        <v>226</v>
      </c>
      <c r="G120" s="3" t="s">
        <v>227</v>
      </c>
      <c r="H120" s="0" t="n">
        <v>0</v>
      </c>
      <c r="I120" s="3" t="s">
        <v>13</v>
      </c>
    </row>
    <row r="121" customFormat="false" ht="15" hidden="false" customHeight="false" outlineLevel="0" collapsed="false">
      <c r="A121" s="0" t="n">
        <v>6554593</v>
      </c>
      <c r="B121" s="0" t="s">
        <v>9</v>
      </c>
      <c r="C121" s="0" t="s">
        <v>549</v>
      </c>
      <c r="D121" s="2" t="n">
        <v>46022</v>
      </c>
      <c r="E121" s="2" t="n">
        <v>46022</v>
      </c>
      <c r="F121" s="3" t="s">
        <v>228</v>
      </c>
      <c r="G121" s="3" t="s">
        <v>229</v>
      </c>
      <c r="H121" s="0" t="n">
        <v>0</v>
      </c>
      <c r="I121" s="3" t="s">
        <v>13</v>
      </c>
    </row>
    <row r="122" customFormat="false" ht="15" hidden="false" customHeight="false" outlineLevel="0" collapsed="false">
      <c r="A122" s="0" t="n">
        <v>6554594</v>
      </c>
      <c r="B122" s="0" t="s">
        <v>9</v>
      </c>
      <c r="C122" s="0" t="s">
        <v>549</v>
      </c>
      <c r="D122" s="2" t="n">
        <v>46022</v>
      </c>
      <c r="E122" s="2" t="n">
        <v>46022</v>
      </c>
      <c r="F122" s="3" t="s">
        <v>230</v>
      </c>
      <c r="G122" s="3" t="s">
        <v>231</v>
      </c>
      <c r="H122" s="0" t="n">
        <v>0</v>
      </c>
      <c r="I122" s="3" t="s">
        <v>13</v>
      </c>
    </row>
    <row r="123" customFormat="false" ht="15" hidden="false" customHeight="false" outlineLevel="0" collapsed="false">
      <c r="A123" s="0" t="n">
        <v>6554595</v>
      </c>
      <c r="B123" s="0" t="s">
        <v>9</v>
      </c>
      <c r="C123" s="0" t="s">
        <v>549</v>
      </c>
      <c r="D123" s="2" t="n">
        <v>46022</v>
      </c>
      <c r="E123" s="2" t="n">
        <v>46022</v>
      </c>
      <c r="F123" s="3" t="s">
        <v>232</v>
      </c>
      <c r="G123" s="3" t="s">
        <v>233</v>
      </c>
      <c r="H123" s="0" t="n">
        <v>2303012</v>
      </c>
      <c r="I123" s="3" t="s">
        <v>13</v>
      </c>
    </row>
    <row r="124" customFormat="false" ht="15" hidden="false" customHeight="false" outlineLevel="0" collapsed="false">
      <c r="A124" s="0" t="n">
        <v>6554596</v>
      </c>
      <c r="B124" s="0" t="s">
        <v>9</v>
      </c>
      <c r="C124" s="0" t="s">
        <v>549</v>
      </c>
      <c r="D124" s="2" t="n">
        <v>46022</v>
      </c>
      <c r="E124" s="2" t="n">
        <v>46022</v>
      </c>
      <c r="F124" s="3" t="s">
        <v>234</v>
      </c>
      <c r="G124" s="3" t="s">
        <v>166</v>
      </c>
      <c r="H124" s="0" t="n">
        <v>358788</v>
      </c>
      <c r="I124" s="3" t="s">
        <v>13</v>
      </c>
    </row>
    <row r="125" customFormat="false" ht="15" hidden="false" customHeight="false" outlineLevel="0" collapsed="false">
      <c r="A125" s="0" t="n">
        <v>6554597</v>
      </c>
      <c r="B125" s="0" t="s">
        <v>9</v>
      </c>
      <c r="C125" s="0" t="s">
        <v>549</v>
      </c>
      <c r="D125" s="2" t="n">
        <v>46022</v>
      </c>
      <c r="E125" s="2" t="n">
        <v>46022</v>
      </c>
      <c r="F125" s="3" t="s">
        <v>235</v>
      </c>
      <c r="G125" s="3" t="s">
        <v>166</v>
      </c>
      <c r="H125" s="0" t="n">
        <v>358788</v>
      </c>
      <c r="I125" s="3" t="s">
        <v>13</v>
      </c>
    </row>
    <row r="126" customFormat="false" ht="15" hidden="false" customHeight="false" outlineLevel="0" collapsed="false">
      <c r="A126" s="0" t="n">
        <v>6554598</v>
      </c>
      <c r="B126" s="0" t="s">
        <v>9</v>
      </c>
      <c r="C126" s="0" t="s">
        <v>549</v>
      </c>
      <c r="D126" s="2" t="n">
        <v>46022</v>
      </c>
      <c r="E126" s="2" t="n">
        <v>46022</v>
      </c>
      <c r="F126" s="3" t="s">
        <v>236</v>
      </c>
      <c r="G126" s="3" t="s">
        <v>169</v>
      </c>
      <c r="H126" s="0" t="n">
        <v>358788</v>
      </c>
      <c r="I126" s="3" t="s">
        <v>13</v>
      </c>
    </row>
    <row r="127" customFormat="false" ht="15" hidden="false" customHeight="false" outlineLevel="0" collapsed="false">
      <c r="A127" s="0" t="n">
        <v>6554599</v>
      </c>
      <c r="B127" s="0" t="s">
        <v>9</v>
      </c>
      <c r="C127" s="0" t="s">
        <v>549</v>
      </c>
      <c r="D127" s="2" t="n">
        <v>46022</v>
      </c>
      <c r="E127" s="2" t="n">
        <v>46022</v>
      </c>
      <c r="F127" s="3" t="s">
        <v>237</v>
      </c>
      <c r="G127" s="3" t="s">
        <v>171</v>
      </c>
      <c r="H127" s="0" t="n">
        <v>0</v>
      </c>
      <c r="I127" s="3" t="s">
        <v>13</v>
      </c>
    </row>
    <row r="128" customFormat="false" ht="15" hidden="false" customHeight="false" outlineLevel="0" collapsed="false">
      <c r="A128" s="0" t="n">
        <v>6554600</v>
      </c>
      <c r="B128" s="0" t="s">
        <v>9</v>
      </c>
      <c r="C128" s="0" t="s">
        <v>549</v>
      </c>
      <c r="D128" s="2" t="n">
        <v>46022</v>
      </c>
      <c r="E128" s="2" t="n">
        <v>46022</v>
      </c>
      <c r="F128" s="3" t="s">
        <v>238</v>
      </c>
      <c r="G128" s="3" t="s">
        <v>173</v>
      </c>
      <c r="H128" s="0" t="n">
        <v>0</v>
      </c>
      <c r="I128" s="3" t="s">
        <v>13</v>
      </c>
    </row>
    <row r="129" customFormat="false" ht="15" hidden="false" customHeight="false" outlineLevel="0" collapsed="false">
      <c r="A129" s="0" t="n">
        <v>6554601</v>
      </c>
      <c r="B129" s="0" t="s">
        <v>9</v>
      </c>
      <c r="C129" s="0" t="s">
        <v>549</v>
      </c>
      <c r="D129" s="2" t="n">
        <v>46022</v>
      </c>
      <c r="E129" s="2" t="n">
        <v>46022</v>
      </c>
      <c r="F129" s="3" t="s">
        <v>239</v>
      </c>
      <c r="G129" s="3" t="s">
        <v>175</v>
      </c>
      <c r="H129" s="0" t="n">
        <v>0</v>
      </c>
      <c r="I129" s="3" t="s">
        <v>13</v>
      </c>
    </row>
    <row r="130" customFormat="false" ht="15" hidden="false" customHeight="false" outlineLevel="0" collapsed="false">
      <c r="A130" s="0" t="n">
        <v>6554602</v>
      </c>
      <c r="B130" s="0" t="s">
        <v>9</v>
      </c>
      <c r="C130" s="0" t="s">
        <v>549</v>
      </c>
      <c r="D130" s="2" t="n">
        <v>46022</v>
      </c>
      <c r="E130" s="2" t="n">
        <v>46022</v>
      </c>
      <c r="F130" s="3" t="s">
        <v>240</v>
      </c>
      <c r="G130" s="3" t="s">
        <v>177</v>
      </c>
      <c r="H130" s="0" t="n">
        <v>1878421</v>
      </c>
      <c r="I130" s="3" t="s">
        <v>13</v>
      </c>
    </row>
    <row r="131" customFormat="false" ht="15" hidden="false" customHeight="false" outlineLevel="0" collapsed="false">
      <c r="A131" s="0" t="n">
        <v>6554603</v>
      </c>
      <c r="B131" s="0" t="s">
        <v>9</v>
      </c>
      <c r="C131" s="0" t="s">
        <v>549</v>
      </c>
      <c r="D131" s="2" t="n">
        <v>46022</v>
      </c>
      <c r="E131" s="2" t="n">
        <v>46022</v>
      </c>
      <c r="F131" s="3" t="s">
        <v>241</v>
      </c>
      <c r="G131" s="3" t="s">
        <v>179</v>
      </c>
      <c r="H131" s="0" t="n">
        <v>0</v>
      </c>
      <c r="I131" s="3" t="s">
        <v>13</v>
      </c>
    </row>
    <row r="132" customFormat="false" ht="15" hidden="false" customHeight="false" outlineLevel="0" collapsed="false">
      <c r="A132" s="0" t="n">
        <v>6554604</v>
      </c>
      <c r="B132" s="0" t="s">
        <v>9</v>
      </c>
      <c r="C132" s="0" t="s">
        <v>549</v>
      </c>
      <c r="D132" s="2" t="n">
        <v>46022</v>
      </c>
      <c r="E132" s="2" t="n">
        <v>46022</v>
      </c>
      <c r="F132" s="3" t="s">
        <v>242</v>
      </c>
      <c r="G132" s="3" t="s">
        <v>181</v>
      </c>
      <c r="H132" s="0" t="n">
        <v>0</v>
      </c>
      <c r="I132" s="3" t="s">
        <v>13</v>
      </c>
    </row>
    <row r="133" customFormat="false" ht="15" hidden="false" customHeight="false" outlineLevel="0" collapsed="false">
      <c r="A133" s="0" t="n">
        <v>6554605</v>
      </c>
      <c r="B133" s="0" t="s">
        <v>9</v>
      </c>
      <c r="C133" s="0" t="s">
        <v>549</v>
      </c>
      <c r="D133" s="2" t="n">
        <v>46022</v>
      </c>
      <c r="E133" s="2" t="n">
        <v>46022</v>
      </c>
      <c r="F133" s="3" t="s">
        <v>243</v>
      </c>
      <c r="G133" s="3" t="s">
        <v>183</v>
      </c>
      <c r="H133" s="0" t="n">
        <v>0</v>
      </c>
      <c r="I133" s="3" t="s">
        <v>13</v>
      </c>
    </row>
    <row r="134" customFormat="false" ht="15" hidden="false" customHeight="false" outlineLevel="0" collapsed="false">
      <c r="A134" s="0" t="n">
        <v>6554606</v>
      </c>
      <c r="B134" s="0" t="s">
        <v>9</v>
      </c>
      <c r="C134" s="0" t="s">
        <v>549</v>
      </c>
      <c r="D134" s="2" t="n">
        <v>46022</v>
      </c>
      <c r="E134" s="2" t="n">
        <v>46022</v>
      </c>
      <c r="F134" s="3" t="s">
        <v>244</v>
      </c>
      <c r="G134" s="3" t="s">
        <v>185</v>
      </c>
      <c r="H134" s="0" t="n">
        <v>0</v>
      </c>
      <c r="I134" s="3" t="s">
        <v>13</v>
      </c>
    </row>
    <row r="135" customFormat="false" ht="15" hidden="false" customHeight="false" outlineLevel="0" collapsed="false">
      <c r="A135" s="0" t="n">
        <v>6554607</v>
      </c>
      <c r="B135" s="0" t="s">
        <v>9</v>
      </c>
      <c r="C135" s="0" t="s">
        <v>549</v>
      </c>
      <c r="D135" s="2" t="n">
        <v>46022</v>
      </c>
      <c r="E135" s="2" t="n">
        <v>46022</v>
      </c>
      <c r="F135" s="3" t="s">
        <v>245</v>
      </c>
      <c r="G135" s="3" t="s">
        <v>53</v>
      </c>
      <c r="H135" s="0" t="n">
        <v>1878421</v>
      </c>
      <c r="I135" s="3" t="s">
        <v>13</v>
      </c>
    </row>
    <row r="136" customFormat="false" ht="15" hidden="false" customHeight="false" outlineLevel="0" collapsed="false">
      <c r="A136" s="0" t="n">
        <v>6554608</v>
      </c>
      <c r="B136" s="0" t="s">
        <v>9</v>
      </c>
      <c r="C136" s="0" t="s">
        <v>549</v>
      </c>
      <c r="D136" s="2" t="n">
        <v>46022</v>
      </c>
      <c r="E136" s="2" t="n">
        <v>46022</v>
      </c>
      <c r="F136" s="3" t="s">
        <v>246</v>
      </c>
      <c r="G136" s="3" t="s">
        <v>192</v>
      </c>
      <c r="H136" s="0" t="n">
        <v>0</v>
      </c>
      <c r="I136" s="3" t="s">
        <v>13</v>
      </c>
    </row>
    <row r="137" customFormat="false" ht="15" hidden="false" customHeight="false" outlineLevel="0" collapsed="false">
      <c r="A137" s="0" t="n">
        <v>6554609</v>
      </c>
      <c r="B137" s="0" t="s">
        <v>9</v>
      </c>
      <c r="C137" s="0" t="s">
        <v>549</v>
      </c>
      <c r="D137" s="2" t="n">
        <v>46022</v>
      </c>
      <c r="E137" s="2" t="n">
        <v>46022</v>
      </c>
      <c r="F137" s="3" t="s">
        <v>247</v>
      </c>
      <c r="G137" s="3" t="s">
        <v>248</v>
      </c>
      <c r="H137" s="0" t="n">
        <v>0</v>
      </c>
      <c r="I137" s="3" t="s">
        <v>13</v>
      </c>
    </row>
    <row r="138" customFormat="false" ht="15" hidden="false" customHeight="false" outlineLevel="0" collapsed="false">
      <c r="A138" s="0" t="n">
        <v>6554610</v>
      </c>
      <c r="B138" s="0" t="s">
        <v>9</v>
      </c>
      <c r="C138" s="0" t="s">
        <v>549</v>
      </c>
      <c r="D138" s="2" t="n">
        <v>46022</v>
      </c>
      <c r="E138" s="2" t="n">
        <v>46022</v>
      </c>
      <c r="F138" s="3" t="s">
        <v>249</v>
      </c>
      <c r="G138" s="3" t="s">
        <v>250</v>
      </c>
      <c r="H138" s="0" t="n">
        <v>0</v>
      </c>
      <c r="I138" s="3" t="s">
        <v>13</v>
      </c>
    </row>
    <row r="139" customFormat="false" ht="15" hidden="false" customHeight="false" outlineLevel="0" collapsed="false">
      <c r="A139" s="0" t="n">
        <v>6554611</v>
      </c>
      <c r="B139" s="0" t="s">
        <v>9</v>
      </c>
      <c r="C139" s="0" t="s">
        <v>549</v>
      </c>
      <c r="D139" s="2" t="n">
        <v>46022</v>
      </c>
      <c r="E139" s="2" t="n">
        <v>46022</v>
      </c>
      <c r="F139" s="3" t="s">
        <v>251</v>
      </c>
      <c r="G139" s="3" t="s">
        <v>196</v>
      </c>
      <c r="H139" s="0" t="n">
        <v>41574</v>
      </c>
      <c r="I139" s="3" t="s">
        <v>13</v>
      </c>
    </row>
    <row r="140" customFormat="false" ht="15" hidden="false" customHeight="false" outlineLevel="0" collapsed="false">
      <c r="A140" s="0" t="n">
        <v>6554612</v>
      </c>
      <c r="B140" s="0" t="s">
        <v>9</v>
      </c>
      <c r="C140" s="0" t="s">
        <v>549</v>
      </c>
      <c r="D140" s="2" t="n">
        <v>46022</v>
      </c>
      <c r="E140" s="2" t="n">
        <v>46022</v>
      </c>
      <c r="F140" s="3" t="s">
        <v>252</v>
      </c>
      <c r="G140" s="3" t="s">
        <v>203</v>
      </c>
      <c r="H140" s="0" t="n">
        <v>1765254</v>
      </c>
      <c r="I140" s="3" t="s">
        <v>13</v>
      </c>
    </row>
    <row r="141" customFormat="false" ht="15" hidden="false" customHeight="false" outlineLevel="0" collapsed="false">
      <c r="A141" s="0" t="n">
        <v>6554613</v>
      </c>
      <c r="B141" s="0" t="s">
        <v>9</v>
      </c>
      <c r="C141" s="0" t="s">
        <v>549</v>
      </c>
      <c r="D141" s="2" t="n">
        <v>46022</v>
      </c>
      <c r="E141" s="2" t="n">
        <v>46022</v>
      </c>
      <c r="F141" s="3" t="s">
        <v>253</v>
      </c>
      <c r="G141" s="3" t="s">
        <v>147</v>
      </c>
      <c r="H141" s="0" t="n">
        <v>71593</v>
      </c>
      <c r="I141" s="3" t="s">
        <v>13</v>
      </c>
    </row>
    <row r="142" customFormat="false" ht="15" hidden="false" customHeight="false" outlineLevel="0" collapsed="false">
      <c r="A142" s="0" t="n">
        <v>6554614</v>
      </c>
      <c r="B142" s="0" t="s">
        <v>9</v>
      </c>
      <c r="C142" s="0" t="s">
        <v>549</v>
      </c>
      <c r="D142" s="2" t="n">
        <v>46022</v>
      </c>
      <c r="E142" s="2" t="n">
        <v>46022</v>
      </c>
      <c r="F142" s="3" t="s">
        <v>254</v>
      </c>
      <c r="G142" s="3" t="s">
        <v>76</v>
      </c>
      <c r="H142" s="0" t="n">
        <v>1562</v>
      </c>
      <c r="I142" s="3" t="s">
        <v>13</v>
      </c>
    </row>
    <row r="143" customFormat="false" ht="15" hidden="false" customHeight="false" outlineLevel="0" collapsed="false">
      <c r="A143" s="0" t="n">
        <v>6554615</v>
      </c>
      <c r="B143" s="0" t="s">
        <v>9</v>
      </c>
      <c r="C143" s="0" t="s">
        <v>549</v>
      </c>
      <c r="D143" s="2" t="n">
        <v>46022</v>
      </c>
      <c r="E143" s="2" t="n">
        <v>46022</v>
      </c>
      <c r="F143" s="3" t="s">
        <v>255</v>
      </c>
      <c r="G143" s="3" t="s">
        <v>78</v>
      </c>
      <c r="H143" s="0" t="n">
        <v>1562</v>
      </c>
      <c r="I143" s="3" t="s">
        <v>13</v>
      </c>
    </row>
    <row r="144" customFormat="false" ht="15" hidden="false" customHeight="false" outlineLevel="0" collapsed="false">
      <c r="A144" s="0" t="n">
        <v>6554616</v>
      </c>
      <c r="B144" s="0" t="s">
        <v>9</v>
      </c>
      <c r="C144" s="0" t="s">
        <v>549</v>
      </c>
      <c r="D144" s="2" t="n">
        <v>46022</v>
      </c>
      <c r="E144" s="2" t="n">
        <v>46022</v>
      </c>
      <c r="F144" s="3" t="s">
        <v>256</v>
      </c>
      <c r="G144" s="3" t="s">
        <v>205</v>
      </c>
      <c r="H144" s="0" t="n">
        <v>64241</v>
      </c>
      <c r="I144" s="3" t="s">
        <v>13</v>
      </c>
    </row>
    <row r="145" customFormat="false" ht="15" hidden="false" customHeight="false" outlineLevel="0" collapsed="false">
      <c r="A145" s="0" t="n">
        <v>6554617</v>
      </c>
      <c r="B145" s="0" t="s">
        <v>9</v>
      </c>
      <c r="C145" s="0" t="s">
        <v>549</v>
      </c>
      <c r="D145" s="2" t="n">
        <v>46022</v>
      </c>
      <c r="E145" s="2" t="n">
        <v>46022</v>
      </c>
      <c r="F145" s="3" t="s">
        <v>257</v>
      </c>
      <c r="G145" s="3" t="s">
        <v>207</v>
      </c>
      <c r="H145" s="0" t="n">
        <v>64241</v>
      </c>
      <c r="I145" s="3" t="s">
        <v>13</v>
      </c>
    </row>
    <row r="146" customFormat="false" ht="15" hidden="false" customHeight="false" outlineLevel="0" collapsed="false">
      <c r="A146" s="0" t="n">
        <v>6554618</v>
      </c>
      <c r="B146" s="0" t="s">
        <v>9</v>
      </c>
      <c r="C146" s="0" t="s">
        <v>549</v>
      </c>
      <c r="D146" s="2" t="n">
        <v>46022</v>
      </c>
      <c r="E146" s="2" t="n">
        <v>46022</v>
      </c>
      <c r="F146" s="3" t="s">
        <v>258</v>
      </c>
      <c r="G146" s="3" t="s">
        <v>209</v>
      </c>
      <c r="H146" s="0" t="n">
        <v>37035</v>
      </c>
      <c r="I146" s="3" t="s">
        <v>13</v>
      </c>
    </row>
    <row r="147" customFormat="false" ht="15" hidden="false" customHeight="false" outlineLevel="0" collapsed="false">
      <c r="A147" s="0" t="n">
        <v>6554619</v>
      </c>
      <c r="B147" s="0" t="s">
        <v>9</v>
      </c>
      <c r="C147" s="0" t="s">
        <v>549</v>
      </c>
      <c r="D147" s="2" t="n">
        <v>46022</v>
      </c>
      <c r="E147" s="2" t="n">
        <v>46022</v>
      </c>
      <c r="F147" s="3" t="s">
        <v>259</v>
      </c>
      <c r="G147" s="3" t="s">
        <v>211</v>
      </c>
      <c r="H147" s="0" t="n">
        <v>0</v>
      </c>
      <c r="I147" s="3" t="s">
        <v>13</v>
      </c>
    </row>
    <row r="148" customFormat="false" ht="15" hidden="false" customHeight="false" outlineLevel="0" collapsed="false">
      <c r="A148" s="0" t="n">
        <v>6554620</v>
      </c>
      <c r="B148" s="0" t="s">
        <v>9</v>
      </c>
      <c r="C148" s="0" t="s">
        <v>549</v>
      </c>
      <c r="D148" s="2" t="n">
        <v>46022</v>
      </c>
      <c r="E148" s="2" t="n">
        <v>46022</v>
      </c>
      <c r="F148" s="3" t="s">
        <v>260</v>
      </c>
      <c r="G148" s="3" t="s">
        <v>213</v>
      </c>
      <c r="H148" s="0" t="n">
        <v>0</v>
      </c>
      <c r="I148" s="3" t="s">
        <v>13</v>
      </c>
    </row>
    <row r="149" customFormat="false" ht="15" hidden="false" customHeight="false" outlineLevel="0" collapsed="false">
      <c r="A149" s="0" t="n">
        <v>6554621</v>
      </c>
      <c r="B149" s="0" t="s">
        <v>9</v>
      </c>
      <c r="C149" s="0" t="s">
        <v>549</v>
      </c>
      <c r="D149" s="2" t="n">
        <v>46022</v>
      </c>
      <c r="E149" s="2" t="n">
        <v>46022</v>
      </c>
      <c r="F149" s="3" t="s">
        <v>261</v>
      </c>
      <c r="G149" s="3" t="s">
        <v>215</v>
      </c>
      <c r="H149" s="0" t="n">
        <v>1659</v>
      </c>
      <c r="I149" s="3" t="s">
        <v>13</v>
      </c>
    </row>
    <row r="150" customFormat="false" ht="15" hidden="false" customHeight="false" outlineLevel="0" collapsed="false">
      <c r="A150" s="0" t="n">
        <v>6554622</v>
      </c>
      <c r="B150" s="0" t="s">
        <v>9</v>
      </c>
      <c r="C150" s="0" t="s">
        <v>549</v>
      </c>
      <c r="D150" s="2" t="n">
        <v>46022</v>
      </c>
      <c r="E150" s="2" t="n">
        <v>46022</v>
      </c>
      <c r="F150" s="3" t="s">
        <v>262</v>
      </c>
      <c r="G150" s="3" t="s">
        <v>217</v>
      </c>
      <c r="H150" s="0" t="n">
        <v>25547</v>
      </c>
      <c r="I150" s="3" t="s">
        <v>13</v>
      </c>
    </row>
    <row r="151" customFormat="false" ht="15" hidden="false" customHeight="false" outlineLevel="0" collapsed="false">
      <c r="A151" s="0" t="n">
        <v>6554623</v>
      </c>
      <c r="B151" s="0" t="s">
        <v>9</v>
      </c>
      <c r="C151" s="0" t="s">
        <v>549</v>
      </c>
      <c r="D151" s="2" t="n">
        <v>46022</v>
      </c>
      <c r="E151" s="2" t="n">
        <v>46022</v>
      </c>
      <c r="F151" s="3" t="s">
        <v>263</v>
      </c>
      <c r="G151" s="3" t="s">
        <v>219</v>
      </c>
      <c r="H151" s="0" t="n">
        <v>0</v>
      </c>
      <c r="I151" s="3" t="s">
        <v>13</v>
      </c>
    </row>
    <row r="152" customFormat="false" ht="15" hidden="false" customHeight="false" outlineLevel="0" collapsed="false">
      <c r="A152" s="0" t="n">
        <v>6554624</v>
      </c>
      <c r="B152" s="0" t="s">
        <v>9</v>
      </c>
      <c r="C152" s="0" t="s">
        <v>549</v>
      </c>
      <c r="D152" s="2" t="n">
        <v>46022</v>
      </c>
      <c r="E152" s="2" t="n">
        <v>46022</v>
      </c>
      <c r="F152" s="3" t="s">
        <v>264</v>
      </c>
      <c r="G152" s="3" t="s">
        <v>221</v>
      </c>
      <c r="H152" s="0" t="n">
        <v>0</v>
      </c>
      <c r="I152" s="3" t="s">
        <v>13</v>
      </c>
    </row>
    <row r="153" customFormat="false" ht="15" hidden="false" customHeight="false" outlineLevel="0" collapsed="false">
      <c r="A153" s="0" t="n">
        <v>6554625</v>
      </c>
      <c r="B153" s="0" t="s">
        <v>9</v>
      </c>
      <c r="C153" s="0" t="s">
        <v>549</v>
      </c>
      <c r="D153" s="2" t="n">
        <v>46022</v>
      </c>
      <c r="E153" s="2" t="n">
        <v>46022</v>
      </c>
      <c r="F153" s="3" t="s">
        <v>265</v>
      </c>
      <c r="G153" s="3" t="s">
        <v>223</v>
      </c>
      <c r="H153" s="0" t="n">
        <v>0</v>
      </c>
      <c r="I153" s="3" t="s">
        <v>13</v>
      </c>
    </row>
    <row r="154" customFormat="false" ht="15" hidden="false" customHeight="false" outlineLevel="0" collapsed="false">
      <c r="A154" s="0" t="n">
        <v>6554626</v>
      </c>
      <c r="B154" s="0" t="s">
        <v>9</v>
      </c>
      <c r="C154" s="0" t="s">
        <v>549</v>
      </c>
      <c r="D154" s="2" t="n">
        <v>46022</v>
      </c>
      <c r="E154" s="2" t="n">
        <v>46022</v>
      </c>
      <c r="F154" s="3" t="s">
        <v>266</v>
      </c>
      <c r="G154" s="3" t="s">
        <v>225</v>
      </c>
      <c r="H154" s="0" t="n">
        <v>0</v>
      </c>
      <c r="I154" s="3" t="s">
        <v>13</v>
      </c>
    </row>
    <row r="155" customFormat="false" ht="15" hidden="false" customHeight="false" outlineLevel="0" collapsed="false">
      <c r="A155" s="0" t="n">
        <v>6554627</v>
      </c>
      <c r="B155" s="0" t="s">
        <v>9</v>
      </c>
      <c r="C155" s="0" t="s">
        <v>549</v>
      </c>
      <c r="D155" s="2" t="n">
        <v>46022</v>
      </c>
      <c r="E155" s="2" t="n">
        <v>46022</v>
      </c>
      <c r="F155" s="3" t="s">
        <v>267</v>
      </c>
      <c r="G155" s="3" t="s">
        <v>227</v>
      </c>
      <c r="H155" s="0" t="n">
        <v>0</v>
      </c>
      <c r="I155" s="3" t="s">
        <v>13</v>
      </c>
    </row>
    <row r="156" customFormat="false" ht="15" hidden="false" customHeight="false" outlineLevel="0" collapsed="false">
      <c r="A156" s="0" t="n">
        <v>6554628</v>
      </c>
      <c r="B156" s="0" t="s">
        <v>9</v>
      </c>
      <c r="C156" s="0" t="s">
        <v>549</v>
      </c>
      <c r="D156" s="2" t="n">
        <v>46022</v>
      </c>
      <c r="E156" s="2" t="n">
        <v>46022</v>
      </c>
      <c r="F156" s="3" t="s">
        <v>268</v>
      </c>
      <c r="G156" s="3" t="s">
        <v>229</v>
      </c>
      <c r="H156" s="0" t="n">
        <v>0</v>
      </c>
      <c r="I156" s="3" t="s">
        <v>13</v>
      </c>
    </row>
    <row r="157" customFormat="false" ht="15" hidden="false" customHeight="false" outlineLevel="0" collapsed="false">
      <c r="A157" s="0" t="n">
        <v>6554629</v>
      </c>
      <c r="B157" s="0" t="s">
        <v>9</v>
      </c>
      <c r="C157" s="0" t="s">
        <v>549</v>
      </c>
      <c r="D157" s="2" t="n">
        <v>46022</v>
      </c>
      <c r="E157" s="2" t="n">
        <v>46022</v>
      </c>
      <c r="F157" s="3" t="s">
        <v>269</v>
      </c>
      <c r="G157" s="3" t="s">
        <v>231</v>
      </c>
      <c r="H157" s="0" t="n">
        <v>0</v>
      </c>
      <c r="I157" s="3" t="s">
        <v>13</v>
      </c>
    </row>
    <row r="158" customFormat="false" ht="15" hidden="false" customHeight="false" outlineLevel="0" collapsed="false">
      <c r="A158" s="0" t="n">
        <v>6554630</v>
      </c>
      <c r="B158" s="0" t="s">
        <v>9</v>
      </c>
      <c r="C158" s="0" t="s">
        <v>549</v>
      </c>
      <c r="D158" s="2" t="n">
        <v>46022</v>
      </c>
      <c r="E158" s="2" t="n">
        <v>46022</v>
      </c>
      <c r="F158" s="3" t="s">
        <v>270</v>
      </c>
      <c r="G158" s="3" t="s">
        <v>271</v>
      </c>
      <c r="H158" s="0" t="n">
        <v>0</v>
      </c>
      <c r="I158" s="3" t="s">
        <v>13</v>
      </c>
    </row>
    <row r="159" customFormat="false" ht="15" hidden="false" customHeight="false" outlineLevel="0" collapsed="false">
      <c r="A159" s="0" t="n">
        <v>6554631</v>
      </c>
      <c r="B159" s="0" t="s">
        <v>9</v>
      </c>
      <c r="C159" s="0" t="s">
        <v>549</v>
      </c>
      <c r="D159" s="2" t="n">
        <v>46022</v>
      </c>
      <c r="E159" s="2" t="n">
        <v>46022</v>
      </c>
      <c r="F159" s="3" t="s">
        <v>272</v>
      </c>
      <c r="G159" s="3" t="s">
        <v>273</v>
      </c>
      <c r="H159" s="0" t="n">
        <v>0</v>
      </c>
      <c r="I159" s="3" t="s">
        <v>13</v>
      </c>
    </row>
    <row r="160" customFormat="false" ht="15" hidden="false" customHeight="false" outlineLevel="0" collapsed="false">
      <c r="A160" s="0" t="n">
        <v>6554632</v>
      </c>
      <c r="B160" s="0" t="s">
        <v>9</v>
      </c>
      <c r="C160" s="0" t="s">
        <v>549</v>
      </c>
      <c r="D160" s="2" t="n">
        <v>46022</v>
      </c>
      <c r="E160" s="2" t="n">
        <v>46022</v>
      </c>
      <c r="F160" s="3" t="s">
        <v>274</v>
      </c>
      <c r="G160" s="3" t="s">
        <v>275</v>
      </c>
      <c r="H160" s="0" t="n">
        <v>0</v>
      </c>
      <c r="I160" s="3" t="s">
        <v>13</v>
      </c>
    </row>
    <row r="161" customFormat="false" ht="15" hidden="false" customHeight="false" outlineLevel="0" collapsed="false">
      <c r="A161" s="0" t="n">
        <v>6554633</v>
      </c>
      <c r="B161" s="0" t="s">
        <v>9</v>
      </c>
      <c r="C161" s="0" t="s">
        <v>549</v>
      </c>
      <c r="D161" s="2" t="n">
        <v>46022</v>
      </c>
      <c r="E161" s="2" t="n">
        <v>46022</v>
      </c>
      <c r="F161" s="3" t="s">
        <v>276</v>
      </c>
      <c r="G161" s="3" t="s">
        <v>277</v>
      </c>
      <c r="H161" s="0" t="n">
        <v>0</v>
      </c>
      <c r="I161" s="3" t="s">
        <v>13</v>
      </c>
    </row>
    <row r="162" customFormat="false" ht="15" hidden="false" customHeight="false" outlineLevel="0" collapsed="false">
      <c r="A162" s="0" t="n">
        <v>6554634</v>
      </c>
      <c r="B162" s="0" t="s">
        <v>9</v>
      </c>
      <c r="C162" s="0" t="s">
        <v>549</v>
      </c>
      <c r="D162" s="2" t="n">
        <v>46022</v>
      </c>
      <c r="E162" s="2" t="n">
        <v>46022</v>
      </c>
      <c r="F162" s="3" t="s">
        <v>278</v>
      </c>
      <c r="G162" s="3" t="s">
        <v>279</v>
      </c>
      <c r="H162" s="0" t="n">
        <v>10456281</v>
      </c>
      <c r="I162" s="3" t="s">
        <v>13</v>
      </c>
    </row>
    <row r="163" customFormat="false" ht="15" hidden="false" customHeight="false" outlineLevel="0" collapsed="false">
      <c r="A163" s="0" t="n">
        <v>6554635</v>
      </c>
      <c r="B163" s="0" t="s">
        <v>9</v>
      </c>
      <c r="C163" s="0" t="s">
        <v>549</v>
      </c>
      <c r="D163" s="2" t="n">
        <v>46022</v>
      </c>
      <c r="E163" s="2" t="n">
        <v>46022</v>
      </c>
      <c r="F163" s="3" t="s">
        <v>280</v>
      </c>
      <c r="G163" s="3" t="s">
        <v>281</v>
      </c>
      <c r="H163" s="0" t="n">
        <v>9544827</v>
      </c>
      <c r="I163" s="3" t="s">
        <v>13</v>
      </c>
    </row>
    <row r="164" customFormat="false" ht="15" hidden="false" customHeight="false" outlineLevel="0" collapsed="false">
      <c r="A164" s="0" t="n">
        <v>6554636</v>
      </c>
      <c r="B164" s="0" t="s">
        <v>9</v>
      </c>
      <c r="C164" s="0" t="s">
        <v>549</v>
      </c>
      <c r="D164" s="2" t="n">
        <v>46022</v>
      </c>
      <c r="E164" s="2" t="n">
        <v>46022</v>
      </c>
      <c r="F164" s="3" t="s">
        <v>282</v>
      </c>
      <c r="G164" s="3" t="s">
        <v>283</v>
      </c>
      <c r="H164" s="0" t="n">
        <v>-334173</v>
      </c>
      <c r="I164" s="3" t="s">
        <v>13</v>
      </c>
    </row>
    <row r="165" customFormat="false" ht="15" hidden="false" customHeight="false" outlineLevel="0" collapsed="false">
      <c r="A165" s="0" t="n">
        <v>6554637</v>
      </c>
      <c r="B165" s="0" t="s">
        <v>9</v>
      </c>
      <c r="C165" s="0" t="s">
        <v>549</v>
      </c>
      <c r="D165" s="2" t="n">
        <v>46022</v>
      </c>
      <c r="E165" s="2" t="n">
        <v>46022</v>
      </c>
      <c r="F165" s="3" t="s">
        <v>284</v>
      </c>
      <c r="G165" s="3" t="s">
        <v>285</v>
      </c>
      <c r="H165" s="0" t="n">
        <v>0</v>
      </c>
      <c r="I165" s="3" t="s">
        <v>13</v>
      </c>
    </row>
    <row r="166" customFormat="false" ht="15" hidden="false" customHeight="false" outlineLevel="0" collapsed="false">
      <c r="A166" s="0" t="n">
        <v>6554638</v>
      </c>
      <c r="B166" s="0" t="s">
        <v>9</v>
      </c>
      <c r="C166" s="0" t="s">
        <v>549</v>
      </c>
      <c r="D166" s="2" t="n">
        <v>46022</v>
      </c>
      <c r="E166" s="2" t="n">
        <v>46022</v>
      </c>
      <c r="F166" s="3" t="s">
        <v>286</v>
      </c>
      <c r="G166" s="3" t="s">
        <v>287</v>
      </c>
      <c r="H166" s="0" t="n">
        <v>0</v>
      </c>
      <c r="I166" s="3" t="s">
        <v>13</v>
      </c>
    </row>
    <row r="167" customFormat="false" ht="15" hidden="false" customHeight="false" outlineLevel="0" collapsed="false">
      <c r="A167" s="0" t="n">
        <v>6554639</v>
      </c>
      <c r="B167" s="0" t="s">
        <v>9</v>
      </c>
      <c r="C167" s="0" t="s">
        <v>549</v>
      </c>
      <c r="D167" s="2" t="n">
        <v>46022</v>
      </c>
      <c r="E167" s="2" t="n">
        <v>46022</v>
      </c>
      <c r="F167" s="3" t="s">
        <v>288</v>
      </c>
      <c r="G167" s="3" t="s">
        <v>289</v>
      </c>
      <c r="H167" s="0" t="n">
        <v>0</v>
      </c>
      <c r="I167" s="3" t="s">
        <v>13</v>
      </c>
    </row>
    <row r="168" customFormat="false" ht="15" hidden="false" customHeight="false" outlineLevel="0" collapsed="false">
      <c r="A168" s="0" t="n">
        <v>6554640</v>
      </c>
      <c r="B168" s="0" t="s">
        <v>9</v>
      </c>
      <c r="C168" s="0" t="s">
        <v>549</v>
      </c>
      <c r="D168" s="2" t="n">
        <v>46022</v>
      </c>
      <c r="E168" s="2" t="n">
        <v>46022</v>
      </c>
      <c r="F168" s="3" t="s">
        <v>290</v>
      </c>
      <c r="G168" s="3" t="s">
        <v>291</v>
      </c>
      <c r="H168" s="0" t="n">
        <v>10215</v>
      </c>
      <c r="I168" s="3" t="s">
        <v>13</v>
      </c>
    </row>
    <row r="169" customFormat="false" ht="15" hidden="false" customHeight="false" outlineLevel="0" collapsed="false">
      <c r="A169" s="0" t="n">
        <v>6554641</v>
      </c>
      <c r="B169" s="0" t="s">
        <v>9</v>
      </c>
      <c r="C169" s="0" t="s">
        <v>549</v>
      </c>
      <c r="D169" s="2" t="n">
        <v>46022</v>
      </c>
      <c r="E169" s="2" t="n">
        <v>46022</v>
      </c>
      <c r="F169" s="3" t="s">
        <v>292</v>
      </c>
      <c r="G169" s="3" t="s">
        <v>293</v>
      </c>
      <c r="H169" s="0" t="n">
        <v>-344388</v>
      </c>
      <c r="I169" s="3" t="s">
        <v>13</v>
      </c>
    </row>
    <row r="170" customFormat="false" ht="15" hidden="false" customHeight="false" outlineLevel="0" collapsed="false">
      <c r="A170" s="0" t="n">
        <v>6554642</v>
      </c>
      <c r="B170" s="0" t="s">
        <v>9</v>
      </c>
      <c r="C170" s="0" t="s">
        <v>549</v>
      </c>
      <c r="D170" s="2" t="n">
        <v>46022</v>
      </c>
      <c r="E170" s="2" t="n">
        <v>46022</v>
      </c>
      <c r="F170" s="3" t="s">
        <v>294</v>
      </c>
      <c r="G170" s="3" t="s">
        <v>248</v>
      </c>
      <c r="H170" s="0" t="n">
        <v>0</v>
      </c>
      <c r="I170" s="3" t="s">
        <v>13</v>
      </c>
    </row>
    <row r="171" customFormat="false" ht="15" hidden="false" customHeight="false" outlineLevel="0" collapsed="false">
      <c r="A171" s="0" t="n">
        <v>6554643</v>
      </c>
      <c r="B171" s="0" t="s">
        <v>9</v>
      </c>
      <c r="C171" s="0" t="s">
        <v>549</v>
      </c>
      <c r="D171" s="2" t="n">
        <v>46022</v>
      </c>
      <c r="E171" s="2" t="n">
        <v>46022</v>
      </c>
      <c r="F171" s="3" t="s">
        <v>295</v>
      </c>
      <c r="G171" s="3" t="s">
        <v>296</v>
      </c>
      <c r="H171" s="0" t="n">
        <v>0</v>
      </c>
      <c r="I171" s="3" t="s">
        <v>13</v>
      </c>
    </row>
    <row r="172" customFormat="false" ht="15" hidden="false" customHeight="false" outlineLevel="0" collapsed="false">
      <c r="A172" s="0" t="n">
        <v>6554644</v>
      </c>
      <c r="B172" s="0" t="s">
        <v>9</v>
      </c>
      <c r="C172" s="0" t="s">
        <v>549</v>
      </c>
      <c r="D172" s="2" t="n">
        <v>46022</v>
      </c>
      <c r="E172" s="2" t="n">
        <v>46022</v>
      </c>
      <c r="F172" s="3" t="s">
        <v>297</v>
      </c>
      <c r="G172" s="3" t="s">
        <v>298</v>
      </c>
      <c r="H172" s="0" t="n">
        <v>1148816</v>
      </c>
      <c r="I172" s="3" t="s">
        <v>13</v>
      </c>
    </row>
    <row r="173" customFormat="false" ht="15" hidden="false" customHeight="false" outlineLevel="0" collapsed="false">
      <c r="A173" s="0" t="n">
        <v>6554645</v>
      </c>
      <c r="B173" s="0" t="s">
        <v>9</v>
      </c>
      <c r="C173" s="0" t="s">
        <v>549</v>
      </c>
      <c r="D173" s="2" t="n">
        <v>46022</v>
      </c>
      <c r="E173" s="2" t="n">
        <v>46022</v>
      </c>
      <c r="F173" s="3" t="s">
        <v>299</v>
      </c>
      <c r="G173" s="3" t="s">
        <v>300</v>
      </c>
      <c r="H173" s="0" t="n">
        <v>132711</v>
      </c>
      <c r="I173" s="3" t="s">
        <v>13</v>
      </c>
    </row>
    <row r="174" customFormat="false" ht="15" hidden="false" customHeight="false" outlineLevel="0" collapsed="false">
      <c r="A174" s="0" t="n">
        <v>6554646</v>
      </c>
      <c r="B174" s="0" t="s">
        <v>9</v>
      </c>
      <c r="C174" s="0" t="s">
        <v>549</v>
      </c>
      <c r="D174" s="2" t="n">
        <v>46022</v>
      </c>
      <c r="E174" s="2" t="n">
        <v>46022</v>
      </c>
      <c r="F174" s="3" t="s">
        <v>301</v>
      </c>
      <c r="G174" s="3" t="s">
        <v>302</v>
      </c>
      <c r="H174" s="0" t="n">
        <v>0</v>
      </c>
      <c r="I174" s="3" t="s">
        <v>13</v>
      </c>
    </row>
    <row r="175" customFormat="false" ht="15" hidden="false" customHeight="false" outlineLevel="0" collapsed="false">
      <c r="A175" s="0" t="n">
        <v>6554647</v>
      </c>
      <c r="B175" s="0" t="s">
        <v>9</v>
      </c>
      <c r="C175" s="0" t="s">
        <v>549</v>
      </c>
      <c r="D175" s="2" t="n">
        <v>46022</v>
      </c>
      <c r="E175" s="2" t="n">
        <v>46022</v>
      </c>
      <c r="F175" s="3" t="s">
        <v>303</v>
      </c>
      <c r="G175" s="3" t="s">
        <v>304</v>
      </c>
      <c r="H175" s="0" t="n">
        <v>0</v>
      </c>
      <c r="I175" s="3" t="s">
        <v>13</v>
      </c>
    </row>
    <row r="176" customFormat="false" ht="15" hidden="false" customHeight="false" outlineLevel="0" collapsed="false">
      <c r="A176" s="0" t="n">
        <v>6554648</v>
      </c>
      <c r="B176" s="0" t="s">
        <v>9</v>
      </c>
      <c r="C176" s="0" t="s">
        <v>549</v>
      </c>
      <c r="D176" s="2" t="n">
        <v>46022</v>
      </c>
      <c r="E176" s="2" t="n">
        <v>46022</v>
      </c>
      <c r="F176" s="3" t="s">
        <v>305</v>
      </c>
      <c r="G176" s="3" t="s">
        <v>306</v>
      </c>
      <c r="H176" s="0" t="n">
        <v>0</v>
      </c>
      <c r="I176" s="3" t="s">
        <v>13</v>
      </c>
    </row>
    <row r="177" customFormat="false" ht="15" hidden="false" customHeight="false" outlineLevel="0" collapsed="false">
      <c r="A177" s="0" t="n">
        <v>6554649</v>
      </c>
      <c r="B177" s="0" t="s">
        <v>9</v>
      </c>
      <c r="C177" s="0" t="s">
        <v>549</v>
      </c>
      <c r="D177" s="2" t="n">
        <v>46022</v>
      </c>
      <c r="E177" s="2" t="n">
        <v>46022</v>
      </c>
      <c r="F177" s="3" t="s">
        <v>307</v>
      </c>
      <c r="G177" s="3" t="s">
        <v>308</v>
      </c>
      <c r="H177" s="0" t="n">
        <v>0</v>
      </c>
      <c r="I177" s="3" t="s">
        <v>13</v>
      </c>
    </row>
    <row r="178" customFormat="false" ht="15" hidden="false" customHeight="false" outlineLevel="0" collapsed="false">
      <c r="A178" s="0" t="n">
        <v>6554650</v>
      </c>
      <c r="B178" s="0" t="s">
        <v>9</v>
      </c>
      <c r="C178" s="0" t="s">
        <v>549</v>
      </c>
      <c r="D178" s="2" t="n">
        <v>46022</v>
      </c>
      <c r="E178" s="2" t="n">
        <v>46022</v>
      </c>
      <c r="F178" s="3" t="s">
        <v>309</v>
      </c>
      <c r="G178" s="3" t="s">
        <v>310</v>
      </c>
      <c r="H178" s="0" t="n">
        <v>0</v>
      </c>
      <c r="I178" s="3" t="s">
        <v>13</v>
      </c>
    </row>
    <row r="179" customFormat="false" ht="15" hidden="false" customHeight="false" outlineLevel="0" collapsed="false">
      <c r="A179" s="0" t="n">
        <v>6554651</v>
      </c>
      <c r="B179" s="0" t="s">
        <v>9</v>
      </c>
      <c r="C179" s="0" t="s">
        <v>549</v>
      </c>
      <c r="D179" s="2" t="n">
        <v>46022</v>
      </c>
      <c r="E179" s="2" t="n">
        <v>46022</v>
      </c>
      <c r="F179" s="3" t="s">
        <v>311</v>
      </c>
      <c r="G179" s="3" t="s">
        <v>312</v>
      </c>
      <c r="H179" s="0" t="n">
        <v>415067</v>
      </c>
      <c r="I179" s="3" t="s">
        <v>13</v>
      </c>
    </row>
    <row r="180" customFormat="false" ht="15" hidden="false" customHeight="false" outlineLevel="0" collapsed="false">
      <c r="A180" s="0" t="n">
        <v>6554652</v>
      </c>
      <c r="B180" s="0" t="s">
        <v>9</v>
      </c>
      <c r="C180" s="0" t="s">
        <v>549</v>
      </c>
      <c r="D180" s="2" t="n">
        <v>46022</v>
      </c>
      <c r="E180" s="2" t="n">
        <v>46022</v>
      </c>
      <c r="F180" s="3" t="s">
        <v>313</v>
      </c>
      <c r="G180" s="3" t="s">
        <v>314</v>
      </c>
      <c r="H180" s="0" t="n">
        <v>0</v>
      </c>
      <c r="I180" s="3" t="s">
        <v>13</v>
      </c>
    </row>
    <row r="181" customFormat="false" ht="15" hidden="false" customHeight="false" outlineLevel="0" collapsed="false">
      <c r="A181" s="0" t="n">
        <v>6554653</v>
      </c>
      <c r="B181" s="0" t="s">
        <v>9</v>
      </c>
      <c r="C181" s="0" t="s">
        <v>549</v>
      </c>
      <c r="D181" s="2" t="n">
        <v>46022</v>
      </c>
      <c r="E181" s="2" t="n">
        <v>46022</v>
      </c>
      <c r="F181" s="3" t="s">
        <v>315</v>
      </c>
      <c r="G181" s="3" t="s">
        <v>293</v>
      </c>
      <c r="H181" s="0" t="n">
        <v>0</v>
      </c>
      <c r="I181" s="3" t="s">
        <v>13</v>
      </c>
    </row>
    <row r="182" customFormat="false" ht="15" hidden="false" customHeight="false" outlineLevel="0" collapsed="false">
      <c r="A182" s="0" t="n">
        <v>6554654</v>
      </c>
      <c r="B182" s="0" t="s">
        <v>9</v>
      </c>
      <c r="C182" s="0" t="s">
        <v>549</v>
      </c>
      <c r="D182" s="2" t="n">
        <v>46022</v>
      </c>
      <c r="E182" s="2" t="n">
        <v>46022</v>
      </c>
      <c r="F182" s="3" t="s">
        <v>316</v>
      </c>
      <c r="G182" s="3" t="s">
        <v>317</v>
      </c>
      <c r="H182" s="0" t="n">
        <v>601038</v>
      </c>
      <c r="I182" s="3" t="s">
        <v>13</v>
      </c>
    </row>
    <row r="183" customFormat="false" ht="15" hidden="false" customHeight="false" outlineLevel="0" collapsed="false">
      <c r="A183" s="0" t="n">
        <v>6554655</v>
      </c>
      <c r="B183" s="0" t="s">
        <v>9</v>
      </c>
      <c r="C183" s="0" t="s">
        <v>549</v>
      </c>
      <c r="D183" s="2" t="n">
        <v>46022</v>
      </c>
      <c r="E183" s="2" t="n">
        <v>46022</v>
      </c>
      <c r="F183" s="3" t="s">
        <v>318</v>
      </c>
      <c r="G183" s="3" t="s">
        <v>319</v>
      </c>
      <c r="H183" s="0" t="n">
        <v>0</v>
      </c>
      <c r="I183" s="3" t="s">
        <v>13</v>
      </c>
    </row>
    <row r="184" customFormat="false" ht="15" hidden="false" customHeight="false" outlineLevel="0" collapsed="false">
      <c r="A184" s="0" t="n">
        <v>6554656</v>
      </c>
      <c r="B184" s="0" t="s">
        <v>9</v>
      </c>
      <c r="C184" s="0" t="s">
        <v>549</v>
      </c>
      <c r="D184" s="2" t="n">
        <v>46022</v>
      </c>
      <c r="E184" s="2" t="n">
        <v>46022</v>
      </c>
      <c r="F184" s="3" t="s">
        <v>320</v>
      </c>
      <c r="G184" s="3" t="s">
        <v>321</v>
      </c>
      <c r="H184" s="0" t="n">
        <v>0</v>
      </c>
      <c r="I184" s="3" t="s">
        <v>13</v>
      </c>
    </row>
    <row r="185" customFormat="false" ht="15" hidden="false" customHeight="false" outlineLevel="0" collapsed="false">
      <c r="A185" s="0" t="n">
        <v>6554657</v>
      </c>
      <c r="B185" s="0" t="s">
        <v>9</v>
      </c>
      <c r="C185" s="0" t="s">
        <v>549</v>
      </c>
      <c r="D185" s="2" t="n">
        <v>46022</v>
      </c>
      <c r="E185" s="2" t="n">
        <v>46022</v>
      </c>
      <c r="F185" s="3" t="s">
        <v>322</v>
      </c>
      <c r="G185" s="3" t="s">
        <v>323</v>
      </c>
      <c r="H185" s="0" t="n">
        <v>0</v>
      </c>
      <c r="I185" s="3" t="s">
        <v>13</v>
      </c>
    </row>
    <row r="186" customFormat="false" ht="15" hidden="false" customHeight="false" outlineLevel="0" collapsed="false">
      <c r="A186" s="0" t="n">
        <v>6554658</v>
      </c>
      <c r="B186" s="0" t="s">
        <v>9</v>
      </c>
      <c r="C186" s="0" t="s">
        <v>549</v>
      </c>
      <c r="D186" s="2" t="n">
        <v>46022</v>
      </c>
      <c r="E186" s="2" t="n">
        <v>46022</v>
      </c>
      <c r="F186" s="3" t="s">
        <v>324</v>
      </c>
      <c r="G186" s="3" t="s">
        <v>325</v>
      </c>
      <c r="H186" s="0" t="n">
        <v>96811</v>
      </c>
      <c r="I186" s="3" t="s">
        <v>13</v>
      </c>
    </row>
    <row r="187" customFormat="false" ht="15" hidden="false" customHeight="false" outlineLevel="0" collapsed="false">
      <c r="A187" s="0" t="n">
        <v>6554659</v>
      </c>
      <c r="B187" s="0" t="s">
        <v>9</v>
      </c>
      <c r="C187" s="0" t="s">
        <v>549</v>
      </c>
      <c r="D187" s="2" t="n">
        <v>46022</v>
      </c>
      <c r="E187" s="2" t="n">
        <v>46022</v>
      </c>
      <c r="F187" s="3" t="s">
        <v>326</v>
      </c>
      <c r="G187" s="3" t="s">
        <v>327</v>
      </c>
      <c r="H187" s="0" t="n">
        <v>0</v>
      </c>
      <c r="I187" s="3" t="s">
        <v>13</v>
      </c>
    </row>
    <row r="188" customFormat="false" ht="15" hidden="false" customHeight="false" outlineLevel="0" collapsed="false">
      <c r="A188" s="0" t="n">
        <v>6554660</v>
      </c>
      <c r="B188" s="0" t="s">
        <v>9</v>
      </c>
      <c r="C188" s="0" t="s">
        <v>549</v>
      </c>
      <c r="D188" s="2" t="n">
        <v>45658</v>
      </c>
      <c r="E188" s="2" t="n">
        <v>46022</v>
      </c>
      <c r="F188" s="3" t="s">
        <v>328</v>
      </c>
      <c r="G188" s="3" t="s">
        <v>329</v>
      </c>
      <c r="H188" s="0" t="n">
        <v>15829460</v>
      </c>
      <c r="I188" s="3" t="s">
        <v>13</v>
      </c>
    </row>
    <row r="189" customFormat="false" ht="15" hidden="false" customHeight="false" outlineLevel="0" collapsed="false">
      <c r="A189" s="0" t="n">
        <v>6554661</v>
      </c>
      <c r="B189" s="0" t="s">
        <v>9</v>
      </c>
      <c r="C189" s="0" t="s">
        <v>549</v>
      </c>
      <c r="D189" s="2" t="n">
        <v>45658</v>
      </c>
      <c r="E189" s="2" t="n">
        <v>46022</v>
      </c>
      <c r="F189" s="3" t="s">
        <v>330</v>
      </c>
      <c r="G189" s="3" t="s">
        <v>331</v>
      </c>
      <c r="H189" s="0" t="n">
        <v>13809964</v>
      </c>
      <c r="I189" s="3" t="s">
        <v>13</v>
      </c>
    </row>
    <row r="190" customFormat="false" ht="15" hidden="false" customHeight="false" outlineLevel="0" collapsed="false">
      <c r="A190" s="0" t="n">
        <v>6554662</v>
      </c>
      <c r="B190" s="0" t="s">
        <v>9</v>
      </c>
      <c r="C190" s="0" t="s">
        <v>549</v>
      </c>
      <c r="D190" s="2" t="n">
        <v>45658</v>
      </c>
      <c r="E190" s="2" t="n">
        <v>46022</v>
      </c>
      <c r="F190" s="3" t="s">
        <v>332</v>
      </c>
      <c r="G190" s="3" t="s">
        <v>333</v>
      </c>
      <c r="H190" s="0" t="n">
        <v>2019496</v>
      </c>
      <c r="I190" s="3" t="s">
        <v>13</v>
      </c>
    </row>
    <row r="191" customFormat="false" ht="15" hidden="false" customHeight="false" outlineLevel="0" collapsed="false">
      <c r="A191" s="0" t="n">
        <v>6554663</v>
      </c>
      <c r="B191" s="0" t="s">
        <v>9</v>
      </c>
      <c r="C191" s="0" t="s">
        <v>549</v>
      </c>
      <c r="D191" s="2" t="n">
        <v>45658</v>
      </c>
      <c r="E191" s="2" t="n">
        <v>46022</v>
      </c>
      <c r="F191" s="3" t="s">
        <v>334</v>
      </c>
      <c r="G191" s="3" t="s">
        <v>335</v>
      </c>
      <c r="H191" s="0" t="n">
        <v>-6061578</v>
      </c>
      <c r="I191" s="3" t="s">
        <v>13</v>
      </c>
    </row>
    <row r="192" customFormat="false" ht="15" hidden="false" customHeight="false" outlineLevel="0" collapsed="false">
      <c r="A192" s="0" t="n">
        <v>6554664</v>
      </c>
      <c r="B192" s="0" t="s">
        <v>9</v>
      </c>
      <c r="C192" s="0" t="s">
        <v>549</v>
      </c>
      <c r="D192" s="2" t="n">
        <v>45658</v>
      </c>
      <c r="E192" s="2" t="n">
        <v>46022</v>
      </c>
      <c r="F192" s="3" t="s">
        <v>336</v>
      </c>
      <c r="G192" s="3" t="s">
        <v>337</v>
      </c>
      <c r="H192" s="0" t="n">
        <v>-6062719</v>
      </c>
      <c r="I192" s="3" t="s">
        <v>13</v>
      </c>
    </row>
    <row r="193" customFormat="false" ht="15" hidden="false" customHeight="false" outlineLevel="0" collapsed="false">
      <c r="A193" s="0" t="n">
        <v>6554665</v>
      </c>
      <c r="B193" s="0" t="s">
        <v>9</v>
      </c>
      <c r="C193" s="0" t="s">
        <v>549</v>
      </c>
      <c r="D193" s="2" t="n">
        <v>45658</v>
      </c>
      <c r="E193" s="2" t="n">
        <v>46022</v>
      </c>
      <c r="F193" s="3" t="s">
        <v>338</v>
      </c>
      <c r="G193" s="3" t="s">
        <v>339</v>
      </c>
      <c r="H193" s="0" t="n">
        <v>1141</v>
      </c>
      <c r="I193" s="3" t="s">
        <v>13</v>
      </c>
    </row>
    <row r="194" customFormat="false" ht="15" hidden="false" customHeight="false" outlineLevel="0" collapsed="false">
      <c r="A194" s="0" t="n">
        <v>6554666</v>
      </c>
      <c r="B194" s="0" t="s">
        <v>9</v>
      </c>
      <c r="C194" s="0" t="s">
        <v>549</v>
      </c>
      <c r="D194" s="2" t="n">
        <v>45658</v>
      </c>
      <c r="E194" s="2" t="n">
        <v>46022</v>
      </c>
      <c r="F194" s="3" t="s">
        <v>340</v>
      </c>
      <c r="G194" s="3" t="s">
        <v>341</v>
      </c>
      <c r="H194" s="0" t="n">
        <v>9767882</v>
      </c>
      <c r="I194" s="3" t="s">
        <v>13</v>
      </c>
    </row>
    <row r="195" customFormat="false" ht="15" hidden="false" customHeight="false" outlineLevel="0" collapsed="false">
      <c r="A195" s="0" t="n">
        <v>6554667</v>
      </c>
      <c r="B195" s="0" t="s">
        <v>9</v>
      </c>
      <c r="C195" s="0" t="s">
        <v>549</v>
      </c>
      <c r="D195" s="2" t="n">
        <v>45658</v>
      </c>
      <c r="E195" s="2" t="n">
        <v>46022</v>
      </c>
      <c r="F195" s="3" t="s">
        <v>342</v>
      </c>
      <c r="G195" s="3" t="s">
        <v>343</v>
      </c>
      <c r="H195" s="0" t="n">
        <v>-7970722</v>
      </c>
      <c r="I195" s="3" t="s">
        <v>13</v>
      </c>
    </row>
    <row r="196" customFormat="false" ht="15" hidden="false" customHeight="false" outlineLevel="0" collapsed="false">
      <c r="A196" s="0" t="n">
        <v>6554668</v>
      </c>
      <c r="B196" s="0" t="s">
        <v>9</v>
      </c>
      <c r="C196" s="0" t="s">
        <v>549</v>
      </c>
      <c r="D196" s="2" t="n">
        <v>45658</v>
      </c>
      <c r="E196" s="2" t="n">
        <v>46022</v>
      </c>
      <c r="F196" s="3" t="s">
        <v>344</v>
      </c>
      <c r="G196" s="3" t="s">
        <v>345</v>
      </c>
      <c r="H196" s="0" t="n">
        <v>-4132724</v>
      </c>
      <c r="I196" s="3" t="s">
        <v>13</v>
      </c>
    </row>
    <row r="197" customFormat="false" ht="15" hidden="false" customHeight="false" outlineLevel="0" collapsed="false">
      <c r="A197" s="0" t="n">
        <v>6554669</v>
      </c>
      <c r="B197" s="0" t="s">
        <v>9</v>
      </c>
      <c r="C197" s="0" t="s">
        <v>549</v>
      </c>
      <c r="D197" s="2" t="n">
        <v>45658</v>
      </c>
      <c r="E197" s="2" t="n">
        <v>46022</v>
      </c>
      <c r="F197" s="3" t="s">
        <v>346</v>
      </c>
      <c r="G197" s="3" t="s">
        <v>347</v>
      </c>
      <c r="H197" s="0" t="n">
        <v>-2010546</v>
      </c>
      <c r="I197" s="3" t="s">
        <v>13</v>
      </c>
    </row>
    <row r="198" customFormat="false" ht="15" hidden="false" customHeight="false" outlineLevel="0" collapsed="false">
      <c r="A198" s="0" t="n">
        <v>6554670</v>
      </c>
      <c r="B198" s="0" t="s">
        <v>9</v>
      </c>
      <c r="C198" s="0" t="s">
        <v>549</v>
      </c>
      <c r="D198" s="2" t="n">
        <v>45658</v>
      </c>
      <c r="E198" s="2" t="n">
        <v>46022</v>
      </c>
      <c r="F198" s="3" t="s">
        <v>348</v>
      </c>
      <c r="G198" s="3" t="s">
        <v>349</v>
      </c>
      <c r="H198" s="0" t="n">
        <v>-950543</v>
      </c>
      <c r="I198" s="3" t="s">
        <v>13</v>
      </c>
    </row>
    <row r="199" customFormat="false" ht="15" hidden="false" customHeight="false" outlineLevel="0" collapsed="false">
      <c r="A199" s="0" t="n">
        <v>6554671</v>
      </c>
      <c r="B199" s="0" t="s">
        <v>9</v>
      </c>
      <c r="C199" s="0" t="s">
        <v>549</v>
      </c>
      <c r="D199" s="2" t="n">
        <v>45658</v>
      </c>
      <c r="E199" s="2" t="n">
        <v>46022</v>
      </c>
      <c r="F199" s="3" t="s">
        <v>350</v>
      </c>
      <c r="G199" s="3" t="s">
        <v>351</v>
      </c>
      <c r="H199" s="0" t="n">
        <v>140175</v>
      </c>
      <c r="I199" s="3" t="s">
        <v>13</v>
      </c>
    </row>
    <row r="200" customFormat="false" ht="15" hidden="false" customHeight="false" outlineLevel="0" collapsed="false">
      <c r="A200" s="0" t="n">
        <v>6554672</v>
      </c>
      <c r="B200" s="0" t="s">
        <v>9</v>
      </c>
      <c r="C200" s="0" t="s">
        <v>549</v>
      </c>
      <c r="D200" s="2" t="n">
        <v>45658</v>
      </c>
      <c r="E200" s="2" t="n">
        <v>46022</v>
      </c>
      <c r="F200" s="3" t="s">
        <v>352</v>
      </c>
      <c r="G200" s="3" t="s">
        <v>353</v>
      </c>
      <c r="H200" s="0" t="n">
        <v>-1017084</v>
      </c>
      <c r="I200" s="3" t="s">
        <v>13</v>
      </c>
    </row>
    <row r="201" customFormat="false" ht="15" hidden="false" customHeight="false" outlineLevel="0" collapsed="false">
      <c r="A201" s="0" t="n">
        <v>6554673</v>
      </c>
      <c r="B201" s="0" t="s">
        <v>9</v>
      </c>
      <c r="C201" s="0" t="s">
        <v>549</v>
      </c>
      <c r="D201" s="2" t="n">
        <v>45658</v>
      </c>
      <c r="E201" s="2" t="n">
        <v>46022</v>
      </c>
      <c r="F201" s="3" t="s">
        <v>354</v>
      </c>
      <c r="G201" s="3" t="s">
        <v>355</v>
      </c>
      <c r="H201" s="0" t="n">
        <v>0</v>
      </c>
      <c r="I201" s="3" t="s">
        <v>13</v>
      </c>
    </row>
    <row r="202" customFormat="false" ht="15" hidden="false" customHeight="false" outlineLevel="0" collapsed="false">
      <c r="A202" s="0" t="n">
        <v>6554674</v>
      </c>
      <c r="B202" s="0" t="s">
        <v>9</v>
      </c>
      <c r="C202" s="0" t="s">
        <v>549</v>
      </c>
      <c r="D202" s="2" t="n">
        <v>45658</v>
      </c>
      <c r="E202" s="2" t="n">
        <v>46022</v>
      </c>
      <c r="F202" s="3" t="s">
        <v>356</v>
      </c>
      <c r="G202" s="3" t="s">
        <v>357</v>
      </c>
      <c r="H202" s="0" t="n">
        <v>1797160</v>
      </c>
      <c r="I202" s="3" t="s">
        <v>13</v>
      </c>
    </row>
    <row r="203" customFormat="false" ht="15" hidden="false" customHeight="false" outlineLevel="0" collapsed="false">
      <c r="A203" s="0" t="n">
        <v>6554675</v>
      </c>
      <c r="B203" s="0" t="s">
        <v>9</v>
      </c>
      <c r="C203" s="0" t="s">
        <v>549</v>
      </c>
      <c r="D203" s="2" t="n">
        <v>45658</v>
      </c>
      <c r="E203" s="2" t="n">
        <v>46022</v>
      </c>
      <c r="F203" s="3" t="s">
        <v>358</v>
      </c>
      <c r="G203" s="3" t="s">
        <v>359</v>
      </c>
      <c r="H203" s="0" t="n">
        <v>-82484</v>
      </c>
      <c r="I203" s="3" t="s">
        <v>13</v>
      </c>
    </row>
    <row r="204" customFormat="false" ht="15" hidden="false" customHeight="false" outlineLevel="0" collapsed="false">
      <c r="A204" s="0" t="n">
        <v>6554676</v>
      </c>
      <c r="B204" s="0" t="s">
        <v>9</v>
      </c>
      <c r="C204" s="0" t="s">
        <v>549</v>
      </c>
      <c r="D204" s="2" t="n">
        <v>45658</v>
      </c>
      <c r="E204" s="2" t="n">
        <v>46022</v>
      </c>
      <c r="F204" s="3" t="s">
        <v>360</v>
      </c>
      <c r="G204" s="3" t="s">
        <v>361</v>
      </c>
      <c r="H204" s="0" t="n">
        <v>374771</v>
      </c>
      <c r="I204" s="3" t="s">
        <v>13</v>
      </c>
    </row>
    <row r="205" customFormat="false" ht="15" hidden="false" customHeight="false" outlineLevel="0" collapsed="false">
      <c r="A205" s="0" t="n">
        <v>6554677</v>
      </c>
      <c r="B205" s="0" t="s">
        <v>9</v>
      </c>
      <c r="C205" s="0" t="s">
        <v>549</v>
      </c>
      <c r="D205" s="2" t="n">
        <v>45658</v>
      </c>
      <c r="E205" s="2" t="n">
        <v>46022</v>
      </c>
      <c r="F205" s="3" t="s">
        <v>362</v>
      </c>
      <c r="G205" s="3" t="s">
        <v>363</v>
      </c>
      <c r="H205" s="0" t="n">
        <v>-457255</v>
      </c>
      <c r="I205" s="3" t="s">
        <v>13</v>
      </c>
    </row>
    <row r="206" customFormat="false" ht="15" hidden="false" customHeight="false" outlineLevel="0" collapsed="false">
      <c r="A206" s="0" t="n">
        <v>6554678</v>
      </c>
      <c r="B206" s="0" t="s">
        <v>9</v>
      </c>
      <c r="C206" s="0" t="s">
        <v>549</v>
      </c>
      <c r="D206" s="2" t="n">
        <v>45658</v>
      </c>
      <c r="E206" s="2" t="n">
        <v>46022</v>
      </c>
      <c r="F206" s="3" t="s">
        <v>364</v>
      </c>
      <c r="G206" s="3" t="s">
        <v>365</v>
      </c>
      <c r="H206" s="0" t="n">
        <v>1714676</v>
      </c>
      <c r="I206" s="3" t="s">
        <v>13</v>
      </c>
    </row>
    <row r="207" customFormat="false" ht="15" hidden="false" customHeight="false" outlineLevel="0" collapsed="false">
      <c r="A207" s="0" t="n">
        <v>6554679</v>
      </c>
      <c r="B207" s="0" t="s">
        <v>9</v>
      </c>
      <c r="C207" s="0" t="s">
        <v>549</v>
      </c>
      <c r="D207" s="2" t="n">
        <v>45658</v>
      </c>
      <c r="E207" s="2" t="n">
        <v>46022</v>
      </c>
      <c r="F207" s="3" t="s">
        <v>366</v>
      </c>
      <c r="G207" s="3" t="s">
        <v>367</v>
      </c>
      <c r="H207" s="0" t="n">
        <v>-257110</v>
      </c>
      <c r="I207" s="3" t="s">
        <v>13</v>
      </c>
    </row>
    <row r="208" customFormat="false" ht="15" hidden="false" customHeight="false" outlineLevel="0" collapsed="false">
      <c r="A208" s="0" t="n">
        <v>6554680</v>
      </c>
      <c r="B208" s="0" t="s">
        <v>9</v>
      </c>
      <c r="C208" s="0" t="s">
        <v>549</v>
      </c>
      <c r="D208" s="2" t="n">
        <v>45658</v>
      </c>
      <c r="E208" s="2" t="n">
        <v>46022</v>
      </c>
      <c r="F208" s="3" t="s">
        <v>368</v>
      </c>
      <c r="G208" s="3" t="s">
        <v>369</v>
      </c>
      <c r="H208" s="0" t="n">
        <v>-201629</v>
      </c>
      <c r="I208" s="3" t="s">
        <v>13</v>
      </c>
    </row>
    <row r="209" customFormat="false" ht="15" hidden="false" customHeight="false" outlineLevel="0" collapsed="false">
      <c r="A209" s="0" t="n">
        <v>6554681</v>
      </c>
      <c r="B209" s="0" t="s">
        <v>9</v>
      </c>
      <c r="C209" s="0" t="s">
        <v>549</v>
      </c>
      <c r="D209" s="2" t="n">
        <v>45658</v>
      </c>
      <c r="E209" s="2" t="n">
        <v>46022</v>
      </c>
      <c r="F209" s="3" t="s">
        <v>370</v>
      </c>
      <c r="G209" s="3" t="s">
        <v>371</v>
      </c>
      <c r="H209" s="0" t="n">
        <v>-55481</v>
      </c>
      <c r="I209" s="3" t="s">
        <v>13</v>
      </c>
    </row>
    <row r="210" customFormat="false" ht="15" hidden="false" customHeight="false" outlineLevel="0" collapsed="false">
      <c r="A210" s="0" t="n">
        <v>6554682</v>
      </c>
      <c r="B210" s="0" t="s">
        <v>9</v>
      </c>
      <c r="C210" s="0" t="s">
        <v>549</v>
      </c>
      <c r="D210" s="2" t="n">
        <v>45658</v>
      </c>
      <c r="E210" s="2" t="n">
        <v>46022</v>
      </c>
      <c r="F210" s="3" t="s">
        <v>372</v>
      </c>
      <c r="G210" s="3" t="s">
        <v>373</v>
      </c>
      <c r="H210" s="0" t="n">
        <v>1457566</v>
      </c>
      <c r="I210" s="3" t="s">
        <v>13</v>
      </c>
    </row>
    <row r="211" customFormat="false" ht="15" hidden="false" customHeight="false" outlineLevel="0" collapsed="false">
      <c r="A211" s="0" t="n">
        <v>6554683</v>
      </c>
      <c r="B211" s="0" t="s">
        <v>9</v>
      </c>
      <c r="C211" s="0" t="s">
        <v>549</v>
      </c>
      <c r="D211" s="2" t="n">
        <v>45658</v>
      </c>
      <c r="E211" s="2" t="n">
        <v>46022</v>
      </c>
      <c r="F211" s="3" t="s">
        <v>374</v>
      </c>
      <c r="G211" s="3" t="s">
        <v>375</v>
      </c>
      <c r="H211" s="0" t="n">
        <v>0</v>
      </c>
      <c r="I211" s="3" t="s">
        <v>13</v>
      </c>
    </row>
    <row r="212" customFormat="false" ht="15" hidden="false" customHeight="false" outlineLevel="0" collapsed="false">
      <c r="A212" s="0" t="n">
        <v>6554684</v>
      </c>
      <c r="B212" s="0" t="s">
        <v>9</v>
      </c>
      <c r="C212" s="0" t="s">
        <v>549</v>
      </c>
      <c r="D212" s="2" t="n">
        <v>45658</v>
      </c>
      <c r="E212" s="2" t="n">
        <v>46022</v>
      </c>
      <c r="F212" s="3" t="s">
        <v>376</v>
      </c>
      <c r="G212" s="3" t="s">
        <v>377</v>
      </c>
      <c r="H212" s="0" t="n">
        <v>0</v>
      </c>
      <c r="I212" s="3" t="s">
        <v>13</v>
      </c>
    </row>
    <row r="213" customFormat="false" ht="15" hidden="false" customHeight="false" outlineLevel="0" collapsed="false">
      <c r="A213" s="0" t="n">
        <v>6554685</v>
      </c>
      <c r="B213" s="0" t="s">
        <v>9</v>
      </c>
      <c r="C213" s="0" t="s">
        <v>549</v>
      </c>
      <c r="D213" s="2" t="n">
        <v>45658</v>
      </c>
      <c r="E213" s="2" t="n">
        <v>46022</v>
      </c>
      <c r="F213" s="3" t="s">
        <v>378</v>
      </c>
      <c r="G213" s="3" t="s">
        <v>379</v>
      </c>
      <c r="H213" s="0" t="n">
        <v>0</v>
      </c>
      <c r="I213" s="3" t="s">
        <v>13</v>
      </c>
    </row>
    <row r="214" customFormat="false" ht="15" hidden="false" customHeight="false" outlineLevel="0" collapsed="false">
      <c r="A214" s="0" t="n">
        <v>6554686</v>
      </c>
      <c r="B214" s="0" t="s">
        <v>9</v>
      </c>
      <c r="C214" s="0" t="s">
        <v>549</v>
      </c>
      <c r="D214" s="2" t="n">
        <v>45658</v>
      </c>
      <c r="E214" s="2" t="n">
        <v>46022</v>
      </c>
      <c r="F214" s="3" t="s">
        <v>380</v>
      </c>
      <c r="G214" s="3" t="s">
        <v>381</v>
      </c>
      <c r="H214" s="0" t="n">
        <v>1457566</v>
      </c>
      <c r="I214" s="3" t="s">
        <v>13</v>
      </c>
    </row>
    <row r="215" customFormat="false" ht="15" hidden="false" customHeight="false" outlineLevel="0" collapsed="false">
      <c r="A215" s="0" t="n">
        <v>6554687</v>
      </c>
      <c r="B215" s="0" t="s">
        <v>9</v>
      </c>
      <c r="C215" s="0" t="s">
        <v>549</v>
      </c>
      <c r="D215" s="2" t="n">
        <v>45658</v>
      </c>
      <c r="E215" s="2" t="n">
        <v>46022</v>
      </c>
      <c r="F215" s="3" t="s">
        <v>382</v>
      </c>
      <c r="G215" s="3" t="s">
        <v>383</v>
      </c>
      <c r="H215" s="0" t="n">
        <v>1457566</v>
      </c>
      <c r="I215" s="3" t="s">
        <v>13</v>
      </c>
    </row>
    <row r="216" customFormat="false" ht="15" hidden="false" customHeight="false" outlineLevel="0" collapsed="false">
      <c r="A216" s="0" t="n">
        <v>6554688</v>
      </c>
      <c r="B216" s="0" t="s">
        <v>9</v>
      </c>
      <c r="C216" s="0" t="s">
        <v>549</v>
      </c>
      <c r="D216" s="2" t="n">
        <v>45658</v>
      </c>
      <c r="E216" s="2" t="n">
        <v>46022</v>
      </c>
      <c r="F216" s="3" t="s">
        <v>384</v>
      </c>
      <c r="G216" s="3" t="s">
        <v>385</v>
      </c>
      <c r="H216" s="0" t="n">
        <v>0</v>
      </c>
      <c r="I216" s="3" t="s">
        <v>13</v>
      </c>
    </row>
    <row r="217" customFormat="false" ht="15" hidden="false" customHeight="false" outlineLevel="0" collapsed="false">
      <c r="A217" s="0" t="n">
        <v>6554689</v>
      </c>
      <c r="B217" s="0" t="s">
        <v>9</v>
      </c>
      <c r="C217" s="0" t="s">
        <v>549</v>
      </c>
      <c r="D217" s="2" t="n">
        <v>45658</v>
      </c>
      <c r="E217" s="2" t="n">
        <v>46022</v>
      </c>
      <c r="F217" s="3" t="s">
        <v>386</v>
      </c>
      <c r="G217" s="3" t="s">
        <v>387</v>
      </c>
      <c r="H217" s="0" t="n">
        <v>0</v>
      </c>
      <c r="I217" s="3" t="s">
        <v>13</v>
      </c>
    </row>
    <row r="218" customFormat="false" ht="15" hidden="false" customHeight="false" outlineLevel="0" collapsed="false">
      <c r="A218" s="0" t="n">
        <v>6554690</v>
      </c>
      <c r="B218" s="0" t="s">
        <v>9</v>
      </c>
      <c r="C218" s="0" t="s">
        <v>549</v>
      </c>
      <c r="D218" s="2" t="n">
        <v>45658</v>
      </c>
      <c r="E218" s="2" t="n">
        <v>46022</v>
      </c>
      <c r="F218" s="3" t="s">
        <v>388</v>
      </c>
      <c r="G218" s="3" t="s">
        <v>389</v>
      </c>
      <c r="H218" s="0" t="n">
        <v>1</v>
      </c>
      <c r="I218" s="3" t="s">
        <v>13</v>
      </c>
    </row>
    <row r="219" customFormat="false" ht="15" hidden="false" customHeight="false" outlineLevel="0" collapsed="false">
      <c r="A219" s="0" t="n">
        <v>6554691</v>
      </c>
      <c r="B219" s="0" t="s">
        <v>9</v>
      </c>
      <c r="C219" s="0" t="s">
        <v>549</v>
      </c>
      <c r="D219" s="2" t="n">
        <v>45658</v>
      </c>
      <c r="E219" s="2" t="n">
        <v>46022</v>
      </c>
      <c r="F219" s="3" t="s">
        <v>390</v>
      </c>
      <c r="G219" s="3" t="s">
        <v>391</v>
      </c>
      <c r="H219" s="0" t="n">
        <v>1</v>
      </c>
      <c r="I219" s="3" t="s">
        <v>13</v>
      </c>
    </row>
    <row r="220" customFormat="false" ht="15" hidden="false" customHeight="false" outlineLevel="0" collapsed="false">
      <c r="A220" s="0" t="n">
        <v>6554692</v>
      </c>
      <c r="B220" s="0" t="s">
        <v>9</v>
      </c>
      <c r="C220" s="0" t="s">
        <v>549</v>
      </c>
      <c r="D220" s="2" t="n">
        <v>45658</v>
      </c>
      <c r="E220" s="2" t="n">
        <v>46022</v>
      </c>
      <c r="F220" s="3" t="s">
        <v>392</v>
      </c>
      <c r="G220" s="3" t="s">
        <v>393</v>
      </c>
      <c r="H220" s="0" t="n">
        <v>1</v>
      </c>
      <c r="I220" s="3" t="s">
        <v>13</v>
      </c>
    </row>
    <row r="221" customFormat="false" ht="15" hidden="false" customHeight="false" outlineLevel="0" collapsed="false">
      <c r="A221" s="0" t="n">
        <v>6554693</v>
      </c>
      <c r="B221" s="0" t="s">
        <v>9</v>
      </c>
      <c r="C221" s="0" t="s">
        <v>549</v>
      </c>
      <c r="D221" s="2" t="n">
        <v>45658</v>
      </c>
      <c r="E221" s="2" t="n">
        <v>46022</v>
      </c>
      <c r="F221" s="3" t="s">
        <v>394</v>
      </c>
      <c r="G221" s="3" t="s">
        <v>391</v>
      </c>
      <c r="H221" s="0" t="n">
        <v>1</v>
      </c>
      <c r="I221" s="3" t="s">
        <v>13</v>
      </c>
    </row>
    <row r="222" customFormat="false" ht="15" hidden="false" customHeight="false" outlineLevel="0" collapsed="false">
      <c r="A222" s="0" t="n">
        <v>6554694</v>
      </c>
      <c r="B222" s="0" t="s">
        <v>9</v>
      </c>
      <c r="C222" s="0" t="s">
        <v>549</v>
      </c>
      <c r="D222" s="2" t="n">
        <v>45658</v>
      </c>
      <c r="E222" s="2" t="n">
        <v>46022</v>
      </c>
      <c r="F222" s="3" t="s">
        <v>395</v>
      </c>
      <c r="G222" s="3" t="s">
        <v>396</v>
      </c>
      <c r="H222" s="0" t="n">
        <v>2801957</v>
      </c>
      <c r="I222" s="3" t="s">
        <v>13</v>
      </c>
    </row>
    <row r="223" customFormat="false" ht="15" hidden="false" customHeight="false" outlineLevel="0" collapsed="false">
      <c r="A223" s="0" t="n">
        <v>6554695</v>
      </c>
      <c r="B223" s="0" t="s">
        <v>9</v>
      </c>
      <c r="C223" s="0" t="s">
        <v>549</v>
      </c>
      <c r="D223" s="2" t="n">
        <v>45658</v>
      </c>
      <c r="E223" s="2" t="n">
        <v>46022</v>
      </c>
      <c r="F223" s="3" t="s">
        <v>397</v>
      </c>
      <c r="G223" s="3" t="s">
        <v>398</v>
      </c>
      <c r="H223" s="0" t="n">
        <v>4133163</v>
      </c>
      <c r="I223" s="3" t="s">
        <v>13</v>
      </c>
    </row>
    <row r="224" customFormat="false" ht="15" hidden="false" customHeight="false" outlineLevel="0" collapsed="false">
      <c r="A224" s="0" t="n">
        <v>6554696</v>
      </c>
      <c r="B224" s="0" t="s">
        <v>9</v>
      </c>
      <c r="C224" s="0" t="s">
        <v>549</v>
      </c>
      <c r="D224" s="2" t="n">
        <v>45658</v>
      </c>
      <c r="E224" s="2" t="n">
        <v>46022</v>
      </c>
      <c r="F224" s="3" t="s">
        <v>399</v>
      </c>
      <c r="G224" s="3" t="s">
        <v>400</v>
      </c>
      <c r="H224" s="0" t="n">
        <v>1457566</v>
      </c>
      <c r="I224" s="3" t="s">
        <v>13</v>
      </c>
    </row>
    <row r="225" customFormat="false" ht="15" hidden="false" customHeight="false" outlineLevel="0" collapsed="false">
      <c r="A225" s="0" t="n">
        <v>6554697</v>
      </c>
      <c r="B225" s="0" t="s">
        <v>9</v>
      </c>
      <c r="C225" s="0" t="s">
        <v>549</v>
      </c>
      <c r="D225" s="2" t="n">
        <v>45658</v>
      </c>
      <c r="E225" s="2" t="n">
        <v>46022</v>
      </c>
      <c r="F225" s="3" t="s">
        <v>401</v>
      </c>
      <c r="G225" s="3" t="s">
        <v>402</v>
      </c>
      <c r="H225" s="0" t="n">
        <v>1290958</v>
      </c>
      <c r="I225" s="3" t="s">
        <v>13</v>
      </c>
    </row>
    <row r="226" customFormat="false" ht="15" hidden="false" customHeight="false" outlineLevel="0" collapsed="false">
      <c r="A226" s="0" t="n">
        <v>6554698</v>
      </c>
      <c r="B226" s="0" t="s">
        <v>9</v>
      </c>
      <c r="C226" s="0" t="s">
        <v>549</v>
      </c>
      <c r="D226" s="2" t="n">
        <v>45658</v>
      </c>
      <c r="E226" s="2" t="n">
        <v>46022</v>
      </c>
      <c r="F226" s="3" t="s">
        <v>403</v>
      </c>
      <c r="G226" s="3" t="s">
        <v>553</v>
      </c>
      <c r="H226" s="0" t="n">
        <v>336597</v>
      </c>
      <c r="I226" s="3" t="s">
        <v>13</v>
      </c>
    </row>
    <row r="227" customFormat="false" ht="15" hidden="false" customHeight="false" outlineLevel="0" collapsed="false">
      <c r="A227" s="0" t="n">
        <v>6554699</v>
      </c>
      <c r="B227" s="0" t="s">
        <v>9</v>
      </c>
      <c r="C227" s="0" t="s">
        <v>549</v>
      </c>
      <c r="D227" s="2" t="n">
        <v>45658</v>
      </c>
      <c r="E227" s="2" t="n">
        <v>46022</v>
      </c>
      <c r="F227" s="3" t="s">
        <v>554</v>
      </c>
      <c r="G227" s="3" t="s">
        <v>555</v>
      </c>
      <c r="H227" s="0" t="n">
        <v>0</v>
      </c>
      <c r="I227" s="3" t="s">
        <v>13</v>
      </c>
    </row>
    <row r="228" customFormat="false" ht="15" hidden="false" customHeight="false" outlineLevel="0" collapsed="false">
      <c r="A228" s="0" t="n">
        <v>6554700</v>
      </c>
      <c r="B228" s="0" t="s">
        <v>9</v>
      </c>
      <c r="C228" s="0" t="s">
        <v>549</v>
      </c>
      <c r="D228" s="2" t="n">
        <v>45658</v>
      </c>
      <c r="E228" s="2" t="n">
        <v>46022</v>
      </c>
      <c r="F228" s="3" t="s">
        <v>407</v>
      </c>
      <c r="G228" s="3" t="s">
        <v>408</v>
      </c>
      <c r="H228" s="0" t="n">
        <v>257110</v>
      </c>
      <c r="I228" s="3" t="s">
        <v>13</v>
      </c>
    </row>
    <row r="229" customFormat="false" ht="15" hidden="false" customHeight="false" outlineLevel="0" collapsed="false">
      <c r="A229" s="0" t="n">
        <v>6554701</v>
      </c>
      <c r="B229" s="0" t="s">
        <v>9</v>
      </c>
      <c r="C229" s="0" t="s">
        <v>549</v>
      </c>
      <c r="D229" s="2" t="n">
        <v>45658</v>
      </c>
      <c r="E229" s="2" t="n">
        <v>46022</v>
      </c>
      <c r="F229" s="3" t="s">
        <v>409</v>
      </c>
      <c r="G229" s="3" t="s">
        <v>410</v>
      </c>
      <c r="H229" s="0" t="n">
        <v>613923</v>
      </c>
      <c r="I229" s="3" t="s">
        <v>13</v>
      </c>
    </row>
    <row r="230" customFormat="false" ht="15" hidden="false" customHeight="false" outlineLevel="0" collapsed="false">
      <c r="A230" s="0" t="n">
        <v>6554702</v>
      </c>
      <c r="B230" s="0" t="s">
        <v>9</v>
      </c>
      <c r="C230" s="0" t="s">
        <v>549</v>
      </c>
      <c r="D230" s="2" t="n">
        <v>45658</v>
      </c>
      <c r="E230" s="2" t="n">
        <v>46022</v>
      </c>
      <c r="F230" s="3" t="s">
        <v>411</v>
      </c>
      <c r="G230" s="3" t="s">
        <v>412</v>
      </c>
      <c r="H230" s="0" t="n">
        <v>177009</v>
      </c>
      <c r="I230" s="3" t="s">
        <v>13</v>
      </c>
    </row>
    <row r="231" customFormat="false" ht="15" hidden="false" customHeight="false" outlineLevel="0" collapsed="false">
      <c r="A231" s="0" t="n">
        <v>6554703</v>
      </c>
      <c r="B231" s="0" t="s">
        <v>9</v>
      </c>
      <c r="C231" s="0" t="s">
        <v>549</v>
      </c>
      <c r="D231" s="2" t="n">
        <v>45658</v>
      </c>
      <c r="E231" s="2" t="n">
        <v>46022</v>
      </c>
      <c r="F231" s="3" t="s">
        <v>413</v>
      </c>
      <c r="G231" s="3" t="s">
        <v>414</v>
      </c>
      <c r="H231" s="0" t="n">
        <v>0</v>
      </c>
      <c r="I231" s="3" t="s">
        <v>13</v>
      </c>
    </row>
    <row r="232" customFormat="false" ht="15" hidden="false" customHeight="false" outlineLevel="0" collapsed="false">
      <c r="A232" s="0" t="n">
        <v>6554704</v>
      </c>
      <c r="B232" s="0" t="s">
        <v>9</v>
      </c>
      <c r="C232" s="0" t="s">
        <v>549</v>
      </c>
      <c r="D232" s="2" t="n">
        <v>45658</v>
      </c>
      <c r="E232" s="2" t="n">
        <v>46022</v>
      </c>
      <c r="F232" s="3" t="s">
        <v>415</v>
      </c>
      <c r="G232" s="3" t="s">
        <v>416</v>
      </c>
      <c r="H232" s="0" t="n">
        <v>0</v>
      </c>
      <c r="I232" s="3" t="s">
        <v>13</v>
      </c>
    </row>
    <row r="233" customFormat="false" ht="15" hidden="false" customHeight="false" outlineLevel="0" collapsed="false">
      <c r="A233" s="0" t="n">
        <v>6554705</v>
      </c>
      <c r="B233" s="0" t="s">
        <v>9</v>
      </c>
      <c r="C233" s="0" t="s">
        <v>549</v>
      </c>
      <c r="D233" s="2" t="n">
        <v>45658</v>
      </c>
      <c r="E233" s="2" t="n">
        <v>46022</v>
      </c>
      <c r="F233" s="3" t="s">
        <v>417</v>
      </c>
      <c r="G233" s="3" t="s">
        <v>418</v>
      </c>
      <c r="H233" s="0" t="n">
        <v>-971106</v>
      </c>
      <c r="I233" s="3" t="s">
        <v>13</v>
      </c>
    </row>
    <row r="234" customFormat="false" ht="15" hidden="false" customHeight="false" outlineLevel="0" collapsed="false">
      <c r="A234" s="0" t="n">
        <v>6554706</v>
      </c>
      <c r="B234" s="0" t="s">
        <v>9</v>
      </c>
      <c r="C234" s="0" t="s">
        <v>549</v>
      </c>
      <c r="D234" s="2" t="n">
        <v>45658</v>
      </c>
      <c r="E234" s="2" t="n">
        <v>46022</v>
      </c>
      <c r="F234" s="3" t="s">
        <v>419</v>
      </c>
      <c r="G234" s="3" t="s">
        <v>420</v>
      </c>
      <c r="H234" s="0" t="n">
        <v>-828786</v>
      </c>
      <c r="I234" s="3" t="s">
        <v>13</v>
      </c>
    </row>
    <row r="235" customFormat="false" ht="15" hidden="false" customHeight="false" outlineLevel="0" collapsed="false">
      <c r="A235" s="0" t="n">
        <v>6554707</v>
      </c>
      <c r="B235" s="0" t="s">
        <v>9</v>
      </c>
      <c r="C235" s="0" t="s">
        <v>549</v>
      </c>
      <c r="D235" s="2" t="n">
        <v>45658</v>
      </c>
      <c r="E235" s="2" t="n">
        <v>46022</v>
      </c>
      <c r="F235" s="3" t="s">
        <v>421</v>
      </c>
      <c r="G235" s="3" t="s">
        <v>37</v>
      </c>
      <c r="H235" s="0" t="n">
        <v>59040</v>
      </c>
      <c r="I235" s="3" t="s">
        <v>13</v>
      </c>
    </row>
    <row r="236" customFormat="false" ht="15" hidden="false" customHeight="false" outlineLevel="0" collapsed="false">
      <c r="A236" s="0" t="n">
        <v>6554708</v>
      </c>
      <c r="B236" s="0" t="s">
        <v>9</v>
      </c>
      <c r="C236" s="0" t="s">
        <v>549</v>
      </c>
      <c r="D236" s="2" t="n">
        <v>45658</v>
      </c>
      <c r="E236" s="2" t="n">
        <v>46022</v>
      </c>
      <c r="F236" s="3" t="s">
        <v>422</v>
      </c>
      <c r="G236" s="3" t="s">
        <v>95</v>
      </c>
      <c r="H236" s="0" t="n">
        <v>-101685</v>
      </c>
      <c r="I236" s="3" t="s">
        <v>13</v>
      </c>
    </row>
    <row r="237" customFormat="false" ht="15" hidden="false" customHeight="false" outlineLevel="0" collapsed="false">
      <c r="A237" s="0" t="n">
        <v>6554709</v>
      </c>
      <c r="B237" s="0" t="s">
        <v>9</v>
      </c>
      <c r="C237" s="0" t="s">
        <v>549</v>
      </c>
      <c r="D237" s="2" t="n">
        <v>45658</v>
      </c>
      <c r="E237" s="2" t="n">
        <v>46022</v>
      </c>
      <c r="F237" s="3" t="s">
        <v>423</v>
      </c>
      <c r="G237" s="3" t="s">
        <v>59</v>
      </c>
      <c r="H237" s="0" t="n">
        <v>-103644</v>
      </c>
      <c r="I237" s="3" t="s">
        <v>13</v>
      </c>
    </row>
    <row r="238" customFormat="false" ht="15" hidden="false" customHeight="false" outlineLevel="0" collapsed="false">
      <c r="A238" s="0" t="n">
        <v>6554710</v>
      </c>
      <c r="B238" s="0" t="s">
        <v>9</v>
      </c>
      <c r="C238" s="0" t="s">
        <v>549</v>
      </c>
      <c r="D238" s="2" t="n">
        <v>45658</v>
      </c>
      <c r="E238" s="2" t="n">
        <v>46022</v>
      </c>
      <c r="F238" s="3" t="s">
        <v>424</v>
      </c>
      <c r="G238" s="3" t="s">
        <v>145</v>
      </c>
      <c r="H238" s="0" t="n">
        <v>-31855</v>
      </c>
      <c r="I238" s="3" t="s">
        <v>13</v>
      </c>
    </row>
    <row r="239" customFormat="false" ht="15" hidden="false" customHeight="false" outlineLevel="0" collapsed="false">
      <c r="A239" s="0" t="n">
        <v>6554711</v>
      </c>
      <c r="B239" s="0" t="s">
        <v>9</v>
      </c>
      <c r="C239" s="0" t="s">
        <v>549</v>
      </c>
      <c r="D239" s="2" t="n">
        <v>45658</v>
      </c>
      <c r="E239" s="2" t="n">
        <v>46022</v>
      </c>
      <c r="F239" s="3" t="s">
        <v>425</v>
      </c>
      <c r="G239" s="3" t="s">
        <v>426</v>
      </c>
      <c r="H239" s="0" t="n">
        <v>4639</v>
      </c>
      <c r="I239" s="3" t="s">
        <v>13</v>
      </c>
    </row>
    <row r="240" customFormat="false" ht="15" hidden="false" customHeight="false" outlineLevel="0" collapsed="false">
      <c r="A240" s="0" t="n">
        <v>6554712</v>
      </c>
      <c r="B240" s="0" t="s">
        <v>9</v>
      </c>
      <c r="C240" s="0" t="s">
        <v>549</v>
      </c>
      <c r="D240" s="2" t="n">
        <v>45658</v>
      </c>
      <c r="E240" s="2" t="n">
        <v>46022</v>
      </c>
      <c r="F240" s="3" t="s">
        <v>427</v>
      </c>
      <c r="G240" s="3" t="s">
        <v>428</v>
      </c>
      <c r="H240" s="0" t="n">
        <v>-7986</v>
      </c>
      <c r="I240" s="3" t="s">
        <v>13</v>
      </c>
    </row>
    <row r="241" customFormat="false" ht="15" hidden="false" customHeight="false" outlineLevel="0" collapsed="false">
      <c r="A241" s="0" t="n">
        <v>6554713</v>
      </c>
      <c r="B241" s="0" t="s">
        <v>9</v>
      </c>
      <c r="C241" s="0" t="s">
        <v>549</v>
      </c>
      <c r="D241" s="2" t="n">
        <v>45658</v>
      </c>
      <c r="E241" s="2" t="n">
        <v>46022</v>
      </c>
      <c r="F241" s="3" t="s">
        <v>429</v>
      </c>
      <c r="G241" s="3" t="s">
        <v>196</v>
      </c>
      <c r="H241" s="0" t="n">
        <v>-1985</v>
      </c>
      <c r="I241" s="3" t="s">
        <v>13</v>
      </c>
    </row>
    <row r="242" customFormat="false" ht="15" hidden="false" customHeight="false" outlineLevel="0" collapsed="false">
      <c r="A242" s="0" t="n">
        <v>6554714</v>
      </c>
      <c r="B242" s="0" t="s">
        <v>9</v>
      </c>
      <c r="C242" s="0" t="s">
        <v>549</v>
      </c>
      <c r="D242" s="2" t="n">
        <v>45658</v>
      </c>
      <c r="E242" s="2" t="n">
        <v>46022</v>
      </c>
      <c r="F242" s="3" t="s">
        <v>430</v>
      </c>
      <c r="G242" s="3" t="s">
        <v>431</v>
      </c>
      <c r="H242" s="0" t="n">
        <v>41156</v>
      </c>
      <c r="I242" s="3" t="s">
        <v>13</v>
      </c>
    </row>
    <row r="243" customFormat="false" ht="15" hidden="false" customHeight="false" outlineLevel="0" collapsed="false">
      <c r="A243" s="0" t="n">
        <v>6554715</v>
      </c>
      <c r="B243" s="0" t="s">
        <v>9</v>
      </c>
      <c r="C243" s="0" t="s">
        <v>549</v>
      </c>
      <c r="D243" s="2" t="n">
        <v>45658</v>
      </c>
      <c r="E243" s="2" t="n">
        <v>46022</v>
      </c>
      <c r="F243" s="3" t="s">
        <v>432</v>
      </c>
      <c r="G243" s="3" t="s">
        <v>53</v>
      </c>
      <c r="H243" s="0" t="n">
        <v>-360100</v>
      </c>
      <c r="I243" s="3" t="s">
        <v>13</v>
      </c>
    </row>
    <row r="244" customFormat="false" ht="15" hidden="false" customHeight="false" outlineLevel="0" collapsed="false">
      <c r="A244" s="0" t="n">
        <v>6554716</v>
      </c>
      <c r="B244" s="0" t="s">
        <v>9</v>
      </c>
      <c r="C244" s="0" t="s">
        <v>549</v>
      </c>
      <c r="D244" s="2" t="n">
        <v>45658</v>
      </c>
      <c r="E244" s="2" t="n">
        <v>46022</v>
      </c>
      <c r="F244" s="3" t="s">
        <v>433</v>
      </c>
      <c r="G244" s="3" t="s">
        <v>434</v>
      </c>
      <c r="H244" s="0" t="n">
        <v>-162571</v>
      </c>
      <c r="I244" s="3" t="s">
        <v>13</v>
      </c>
    </row>
    <row r="245" customFormat="false" ht="15" hidden="false" customHeight="false" outlineLevel="0" collapsed="false">
      <c r="A245" s="0" t="n">
        <v>6554717</v>
      </c>
      <c r="B245" s="0" t="s">
        <v>9</v>
      </c>
      <c r="C245" s="0" t="s">
        <v>549</v>
      </c>
      <c r="D245" s="2" t="n">
        <v>45658</v>
      </c>
      <c r="E245" s="2" t="n">
        <v>46022</v>
      </c>
      <c r="F245" s="3" t="s">
        <v>435</v>
      </c>
      <c r="G245" s="3" t="s">
        <v>436</v>
      </c>
      <c r="H245" s="0" t="n">
        <v>-117981</v>
      </c>
      <c r="I245" s="3" t="s">
        <v>13</v>
      </c>
    </row>
    <row r="246" customFormat="false" ht="15" hidden="false" customHeight="false" outlineLevel="0" collapsed="false">
      <c r="A246" s="0" t="n">
        <v>6554718</v>
      </c>
      <c r="B246" s="0" t="s">
        <v>9</v>
      </c>
      <c r="C246" s="0" t="s">
        <v>549</v>
      </c>
      <c r="D246" s="2" t="n">
        <v>45658</v>
      </c>
      <c r="E246" s="2" t="n">
        <v>46022</v>
      </c>
      <c r="F246" s="3" t="s">
        <v>439</v>
      </c>
      <c r="G246" s="3" t="s">
        <v>440</v>
      </c>
      <c r="H246" s="0" t="n">
        <v>-79548</v>
      </c>
      <c r="I246" s="3" t="s">
        <v>13</v>
      </c>
    </row>
    <row r="247" customFormat="false" ht="15" hidden="false" customHeight="false" outlineLevel="0" collapsed="false">
      <c r="A247" s="0" t="n">
        <v>6554719</v>
      </c>
      <c r="B247" s="0" t="s">
        <v>9</v>
      </c>
      <c r="C247" s="0" t="s">
        <v>549</v>
      </c>
      <c r="D247" s="2" t="n">
        <v>45658</v>
      </c>
      <c r="E247" s="2" t="n">
        <v>46022</v>
      </c>
      <c r="F247" s="3" t="s">
        <v>441</v>
      </c>
      <c r="G247" s="3" t="s">
        <v>442</v>
      </c>
      <c r="H247" s="0" t="n">
        <v>-799970</v>
      </c>
      <c r="I247" s="3" t="s">
        <v>13</v>
      </c>
    </row>
    <row r="248" customFormat="false" ht="15" hidden="false" customHeight="false" outlineLevel="0" collapsed="false">
      <c r="A248" s="0" t="n">
        <v>6554720</v>
      </c>
      <c r="B248" s="0" t="s">
        <v>9</v>
      </c>
      <c r="C248" s="0" t="s">
        <v>549</v>
      </c>
      <c r="D248" s="2" t="n">
        <v>45658</v>
      </c>
      <c r="E248" s="2" t="n">
        <v>46022</v>
      </c>
      <c r="F248" s="3" t="s">
        <v>443</v>
      </c>
      <c r="G248" s="3" t="s">
        <v>444</v>
      </c>
      <c r="H248" s="0" t="n">
        <v>-799970</v>
      </c>
      <c r="I248" s="3" t="s">
        <v>13</v>
      </c>
    </row>
    <row r="249" customFormat="false" ht="15" hidden="false" customHeight="false" outlineLevel="0" collapsed="false">
      <c r="A249" s="0" t="n">
        <v>6554721</v>
      </c>
      <c r="B249" s="0" t="s">
        <v>9</v>
      </c>
      <c r="C249" s="0" t="s">
        <v>549</v>
      </c>
      <c r="D249" s="2" t="n">
        <v>45658</v>
      </c>
      <c r="E249" s="2" t="n">
        <v>46022</v>
      </c>
      <c r="F249" s="3" t="s">
        <v>445</v>
      </c>
      <c r="G249" s="3" t="s">
        <v>446</v>
      </c>
      <c r="H249" s="0" t="n">
        <v>0</v>
      </c>
      <c r="I249" s="3" t="s">
        <v>13</v>
      </c>
    </row>
    <row r="250" customFormat="false" ht="15" hidden="false" customHeight="false" outlineLevel="0" collapsed="false">
      <c r="A250" s="0" t="n">
        <v>6554722</v>
      </c>
      <c r="B250" s="0" t="s">
        <v>9</v>
      </c>
      <c r="C250" s="0" t="s">
        <v>549</v>
      </c>
      <c r="D250" s="2" t="n">
        <v>45658</v>
      </c>
      <c r="E250" s="2" t="n">
        <v>46022</v>
      </c>
      <c r="F250" s="3" t="s">
        <v>447</v>
      </c>
      <c r="G250" s="3" t="s">
        <v>448</v>
      </c>
      <c r="H250" s="0" t="n">
        <v>0</v>
      </c>
      <c r="I250" s="3" t="s">
        <v>13</v>
      </c>
    </row>
    <row r="251" customFormat="false" ht="15" hidden="false" customHeight="false" outlineLevel="0" collapsed="false">
      <c r="A251" s="0" t="n">
        <v>6554723</v>
      </c>
      <c r="B251" s="0" t="s">
        <v>9</v>
      </c>
      <c r="C251" s="0" t="s">
        <v>549</v>
      </c>
      <c r="D251" s="2" t="n">
        <v>45658</v>
      </c>
      <c r="E251" s="2" t="n">
        <v>46022</v>
      </c>
      <c r="F251" s="3" t="s">
        <v>449</v>
      </c>
      <c r="G251" s="3" t="s">
        <v>450</v>
      </c>
      <c r="H251" s="0" t="n">
        <v>-2940168</v>
      </c>
      <c r="I251" s="3" t="s">
        <v>13</v>
      </c>
    </row>
    <row r="252" customFormat="false" ht="15" hidden="false" customHeight="false" outlineLevel="0" collapsed="false">
      <c r="A252" s="0" t="n">
        <v>6554724</v>
      </c>
      <c r="B252" s="0" t="s">
        <v>9</v>
      </c>
      <c r="C252" s="0" t="s">
        <v>549</v>
      </c>
      <c r="D252" s="2" t="n">
        <v>45658</v>
      </c>
      <c r="E252" s="2" t="n">
        <v>46022</v>
      </c>
      <c r="F252" s="3" t="s">
        <v>451</v>
      </c>
      <c r="G252" s="3" t="s">
        <v>452</v>
      </c>
      <c r="H252" s="0" t="n">
        <v>3936</v>
      </c>
      <c r="I252" s="3" t="s">
        <v>13</v>
      </c>
    </row>
    <row r="253" customFormat="false" ht="15" hidden="false" customHeight="false" outlineLevel="0" collapsed="false">
      <c r="A253" s="0" t="n">
        <v>6554725</v>
      </c>
      <c r="B253" s="0" t="s">
        <v>9</v>
      </c>
      <c r="C253" s="0" t="s">
        <v>549</v>
      </c>
      <c r="D253" s="2" t="n">
        <v>45658</v>
      </c>
      <c r="E253" s="2" t="n">
        <v>46022</v>
      </c>
      <c r="F253" s="3" t="s">
        <v>453</v>
      </c>
      <c r="G253" s="3" t="s">
        <v>454</v>
      </c>
      <c r="H253" s="0" t="n">
        <v>-942769</v>
      </c>
      <c r="I253" s="3" t="s">
        <v>13</v>
      </c>
    </row>
    <row r="254" customFormat="false" ht="15" hidden="false" customHeight="false" outlineLevel="0" collapsed="false">
      <c r="A254" s="0" t="n">
        <v>6554726</v>
      </c>
      <c r="B254" s="0" t="s">
        <v>9</v>
      </c>
      <c r="C254" s="0" t="s">
        <v>549</v>
      </c>
      <c r="D254" s="2" t="n">
        <v>45658</v>
      </c>
      <c r="E254" s="2" t="n">
        <v>46022</v>
      </c>
      <c r="F254" s="3" t="s">
        <v>455</v>
      </c>
      <c r="G254" s="3" t="s">
        <v>556</v>
      </c>
      <c r="H254" s="0" t="n">
        <v>-519683</v>
      </c>
      <c r="I254" s="3" t="s">
        <v>13</v>
      </c>
    </row>
    <row r="255" customFormat="false" ht="15" hidden="false" customHeight="false" outlineLevel="0" collapsed="false">
      <c r="A255" s="0" t="n">
        <v>6554727</v>
      </c>
      <c r="B255" s="0" t="s">
        <v>9</v>
      </c>
      <c r="C255" s="0" t="s">
        <v>549</v>
      </c>
      <c r="D255" s="2" t="n">
        <v>45658</v>
      </c>
      <c r="E255" s="2" t="n">
        <v>46022</v>
      </c>
      <c r="F255" s="3" t="s">
        <v>459</v>
      </c>
      <c r="G255" s="3" t="s">
        <v>460</v>
      </c>
      <c r="H255" s="0" t="n">
        <v>-795174</v>
      </c>
      <c r="I255" s="3" t="s">
        <v>13</v>
      </c>
    </row>
    <row r="256" customFormat="false" ht="15" hidden="false" customHeight="false" outlineLevel="0" collapsed="false">
      <c r="A256" s="0" t="n">
        <v>6554728</v>
      </c>
      <c r="B256" s="0" t="s">
        <v>9</v>
      </c>
      <c r="C256" s="0" t="s">
        <v>549</v>
      </c>
      <c r="D256" s="2" t="n">
        <v>45658</v>
      </c>
      <c r="E256" s="2" t="n">
        <v>46022</v>
      </c>
      <c r="F256" s="3" t="s">
        <v>461</v>
      </c>
      <c r="G256" s="3" t="s">
        <v>462</v>
      </c>
      <c r="H256" s="0" t="n">
        <v>-686478</v>
      </c>
      <c r="I256" s="3" t="s">
        <v>13</v>
      </c>
    </row>
    <row r="257" customFormat="false" ht="15" hidden="false" customHeight="false" outlineLevel="0" collapsed="false">
      <c r="A257" s="0" t="n">
        <v>6554729</v>
      </c>
      <c r="B257" s="0" t="s">
        <v>9</v>
      </c>
      <c r="C257" s="0" t="s">
        <v>549</v>
      </c>
      <c r="D257" s="2" t="n">
        <v>45658</v>
      </c>
      <c r="E257" s="2" t="n">
        <v>46022</v>
      </c>
      <c r="F257" s="3" t="s">
        <v>463</v>
      </c>
      <c r="G257" s="3" t="s">
        <v>464</v>
      </c>
      <c r="H257" s="0" t="n">
        <v>-9863</v>
      </c>
      <c r="I257" s="3" t="s">
        <v>13</v>
      </c>
    </row>
    <row r="258" customFormat="false" ht="15" hidden="false" customHeight="false" outlineLevel="0" collapsed="false">
      <c r="A258" s="0" t="n">
        <v>6554730</v>
      </c>
      <c r="B258" s="0" t="s">
        <v>9</v>
      </c>
      <c r="C258" s="0" t="s">
        <v>549</v>
      </c>
      <c r="D258" s="2" t="n">
        <v>45658</v>
      </c>
      <c r="E258" s="2" t="n">
        <v>46022</v>
      </c>
      <c r="F258" s="3" t="s">
        <v>465</v>
      </c>
      <c r="G258" s="3" t="s">
        <v>466</v>
      </c>
      <c r="H258" s="0" t="n">
        <v>-948044</v>
      </c>
      <c r="I258" s="3" t="s">
        <v>13</v>
      </c>
    </row>
    <row r="259" customFormat="false" ht="15" hidden="false" customHeight="false" outlineLevel="0" collapsed="false">
      <c r="A259" s="0" t="n">
        <v>6554731</v>
      </c>
      <c r="B259" s="0" t="s">
        <v>9</v>
      </c>
      <c r="C259" s="0" t="s">
        <v>549</v>
      </c>
      <c r="D259" s="2" t="n">
        <v>45658</v>
      </c>
      <c r="E259" s="2" t="n">
        <v>46022</v>
      </c>
      <c r="F259" s="3" t="s">
        <v>467</v>
      </c>
      <c r="G259" s="3" t="s">
        <v>468</v>
      </c>
      <c r="H259" s="0" t="n">
        <v>1926110</v>
      </c>
      <c r="I259" s="3" t="s">
        <v>13</v>
      </c>
    </row>
    <row r="260" customFormat="false" ht="15" hidden="false" customHeight="false" outlineLevel="0" collapsed="false">
      <c r="A260" s="0" t="n">
        <v>6554732</v>
      </c>
      <c r="B260" s="0" t="s">
        <v>9</v>
      </c>
      <c r="C260" s="0" t="s">
        <v>549</v>
      </c>
      <c r="D260" s="2" t="n">
        <v>45658</v>
      </c>
      <c r="E260" s="2" t="n">
        <v>46022</v>
      </c>
      <c r="F260" s="3" t="s">
        <v>469</v>
      </c>
      <c r="G260" s="3" t="s">
        <v>470</v>
      </c>
      <c r="H260" s="0" t="n">
        <v>978066</v>
      </c>
      <c r="I260" s="3" t="s">
        <v>13</v>
      </c>
    </row>
    <row r="261" customFormat="false" ht="15" hidden="false" customHeight="false" outlineLevel="0" collapsed="false">
      <c r="A261" s="0" t="n">
        <v>6554733</v>
      </c>
      <c r="B261" s="0" t="s">
        <v>9</v>
      </c>
      <c r="C261" s="0" t="s">
        <v>549</v>
      </c>
      <c r="D261" s="2" t="n">
        <v>45658</v>
      </c>
      <c r="E261" s="2" t="n">
        <v>46022</v>
      </c>
      <c r="F261" s="3" t="s">
        <v>471</v>
      </c>
      <c r="G261" s="3" t="s">
        <v>472</v>
      </c>
      <c r="H261" s="0" t="n">
        <v>19470796</v>
      </c>
      <c r="I261" s="3" t="s">
        <v>13</v>
      </c>
    </row>
    <row r="262" customFormat="false" ht="15" hidden="false" customHeight="false" outlineLevel="0" collapsed="false">
      <c r="A262" s="0" t="n">
        <v>6554734</v>
      </c>
      <c r="B262" s="0" t="s">
        <v>9</v>
      </c>
      <c r="C262" s="0" t="s">
        <v>549</v>
      </c>
      <c r="D262" s="2" t="n">
        <v>45658</v>
      </c>
      <c r="E262" s="2" t="n">
        <v>46022</v>
      </c>
      <c r="F262" s="3" t="s">
        <v>473</v>
      </c>
      <c r="G262" s="3" t="s">
        <v>474</v>
      </c>
      <c r="H262" s="0" t="n">
        <v>20243098</v>
      </c>
      <c r="I262" s="3" t="s">
        <v>13</v>
      </c>
    </row>
    <row r="263" customFormat="false" ht="15" hidden="false" customHeight="false" outlineLevel="0" collapsed="false">
      <c r="A263" s="0" t="n">
        <v>6554735</v>
      </c>
      <c r="B263" s="0" t="s">
        <v>9</v>
      </c>
      <c r="C263" s="0" t="s">
        <v>549</v>
      </c>
      <c r="D263" s="2" t="n">
        <v>45658</v>
      </c>
      <c r="E263" s="2" t="n">
        <v>46022</v>
      </c>
      <c r="F263" s="3" t="s">
        <v>475</v>
      </c>
      <c r="G263" s="3" t="s">
        <v>476</v>
      </c>
      <c r="H263" s="0" t="n">
        <v>178241</v>
      </c>
      <c r="I263" s="3" t="s">
        <v>13</v>
      </c>
    </row>
    <row r="264" customFormat="false" ht="15" hidden="false" customHeight="false" outlineLevel="0" collapsed="false">
      <c r="A264" s="0" t="n">
        <v>6554736</v>
      </c>
      <c r="B264" s="0" t="s">
        <v>9</v>
      </c>
      <c r="C264" s="0" t="s">
        <v>549</v>
      </c>
      <c r="D264" s="2" t="n">
        <v>45658</v>
      </c>
      <c r="E264" s="2" t="n">
        <v>46022</v>
      </c>
      <c r="F264" s="3" t="s">
        <v>477</v>
      </c>
      <c r="G264" s="3" t="s">
        <v>478</v>
      </c>
      <c r="H264" s="0" t="n">
        <v>0</v>
      </c>
      <c r="I264" s="3" t="s">
        <v>13</v>
      </c>
    </row>
    <row r="265" customFormat="false" ht="15" hidden="false" customHeight="false" outlineLevel="0" collapsed="false">
      <c r="A265" s="0" t="n">
        <v>6554737</v>
      </c>
      <c r="B265" s="0" t="s">
        <v>9</v>
      </c>
      <c r="C265" s="0" t="s">
        <v>549</v>
      </c>
      <c r="D265" s="2" t="n">
        <v>45658</v>
      </c>
      <c r="E265" s="2" t="n">
        <v>46022</v>
      </c>
      <c r="F265" s="3" t="s">
        <v>479</v>
      </c>
      <c r="G265" s="3" t="s">
        <v>480</v>
      </c>
      <c r="H265" s="0" t="n">
        <v>-950543</v>
      </c>
      <c r="I265" s="3" t="s">
        <v>13</v>
      </c>
    </row>
    <row r="266" customFormat="false" ht="15" hidden="false" customHeight="false" outlineLevel="0" collapsed="false">
      <c r="A266" s="0" t="n">
        <v>6554738</v>
      </c>
      <c r="B266" s="0" t="s">
        <v>9</v>
      </c>
      <c r="C266" s="0" t="s">
        <v>549</v>
      </c>
      <c r="D266" s="2" t="n">
        <v>45658</v>
      </c>
      <c r="E266" s="2" t="n">
        <v>46022</v>
      </c>
      <c r="F266" s="3" t="s">
        <v>481</v>
      </c>
      <c r="G266" s="3" t="s">
        <v>482</v>
      </c>
      <c r="H266" s="0" t="n">
        <v>-9776113</v>
      </c>
      <c r="I266" s="3" t="s">
        <v>13</v>
      </c>
    </row>
    <row r="267" customFormat="false" ht="15" hidden="false" customHeight="false" outlineLevel="0" collapsed="false">
      <c r="A267" s="0" t="n">
        <v>6554739</v>
      </c>
      <c r="B267" s="0" t="s">
        <v>9</v>
      </c>
      <c r="C267" s="0" t="s">
        <v>549</v>
      </c>
      <c r="D267" s="2" t="n">
        <v>45658</v>
      </c>
      <c r="E267" s="2" t="n">
        <v>46022</v>
      </c>
      <c r="F267" s="3" t="s">
        <v>483</v>
      </c>
      <c r="G267" s="3" t="s">
        <v>484</v>
      </c>
      <c r="H267" s="0" t="n">
        <v>-6772594</v>
      </c>
      <c r="I267" s="3" t="s">
        <v>13</v>
      </c>
    </row>
    <row r="268" customFormat="false" ht="15" hidden="false" customHeight="false" outlineLevel="0" collapsed="false">
      <c r="A268" s="0" t="n">
        <v>6554740</v>
      </c>
      <c r="B268" s="0" t="s">
        <v>9</v>
      </c>
      <c r="C268" s="0" t="s">
        <v>549</v>
      </c>
      <c r="D268" s="2" t="n">
        <v>45658</v>
      </c>
      <c r="E268" s="2" t="n">
        <v>46022</v>
      </c>
      <c r="F268" s="3" t="s">
        <v>485</v>
      </c>
      <c r="G268" s="3" t="s">
        <v>486</v>
      </c>
      <c r="H268" s="0" t="n">
        <v>-2765837</v>
      </c>
      <c r="I268" s="3" t="s">
        <v>13</v>
      </c>
    </row>
    <row r="269" customFormat="false" ht="15" hidden="false" customHeight="false" outlineLevel="0" collapsed="false">
      <c r="A269" s="0" t="n">
        <v>6554741</v>
      </c>
      <c r="B269" s="0" t="s">
        <v>9</v>
      </c>
      <c r="C269" s="0" t="s">
        <v>549</v>
      </c>
      <c r="D269" s="2" t="n">
        <v>45658</v>
      </c>
      <c r="E269" s="2" t="n">
        <v>46022</v>
      </c>
      <c r="F269" s="3" t="s">
        <v>487</v>
      </c>
      <c r="G269" s="3" t="s">
        <v>488</v>
      </c>
      <c r="H269" s="0" t="n">
        <v>-237682</v>
      </c>
      <c r="I269" s="3" t="s">
        <v>13</v>
      </c>
    </row>
    <row r="270" customFormat="false" ht="15" hidden="false" customHeight="false" outlineLevel="0" collapsed="false">
      <c r="A270" s="0" t="n">
        <v>6554742</v>
      </c>
      <c r="B270" s="0" t="s">
        <v>9</v>
      </c>
      <c r="C270" s="0" t="s">
        <v>549</v>
      </c>
      <c r="D270" s="2" t="n">
        <v>45658</v>
      </c>
      <c r="E270" s="2" t="n">
        <v>46022</v>
      </c>
      <c r="F270" s="3" t="s">
        <v>489</v>
      </c>
      <c r="G270" s="3" t="s">
        <v>53</v>
      </c>
      <c r="H270" s="0" t="n">
        <v>0</v>
      </c>
      <c r="I270" s="3" t="s">
        <v>13</v>
      </c>
    </row>
    <row r="271" customFormat="false" ht="15" hidden="false" customHeight="false" outlineLevel="0" collapsed="false">
      <c r="A271" s="0" t="n">
        <v>6554743</v>
      </c>
      <c r="B271" s="0" t="s">
        <v>9</v>
      </c>
      <c r="C271" s="0" t="s">
        <v>549</v>
      </c>
      <c r="D271" s="2" t="n">
        <v>45658</v>
      </c>
      <c r="E271" s="2" t="n">
        <v>46022</v>
      </c>
      <c r="F271" s="3" t="s">
        <v>490</v>
      </c>
      <c r="G271" s="3" t="s">
        <v>491</v>
      </c>
      <c r="H271" s="0" t="n">
        <v>9694683</v>
      </c>
      <c r="I271" s="3" t="s">
        <v>13</v>
      </c>
    </row>
    <row r="272" customFormat="false" ht="15" hidden="false" customHeight="false" outlineLevel="0" collapsed="false">
      <c r="A272" s="0" t="n">
        <v>6554744</v>
      </c>
      <c r="B272" s="0" t="s">
        <v>9</v>
      </c>
      <c r="C272" s="0" t="s">
        <v>549</v>
      </c>
      <c r="D272" s="2" t="n">
        <v>45658</v>
      </c>
      <c r="E272" s="2" t="n">
        <v>46022</v>
      </c>
      <c r="F272" s="3" t="s">
        <v>492</v>
      </c>
      <c r="G272" s="3" t="s">
        <v>493</v>
      </c>
      <c r="H272" s="0" t="n">
        <v>-1290958</v>
      </c>
      <c r="I272" s="3" t="s">
        <v>13</v>
      </c>
    </row>
    <row r="273" customFormat="false" ht="15" hidden="false" customHeight="false" outlineLevel="0" collapsed="false">
      <c r="A273" s="0" t="n">
        <v>6554745</v>
      </c>
      <c r="B273" s="0" t="s">
        <v>9</v>
      </c>
      <c r="C273" s="0" t="s">
        <v>549</v>
      </c>
      <c r="D273" s="2" t="n">
        <v>45658</v>
      </c>
      <c r="E273" s="2" t="n">
        <v>46022</v>
      </c>
      <c r="F273" s="3" t="s">
        <v>494</v>
      </c>
      <c r="G273" s="3" t="s">
        <v>495</v>
      </c>
      <c r="H273" s="0" t="n">
        <v>-1290958</v>
      </c>
      <c r="I273" s="3" t="s">
        <v>13</v>
      </c>
    </row>
    <row r="274" customFormat="false" ht="15" hidden="false" customHeight="false" outlineLevel="0" collapsed="false">
      <c r="A274" s="0" t="n">
        <v>6554746</v>
      </c>
      <c r="B274" s="0" t="s">
        <v>9</v>
      </c>
      <c r="C274" s="0" t="s">
        <v>549</v>
      </c>
      <c r="D274" s="2" t="n">
        <v>45658</v>
      </c>
      <c r="E274" s="2" t="n">
        <v>46022</v>
      </c>
      <c r="F274" s="3" t="s">
        <v>496</v>
      </c>
      <c r="G274" s="3" t="s">
        <v>497</v>
      </c>
      <c r="H274" s="0" t="n">
        <v>0</v>
      </c>
      <c r="I274" s="3" t="s">
        <v>13</v>
      </c>
    </row>
    <row r="275" customFormat="false" ht="15" hidden="false" customHeight="false" outlineLevel="0" collapsed="false">
      <c r="A275" s="0" t="n">
        <v>6554747</v>
      </c>
      <c r="B275" s="0" t="s">
        <v>9</v>
      </c>
      <c r="C275" s="0" t="s">
        <v>549</v>
      </c>
      <c r="D275" s="2" t="n">
        <v>45658</v>
      </c>
      <c r="E275" s="2" t="n">
        <v>46022</v>
      </c>
      <c r="F275" s="3" t="s">
        <v>498</v>
      </c>
      <c r="G275" s="3" t="s">
        <v>499</v>
      </c>
      <c r="H275" s="0" t="n">
        <v>8403725</v>
      </c>
      <c r="I275" s="3" t="s">
        <v>13</v>
      </c>
    </row>
    <row r="276" customFormat="false" ht="15" hidden="false" customHeight="false" outlineLevel="0" collapsed="false">
      <c r="A276" s="0" t="n">
        <v>6554748</v>
      </c>
      <c r="B276" s="0" t="s">
        <v>9</v>
      </c>
      <c r="C276" s="0" t="s">
        <v>549</v>
      </c>
      <c r="D276" s="2" t="n">
        <v>45658</v>
      </c>
      <c r="E276" s="2" t="n">
        <v>46022</v>
      </c>
      <c r="F276" s="3" t="s">
        <v>500</v>
      </c>
      <c r="G276" s="3" t="s">
        <v>501</v>
      </c>
      <c r="H276" s="0" t="n">
        <v>312829</v>
      </c>
      <c r="I276" s="3" t="s">
        <v>13</v>
      </c>
    </row>
    <row r="277" customFormat="false" ht="15" hidden="false" customHeight="false" outlineLevel="0" collapsed="false">
      <c r="A277" s="0" t="n">
        <v>6554749</v>
      </c>
      <c r="B277" s="0" t="s">
        <v>9</v>
      </c>
      <c r="C277" s="0" t="s">
        <v>549</v>
      </c>
      <c r="D277" s="2" t="n">
        <v>45658</v>
      </c>
      <c r="E277" s="2" t="n">
        <v>46022</v>
      </c>
      <c r="F277" s="3" t="s">
        <v>502</v>
      </c>
      <c r="G277" s="3" t="s">
        <v>355</v>
      </c>
      <c r="H277" s="0" t="n">
        <v>0</v>
      </c>
      <c r="I277" s="3" t="s">
        <v>13</v>
      </c>
    </row>
    <row r="278" customFormat="false" ht="15" hidden="false" customHeight="false" outlineLevel="0" collapsed="false">
      <c r="A278" s="0" t="n">
        <v>6554750</v>
      </c>
      <c r="B278" s="0" t="s">
        <v>9</v>
      </c>
      <c r="C278" s="0" t="s">
        <v>549</v>
      </c>
      <c r="D278" s="2" t="n">
        <v>45658</v>
      </c>
      <c r="E278" s="2" t="n">
        <v>46022</v>
      </c>
      <c r="F278" s="3" t="s">
        <v>503</v>
      </c>
      <c r="G278" s="3" t="s">
        <v>361</v>
      </c>
      <c r="H278" s="0" t="n">
        <v>312829</v>
      </c>
      <c r="I278" s="3" t="s">
        <v>13</v>
      </c>
    </row>
    <row r="279" customFormat="false" ht="15" hidden="false" customHeight="false" outlineLevel="0" collapsed="false">
      <c r="A279" s="0" t="n">
        <v>6554751</v>
      </c>
      <c r="B279" s="0" t="s">
        <v>9</v>
      </c>
      <c r="C279" s="0" t="s">
        <v>549</v>
      </c>
      <c r="D279" s="2" t="n">
        <v>45658</v>
      </c>
      <c r="E279" s="2" t="n">
        <v>46022</v>
      </c>
      <c r="F279" s="3" t="s">
        <v>504</v>
      </c>
      <c r="G279" s="3" t="s">
        <v>53</v>
      </c>
      <c r="H279" s="0" t="n">
        <v>0</v>
      </c>
      <c r="I279" s="3" t="s">
        <v>13</v>
      </c>
    </row>
    <row r="280" customFormat="false" ht="15" hidden="false" customHeight="false" outlineLevel="0" collapsed="false">
      <c r="A280" s="0" t="n">
        <v>6554752</v>
      </c>
      <c r="B280" s="0" t="s">
        <v>9</v>
      </c>
      <c r="C280" s="0" t="s">
        <v>549</v>
      </c>
      <c r="D280" s="2" t="n">
        <v>45658</v>
      </c>
      <c r="E280" s="2" t="n">
        <v>46022</v>
      </c>
      <c r="F280" s="3" t="s">
        <v>505</v>
      </c>
      <c r="G280" s="3" t="s">
        <v>506</v>
      </c>
      <c r="H280" s="0" t="n">
        <v>8716554</v>
      </c>
      <c r="I280" s="3" t="s">
        <v>13</v>
      </c>
    </row>
    <row r="281" customFormat="false" ht="15" hidden="false" customHeight="false" outlineLevel="0" collapsed="false">
      <c r="A281" s="0" t="n">
        <v>6554753</v>
      </c>
      <c r="B281" s="0" t="s">
        <v>9</v>
      </c>
      <c r="C281" s="0" t="s">
        <v>549</v>
      </c>
      <c r="D281" s="2" t="n">
        <v>45658</v>
      </c>
      <c r="E281" s="2" t="n">
        <v>46022</v>
      </c>
      <c r="F281" s="3" t="s">
        <v>507</v>
      </c>
      <c r="G281" s="3" t="s">
        <v>508</v>
      </c>
      <c r="H281" s="0" t="n">
        <v>8716554</v>
      </c>
      <c r="I281" s="3" t="s">
        <v>13</v>
      </c>
    </row>
    <row r="282" customFormat="false" ht="15" hidden="false" customHeight="false" outlineLevel="0" collapsed="false">
      <c r="A282" s="0" t="n">
        <v>6554754</v>
      </c>
      <c r="B282" s="0" t="s">
        <v>9</v>
      </c>
      <c r="C282" s="0" t="s">
        <v>549</v>
      </c>
      <c r="D282" s="2" t="n">
        <v>45658</v>
      </c>
      <c r="E282" s="2" t="n">
        <v>46022</v>
      </c>
      <c r="F282" s="3" t="s">
        <v>509</v>
      </c>
      <c r="G282" s="3" t="s">
        <v>510</v>
      </c>
      <c r="H282" s="0" t="n">
        <v>2268233</v>
      </c>
      <c r="I282" s="3" t="s">
        <v>13</v>
      </c>
    </row>
    <row r="283" customFormat="false" ht="15" hidden="false" customHeight="false" outlineLevel="0" collapsed="false">
      <c r="A283" s="0" t="n">
        <v>6554755</v>
      </c>
      <c r="B283" s="0" t="s">
        <v>9</v>
      </c>
      <c r="C283" s="0" t="s">
        <v>549</v>
      </c>
      <c r="D283" s="2" t="n">
        <v>45658</v>
      </c>
      <c r="E283" s="2" t="n">
        <v>46022</v>
      </c>
      <c r="F283" s="3" t="s">
        <v>511</v>
      </c>
      <c r="G283" s="3" t="s">
        <v>512</v>
      </c>
      <c r="H283" s="0" t="n">
        <v>1738014</v>
      </c>
      <c r="I283" s="3" t="s">
        <v>13</v>
      </c>
    </row>
    <row r="284" customFormat="false" ht="15" hidden="false" customHeight="false" outlineLevel="0" collapsed="false">
      <c r="A284" s="0" t="n">
        <v>6554756</v>
      </c>
      <c r="B284" s="0" t="s">
        <v>9</v>
      </c>
      <c r="C284" s="0" t="s">
        <v>549</v>
      </c>
      <c r="D284" s="2" t="n">
        <v>45658</v>
      </c>
      <c r="E284" s="2" t="n">
        <v>46022</v>
      </c>
      <c r="F284" s="3" t="s">
        <v>513</v>
      </c>
      <c r="G284" s="3" t="s">
        <v>514</v>
      </c>
      <c r="H284" s="0" t="n">
        <v>336168</v>
      </c>
      <c r="I284" s="3" t="s">
        <v>13</v>
      </c>
    </row>
    <row r="285" customFormat="false" ht="15" hidden="false" customHeight="false" outlineLevel="0" collapsed="false">
      <c r="A285" s="0" t="n">
        <v>6554757</v>
      </c>
      <c r="B285" s="0" t="s">
        <v>9</v>
      </c>
      <c r="C285" s="0" t="s">
        <v>549</v>
      </c>
      <c r="D285" s="2" t="n">
        <v>45658</v>
      </c>
      <c r="E285" s="2" t="n">
        <v>46022</v>
      </c>
      <c r="F285" s="3" t="s">
        <v>515</v>
      </c>
      <c r="G285" s="3" t="s">
        <v>516</v>
      </c>
      <c r="H285" s="0" t="n">
        <v>111946</v>
      </c>
      <c r="I285" s="3" t="s">
        <v>13</v>
      </c>
    </row>
    <row r="286" customFormat="false" ht="15" hidden="false" customHeight="false" outlineLevel="0" collapsed="false">
      <c r="A286" s="0" t="n">
        <v>6554758</v>
      </c>
      <c r="B286" s="0" t="s">
        <v>9</v>
      </c>
      <c r="C286" s="0" t="s">
        <v>549</v>
      </c>
      <c r="D286" s="2" t="n">
        <v>45658</v>
      </c>
      <c r="E286" s="2" t="n">
        <v>46022</v>
      </c>
      <c r="F286" s="3" t="s">
        <v>517</v>
      </c>
      <c r="G286" s="3" t="s">
        <v>53</v>
      </c>
      <c r="H286" s="0" t="n">
        <v>82105</v>
      </c>
      <c r="I286" s="3" t="s">
        <v>13</v>
      </c>
    </row>
    <row r="287" customFormat="false" ht="15" hidden="false" customHeight="false" outlineLevel="0" collapsed="false">
      <c r="A287" s="0" t="n">
        <v>6554759</v>
      </c>
      <c r="B287" s="0" t="s">
        <v>9</v>
      </c>
      <c r="C287" s="0" t="s">
        <v>549</v>
      </c>
      <c r="D287" s="2" t="n">
        <v>45658</v>
      </c>
      <c r="E287" s="2" t="n">
        <v>46022</v>
      </c>
      <c r="F287" s="3" t="s">
        <v>518</v>
      </c>
      <c r="G287" s="3" t="s">
        <v>519</v>
      </c>
      <c r="H287" s="0" t="n">
        <v>46383</v>
      </c>
      <c r="I287" s="3" t="s">
        <v>13</v>
      </c>
    </row>
    <row r="288" customFormat="false" ht="15" hidden="false" customHeight="false" outlineLevel="0" collapsed="false">
      <c r="A288" s="0" t="n">
        <v>6554760</v>
      </c>
      <c r="B288" s="0" t="s">
        <v>9</v>
      </c>
      <c r="C288" s="0" t="s">
        <v>549</v>
      </c>
      <c r="D288" s="2" t="n">
        <v>45658</v>
      </c>
      <c r="E288" s="2" t="n">
        <v>46022</v>
      </c>
      <c r="F288" s="3" t="s">
        <v>520</v>
      </c>
      <c r="G288" s="3" t="s">
        <v>521</v>
      </c>
      <c r="H288" s="0" t="n">
        <v>35722</v>
      </c>
      <c r="I288" s="3" t="s">
        <v>13</v>
      </c>
    </row>
    <row r="289" customFormat="false" ht="15" hidden="false" customHeight="false" outlineLevel="0" collapsed="false">
      <c r="A289" s="0" t="n">
        <v>6554761</v>
      </c>
      <c r="B289" s="0" t="s">
        <v>9</v>
      </c>
      <c r="C289" s="0" t="s">
        <v>549</v>
      </c>
      <c r="D289" s="2" t="n">
        <v>45658</v>
      </c>
      <c r="E289" s="2" t="n">
        <v>46022</v>
      </c>
      <c r="F289" s="3" t="s">
        <v>522</v>
      </c>
      <c r="G289" s="3" t="s">
        <v>523</v>
      </c>
      <c r="H289" s="0" t="n">
        <v>4074860</v>
      </c>
      <c r="I289" s="3" t="s">
        <v>13</v>
      </c>
    </row>
    <row r="290" customFormat="false" ht="15" hidden="false" customHeight="false" outlineLevel="0" collapsed="false">
      <c r="A290" s="0" t="n">
        <v>6554762</v>
      </c>
      <c r="B290" s="0" t="s">
        <v>9</v>
      </c>
      <c r="C290" s="0" t="s">
        <v>549</v>
      </c>
      <c r="D290" s="2" t="n">
        <v>45658</v>
      </c>
      <c r="E290" s="2" t="n">
        <v>46022</v>
      </c>
      <c r="F290" s="3" t="s">
        <v>524</v>
      </c>
      <c r="G290" s="3" t="s">
        <v>525</v>
      </c>
      <c r="H290" s="0" t="n">
        <v>1317737</v>
      </c>
      <c r="I290" s="3" t="s">
        <v>13</v>
      </c>
    </row>
    <row r="291" customFormat="false" ht="15" hidden="false" customHeight="false" outlineLevel="0" collapsed="false">
      <c r="A291" s="0" t="n">
        <v>6554763</v>
      </c>
      <c r="B291" s="0" t="s">
        <v>9</v>
      </c>
      <c r="C291" s="0" t="s">
        <v>549</v>
      </c>
      <c r="D291" s="2" t="n">
        <v>45658</v>
      </c>
      <c r="E291" s="2" t="n">
        <v>46022</v>
      </c>
      <c r="F291" s="3" t="s">
        <v>526</v>
      </c>
      <c r="G291" s="3" t="s">
        <v>527</v>
      </c>
      <c r="H291" s="0" t="n">
        <v>2648101</v>
      </c>
      <c r="I291" s="3" t="s">
        <v>13</v>
      </c>
    </row>
    <row r="292" customFormat="false" ht="15" hidden="false" customHeight="false" outlineLevel="0" collapsed="false">
      <c r="A292" s="0" t="n">
        <v>6554764</v>
      </c>
      <c r="B292" s="0" t="s">
        <v>9</v>
      </c>
      <c r="C292" s="0" t="s">
        <v>549</v>
      </c>
      <c r="D292" s="2" t="n">
        <v>45658</v>
      </c>
      <c r="E292" s="2" t="n">
        <v>46022</v>
      </c>
      <c r="F292" s="3" t="s">
        <v>528</v>
      </c>
      <c r="G292" s="3" t="s">
        <v>529</v>
      </c>
      <c r="H292" s="0" t="n">
        <v>109022</v>
      </c>
      <c r="I292" s="3" t="s">
        <v>13</v>
      </c>
    </row>
    <row r="293" customFormat="false" ht="15" hidden="false" customHeight="false" outlineLevel="0" collapsed="false">
      <c r="A293" s="0" t="n">
        <v>6554765</v>
      </c>
      <c r="B293" s="0" t="s">
        <v>9</v>
      </c>
      <c r="C293" s="0" t="s">
        <v>549</v>
      </c>
      <c r="D293" s="2" t="n">
        <v>45658</v>
      </c>
      <c r="E293" s="2" t="n">
        <v>46022</v>
      </c>
      <c r="F293" s="3" t="s">
        <v>530</v>
      </c>
      <c r="G293" s="3" t="s">
        <v>531</v>
      </c>
      <c r="H293" s="0" t="n">
        <v>915895</v>
      </c>
      <c r="I293" s="3" t="s">
        <v>13</v>
      </c>
    </row>
    <row r="294" customFormat="false" ht="15" hidden="false" customHeight="false" outlineLevel="0" collapsed="false">
      <c r="A294" s="0" t="n">
        <v>6554766</v>
      </c>
      <c r="B294" s="0" t="s">
        <v>9</v>
      </c>
      <c r="C294" s="0" t="s">
        <v>549</v>
      </c>
      <c r="D294" s="2" t="n">
        <v>45658</v>
      </c>
      <c r="E294" s="2" t="n">
        <v>46022</v>
      </c>
      <c r="F294" s="3" t="s">
        <v>532</v>
      </c>
      <c r="G294" s="3" t="s">
        <v>533</v>
      </c>
      <c r="H294" s="0" t="n">
        <v>336597</v>
      </c>
      <c r="I294" s="3" t="s">
        <v>13</v>
      </c>
    </row>
    <row r="295" customFormat="false" ht="15" hidden="false" customHeight="false" outlineLevel="0" collapsed="false">
      <c r="A295" s="0" t="n">
        <v>6554767</v>
      </c>
      <c r="B295" s="0" t="s">
        <v>9</v>
      </c>
      <c r="C295" s="0" t="s">
        <v>549</v>
      </c>
      <c r="D295" s="2" t="n">
        <v>45658</v>
      </c>
      <c r="E295" s="2" t="n">
        <v>46022</v>
      </c>
      <c r="F295" s="3" t="s">
        <v>534</v>
      </c>
      <c r="G295" s="3" t="s">
        <v>535</v>
      </c>
      <c r="H295" s="0" t="n">
        <v>514063</v>
      </c>
      <c r="I295" s="3" t="s">
        <v>13</v>
      </c>
    </row>
    <row r="296" customFormat="false" ht="15" hidden="false" customHeight="false" outlineLevel="0" collapsed="false">
      <c r="A296" s="0" t="n">
        <v>6554768</v>
      </c>
      <c r="B296" s="0" t="s">
        <v>9</v>
      </c>
      <c r="C296" s="0" t="s">
        <v>549</v>
      </c>
      <c r="D296" s="2" t="n">
        <v>45658</v>
      </c>
      <c r="E296" s="2" t="n">
        <v>46022</v>
      </c>
      <c r="F296" s="3" t="s">
        <v>536</v>
      </c>
      <c r="G296" s="3" t="s">
        <v>497</v>
      </c>
      <c r="H296" s="0" t="n">
        <v>65235</v>
      </c>
      <c r="I296" s="3" t="s">
        <v>13</v>
      </c>
    </row>
    <row r="297" customFormat="false" ht="15" hidden="false" customHeight="false" outlineLevel="0" collapsed="false">
      <c r="A297" s="0" t="n">
        <v>6554769</v>
      </c>
      <c r="B297" s="0" t="s">
        <v>9</v>
      </c>
      <c r="C297" s="0" t="s">
        <v>549</v>
      </c>
      <c r="D297" s="2" t="n">
        <v>45658</v>
      </c>
      <c r="E297" s="2" t="n">
        <v>46022</v>
      </c>
      <c r="F297" s="3" t="s">
        <v>537</v>
      </c>
      <c r="G297" s="3" t="s">
        <v>363</v>
      </c>
      <c r="H297" s="0" t="n">
        <v>65235</v>
      </c>
      <c r="I297" s="3" t="s">
        <v>13</v>
      </c>
    </row>
    <row r="298" customFormat="false" ht="15" hidden="false" customHeight="false" outlineLevel="0" collapsed="false">
      <c r="A298" s="0" t="n">
        <v>6554770</v>
      </c>
      <c r="B298" s="0" t="s">
        <v>9</v>
      </c>
      <c r="C298" s="0" t="s">
        <v>549</v>
      </c>
      <c r="D298" s="2" t="n">
        <v>45658</v>
      </c>
      <c r="E298" s="2" t="n">
        <v>46022</v>
      </c>
      <c r="F298" s="3" t="s">
        <v>538</v>
      </c>
      <c r="G298" s="3" t="s">
        <v>539</v>
      </c>
      <c r="H298" s="0" t="n">
        <v>1457566</v>
      </c>
      <c r="I298" s="3" t="s">
        <v>13</v>
      </c>
    </row>
    <row r="299" customFormat="false" ht="15" hidden="false" customHeight="false" outlineLevel="0" collapsed="false">
      <c r="A299" s="0" t="n">
        <v>6554771</v>
      </c>
      <c r="B299" s="0" t="s">
        <v>9</v>
      </c>
      <c r="C299" s="0" t="s">
        <v>549</v>
      </c>
      <c r="D299" s="2" t="n">
        <v>45658</v>
      </c>
      <c r="E299" s="2" t="n">
        <v>46022</v>
      </c>
      <c r="F299" s="3" t="s">
        <v>540</v>
      </c>
      <c r="G299" s="3" t="s">
        <v>541</v>
      </c>
      <c r="H299" s="0" t="n">
        <v>834310</v>
      </c>
      <c r="I299" s="3" t="s">
        <v>13</v>
      </c>
    </row>
    <row r="300" customFormat="false" ht="15" hidden="false" customHeight="false" outlineLevel="0" collapsed="false">
      <c r="A300" s="0" t="n">
        <v>6554772</v>
      </c>
      <c r="B300" s="0" t="s">
        <v>9</v>
      </c>
      <c r="C300" s="0" t="s">
        <v>549</v>
      </c>
      <c r="D300" s="2" t="n">
        <v>45658</v>
      </c>
      <c r="E300" s="2" t="n">
        <v>46022</v>
      </c>
      <c r="F300" s="3" t="s">
        <v>542</v>
      </c>
      <c r="G300" s="3" t="s">
        <v>543</v>
      </c>
      <c r="H300" s="0" t="n">
        <v>0</v>
      </c>
      <c r="I300" s="3" t="s">
        <v>13</v>
      </c>
    </row>
    <row r="301" customFormat="false" ht="15" hidden="false" customHeight="false" outlineLevel="0" collapsed="false">
      <c r="A301" s="0" t="n">
        <v>6554773</v>
      </c>
      <c r="B301" s="0" t="s">
        <v>9</v>
      </c>
      <c r="C301" s="0" t="s">
        <v>549</v>
      </c>
      <c r="D301" s="2" t="n">
        <v>45658</v>
      </c>
      <c r="E301" s="2" t="n">
        <v>46022</v>
      </c>
      <c r="F301" s="3" t="s">
        <v>544</v>
      </c>
      <c r="G301" s="3" t="s">
        <v>545</v>
      </c>
      <c r="H301" s="0" t="n">
        <v>623256</v>
      </c>
      <c r="I301" s="3" t="s">
        <v>13</v>
      </c>
    </row>
    <row r="302" customFormat="false" ht="15" hidden="false" customHeight="false" outlineLevel="0" collapsed="false">
      <c r="A302" s="0" t="n">
        <v>6554774</v>
      </c>
      <c r="B302" s="0" t="s">
        <v>9</v>
      </c>
      <c r="C302" s="0" t="s">
        <v>549</v>
      </c>
      <c r="D302" s="2" t="n">
        <v>45658</v>
      </c>
      <c r="E302" s="2" t="n">
        <v>46022</v>
      </c>
      <c r="F302" s="3" t="s">
        <v>546</v>
      </c>
      <c r="G302" s="3" t="s">
        <v>547</v>
      </c>
      <c r="H302" s="0" t="n">
        <v>0</v>
      </c>
      <c r="I302" s="3" t="s">
        <v>13</v>
      </c>
    </row>
    <row r="303" customFormat="false" ht="15" hidden="false" customHeight="false" outlineLevel="0" collapsed="false">
      <c r="A303" s="0" t="n">
        <v>6554775</v>
      </c>
      <c r="B303" s="0" t="s">
        <v>9</v>
      </c>
      <c r="C303" s="0" t="s">
        <v>549</v>
      </c>
      <c r="D303" s="2" t="n">
        <v>45658</v>
      </c>
      <c r="E303" s="2" t="n">
        <v>46022</v>
      </c>
      <c r="F303" s="3" t="s">
        <v>548</v>
      </c>
      <c r="G303" s="3" t="s">
        <v>53</v>
      </c>
      <c r="H303" s="0" t="n">
        <v>0</v>
      </c>
      <c r="I303" s="3" t="s">
        <v>13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0"/>
  <sheetViews>
    <sheetView showFormulas="false" showGridLines="true" showRowColHeaders="true" showZeros="true" rightToLeft="false" tabSelected="false" showOutlineSymbols="true" defaultGridColor="true" view="normal" topLeftCell="A185" colorId="64" zoomScale="135" zoomScaleNormal="135" zoomScalePageLayoutView="100" workbookViewId="0">
      <selection pane="topLeft" activeCell="F160" activeCellId="0" sqref="F160"/>
    </sheetView>
  </sheetViews>
  <sheetFormatPr defaultColWidth="11.5078125" defaultRowHeight="15" zeroHeight="false" outlineLevelRow="0" outlineLevelCol="0"/>
  <cols>
    <col collapsed="false" customWidth="true" hidden="false" outlineLevel="0" max="7" min="7" style="0" width="69.16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5" hidden="false" customHeight="false" outlineLevel="0" collapsed="false">
      <c r="A2" s="5" t="n">
        <v>6116364</v>
      </c>
      <c r="B2" s="5" t="s">
        <v>9</v>
      </c>
      <c r="C2" s="5" t="s">
        <v>557</v>
      </c>
      <c r="D2" s="6" t="n">
        <v>45657</v>
      </c>
      <c r="E2" s="6" t="n">
        <v>45657</v>
      </c>
      <c r="F2" s="5" t="s">
        <v>11</v>
      </c>
      <c r="G2" s="5" t="s">
        <v>12</v>
      </c>
      <c r="H2" s="5" t="n">
        <v>20364590</v>
      </c>
      <c r="I2" s="5" t="s">
        <v>13</v>
      </c>
    </row>
    <row r="3" customFormat="false" ht="15" hidden="false" customHeight="false" outlineLevel="0" collapsed="false">
      <c r="A3" s="5" t="n">
        <v>6116365</v>
      </c>
      <c r="B3" s="5" t="s">
        <v>9</v>
      </c>
      <c r="C3" s="5" t="s">
        <v>557</v>
      </c>
      <c r="D3" s="6" t="n">
        <v>45657</v>
      </c>
      <c r="E3" s="6" t="n">
        <v>45657</v>
      </c>
      <c r="F3" s="5" t="s">
        <v>14</v>
      </c>
      <c r="G3" s="5" t="s">
        <v>15</v>
      </c>
      <c r="H3" s="5" t="n">
        <v>12316659</v>
      </c>
      <c r="I3" s="5" t="s">
        <v>13</v>
      </c>
    </row>
    <row r="4" customFormat="false" ht="15" hidden="false" customHeight="false" outlineLevel="0" collapsed="false">
      <c r="A4" s="7" t="n">
        <v>6116366</v>
      </c>
      <c r="B4" s="7" t="s">
        <v>9</v>
      </c>
      <c r="C4" s="7" t="s">
        <v>557</v>
      </c>
      <c r="D4" s="8" t="n">
        <v>45657</v>
      </c>
      <c r="E4" s="8" t="n">
        <v>45657</v>
      </c>
      <c r="F4" s="7" t="s">
        <v>16</v>
      </c>
      <c r="G4" s="7" t="s">
        <v>17</v>
      </c>
      <c r="H4" s="7" t="n">
        <v>1926110</v>
      </c>
      <c r="I4" s="7" t="s">
        <v>13</v>
      </c>
    </row>
    <row r="5" customFormat="false" ht="15" hidden="false" customHeight="false" outlineLevel="0" collapsed="false">
      <c r="A5" s="7" t="n">
        <v>6116367</v>
      </c>
      <c r="B5" s="7" t="s">
        <v>9</v>
      </c>
      <c r="C5" s="7" t="s">
        <v>557</v>
      </c>
      <c r="D5" s="8" t="n">
        <v>45657</v>
      </c>
      <c r="E5" s="8" t="n">
        <v>45657</v>
      </c>
      <c r="F5" s="7" t="s">
        <v>18</v>
      </c>
      <c r="G5" s="7" t="s">
        <v>19</v>
      </c>
      <c r="H5" s="7" t="n">
        <v>845197</v>
      </c>
      <c r="I5" s="7" t="s">
        <v>13</v>
      </c>
    </row>
    <row r="6" customFormat="false" ht="15" hidden="false" customHeight="false" outlineLevel="0" collapsed="false">
      <c r="A6" s="5" t="n">
        <v>6116368</v>
      </c>
      <c r="B6" s="5" t="s">
        <v>9</v>
      </c>
      <c r="C6" s="5" t="s">
        <v>557</v>
      </c>
      <c r="D6" s="6" t="n">
        <v>45657</v>
      </c>
      <c r="E6" s="6" t="n">
        <v>45657</v>
      </c>
      <c r="F6" s="5" t="s">
        <v>20</v>
      </c>
      <c r="G6" s="5" t="s">
        <v>21</v>
      </c>
      <c r="H6" s="5" t="n">
        <v>845197</v>
      </c>
      <c r="I6" s="5" t="s">
        <v>13</v>
      </c>
    </row>
    <row r="7" customFormat="false" ht="15" hidden="false" customHeight="false" outlineLevel="0" collapsed="false">
      <c r="A7" s="5" t="n">
        <v>6116369</v>
      </c>
      <c r="B7" s="5" t="s">
        <v>9</v>
      </c>
      <c r="C7" s="5" t="s">
        <v>557</v>
      </c>
      <c r="D7" s="6" t="n">
        <v>45657</v>
      </c>
      <c r="E7" s="6" t="n">
        <v>45657</v>
      </c>
      <c r="F7" s="5" t="s">
        <v>22</v>
      </c>
      <c r="G7" s="5" t="s">
        <v>23</v>
      </c>
      <c r="H7" s="5" t="n">
        <v>0</v>
      </c>
      <c r="I7" s="5" t="s">
        <v>13</v>
      </c>
    </row>
    <row r="8" customFormat="false" ht="15" hidden="false" customHeight="false" outlineLevel="0" collapsed="false">
      <c r="A8" s="5" t="n">
        <v>6116370</v>
      </c>
      <c r="B8" s="5" t="s">
        <v>9</v>
      </c>
      <c r="C8" s="5" t="s">
        <v>557</v>
      </c>
      <c r="D8" s="6" t="n">
        <v>45657</v>
      </c>
      <c r="E8" s="6" t="n">
        <v>45657</v>
      </c>
      <c r="F8" s="5" t="s">
        <v>24</v>
      </c>
      <c r="G8" s="5" t="s">
        <v>25</v>
      </c>
      <c r="H8" s="5" t="n">
        <v>845197</v>
      </c>
      <c r="I8" s="5" t="s">
        <v>13</v>
      </c>
    </row>
    <row r="9" customFormat="false" ht="15" hidden="false" customHeight="false" outlineLevel="0" collapsed="false">
      <c r="A9" s="5" t="n">
        <v>6116371</v>
      </c>
      <c r="B9" s="5" t="s">
        <v>9</v>
      </c>
      <c r="C9" s="5" t="s">
        <v>557</v>
      </c>
      <c r="D9" s="6" t="n">
        <v>45657</v>
      </c>
      <c r="E9" s="6" t="n">
        <v>45657</v>
      </c>
      <c r="F9" s="5" t="s">
        <v>26</v>
      </c>
      <c r="G9" s="5" t="s">
        <v>27</v>
      </c>
      <c r="H9" s="5" t="n">
        <v>0</v>
      </c>
      <c r="I9" s="5" t="s">
        <v>13</v>
      </c>
    </row>
    <row r="10" customFormat="false" ht="15" hidden="false" customHeight="false" outlineLevel="0" collapsed="false">
      <c r="A10" s="5" t="n">
        <v>6116372</v>
      </c>
      <c r="B10" s="5" t="s">
        <v>9</v>
      </c>
      <c r="C10" s="5" t="s">
        <v>557</v>
      </c>
      <c r="D10" s="6" t="n">
        <v>45657</v>
      </c>
      <c r="E10" s="6" t="n">
        <v>45657</v>
      </c>
      <c r="F10" s="5" t="s">
        <v>28</v>
      </c>
      <c r="G10" s="5" t="s">
        <v>29</v>
      </c>
      <c r="H10" s="5" t="n">
        <v>0</v>
      </c>
      <c r="I10" s="5" t="s">
        <v>13</v>
      </c>
    </row>
    <row r="11" customFormat="false" ht="15" hidden="false" customHeight="false" outlineLevel="0" collapsed="false">
      <c r="A11" s="9" t="n">
        <v>6116373</v>
      </c>
      <c r="B11" s="9" t="s">
        <v>9</v>
      </c>
      <c r="C11" s="9" t="s">
        <v>557</v>
      </c>
      <c r="D11" s="10" t="n">
        <v>45657</v>
      </c>
      <c r="E11" s="10" t="n">
        <v>45657</v>
      </c>
      <c r="F11" s="9" t="s">
        <v>30</v>
      </c>
      <c r="G11" s="9" t="s">
        <v>31</v>
      </c>
      <c r="H11" s="9" t="n">
        <v>6902933</v>
      </c>
      <c r="I11" s="9" t="s">
        <v>13</v>
      </c>
    </row>
    <row r="12" customFormat="false" ht="15" hidden="false" customHeight="false" outlineLevel="0" collapsed="false">
      <c r="A12" s="5" t="n">
        <v>6116374</v>
      </c>
      <c r="B12" s="5" t="s">
        <v>9</v>
      </c>
      <c r="C12" s="5" t="s">
        <v>557</v>
      </c>
      <c r="D12" s="6" t="n">
        <v>45657</v>
      </c>
      <c r="E12" s="6" t="n">
        <v>45657</v>
      </c>
      <c r="F12" s="5" t="s">
        <v>32</v>
      </c>
      <c r="G12" s="5" t="s">
        <v>33</v>
      </c>
      <c r="H12" s="5" t="n">
        <v>6902933</v>
      </c>
      <c r="I12" s="5" t="s">
        <v>13</v>
      </c>
    </row>
    <row r="13" customFormat="false" ht="15" hidden="false" customHeight="false" outlineLevel="0" collapsed="false">
      <c r="A13" s="5" t="n">
        <v>6116375</v>
      </c>
      <c r="B13" s="5" t="s">
        <v>9</v>
      </c>
      <c r="C13" s="5" t="s">
        <v>557</v>
      </c>
      <c r="D13" s="6" t="n">
        <v>45657</v>
      </c>
      <c r="E13" s="6" t="n">
        <v>45657</v>
      </c>
      <c r="F13" s="5" t="s">
        <v>34</v>
      </c>
      <c r="G13" s="5" t="s">
        <v>35</v>
      </c>
      <c r="H13" s="5" t="n">
        <v>0</v>
      </c>
      <c r="I13" s="5" t="s">
        <v>13</v>
      </c>
    </row>
    <row r="14" customFormat="false" ht="15" hidden="false" customHeight="false" outlineLevel="0" collapsed="false">
      <c r="A14" s="9" t="n">
        <v>6116376</v>
      </c>
      <c r="B14" s="9" t="s">
        <v>9</v>
      </c>
      <c r="C14" s="9" t="s">
        <v>557</v>
      </c>
      <c r="D14" s="10" t="n">
        <v>45657</v>
      </c>
      <c r="E14" s="10" t="n">
        <v>45657</v>
      </c>
      <c r="F14" s="9" t="s">
        <v>36</v>
      </c>
      <c r="G14" s="9" t="s">
        <v>37</v>
      </c>
      <c r="H14" s="9" t="n">
        <v>1929908</v>
      </c>
      <c r="I14" s="9" t="s">
        <v>13</v>
      </c>
    </row>
    <row r="15" customFormat="false" ht="15" hidden="false" customHeight="false" outlineLevel="0" collapsed="false">
      <c r="A15" s="5" t="n">
        <v>6116377</v>
      </c>
      <c r="B15" s="5" t="s">
        <v>9</v>
      </c>
      <c r="C15" s="5" t="s">
        <v>557</v>
      </c>
      <c r="D15" s="6" t="n">
        <v>45657</v>
      </c>
      <c r="E15" s="6" t="n">
        <v>45657</v>
      </c>
      <c r="F15" s="5" t="s">
        <v>38</v>
      </c>
      <c r="G15" s="5" t="s">
        <v>39</v>
      </c>
      <c r="H15" s="5" t="n">
        <v>0</v>
      </c>
      <c r="I15" s="5" t="s">
        <v>13</v>
      </c>
    </row>
    <row r="16" customFormat="false" ht="15" hidden="false" customHeight="false" outlineLevel="0" collapsed="false">
      <c r="A16" s="9" t="n">
        <v>6116378</v>
      </c>
      <c r="B16" s="9" t="s">
        <v>9</v>
      </c>
      <c r="C16" s="9" t="s">
        <v>557</v>
      </c>
      <c r="D16" s="10" t="n">
        <v>45657</v>
      </c>
      <c r="E16" s="10" t="n">
        <v>45657</v>
      </c>
      <c r="F16" s="9" t="s">
        <v>40</v>
      </c>
      <c r="G16" s="9" t="s">
        <v>41</v>
      </c>
      <c r="H16" s="9" t="n">
        <v>578234</v>
      </c>
      <c r="I16" s="9" t="s">
        <v>13</v>
      </c>
    </row>
    <row r="17" customFormat="false" ht="15" hidden="false" customHeight="false" outlineLevel="0" collapsed="false">
      <c r="A17" s="5" t="n">
        <v>6116379</v>
      </c>
      <c r="B17" s="5" t="s">
        <v>9</v>
      </c>
      <c r="C17" s="5" t="s">
        <v>557</v>
      </c>
      <c r="D17" s="6" t="n">
        <v>45657</v>
      </c>
      <c r="E17" s="6" t="n">
        <v>45657</v>
      </c>
      <c r="F17" s="5" t="s">
        <v>42</v>
      </c>
      <c r="G17" s="5" t="s">
        <v>43</v>
      </c>
      <c r="H17" s="5" t="n">
        <v>578234</v>
      </c>
      <c r="I17" s="5" t="s">
        <v>13</v>
      </c>
    </row>
    <row r="18" customFormat="false" ht="15" hidden="false" customHeight="false" outlineLevel="0" collapsed="false">
      <c r="A18" s="5" t="n">
        <v>6116380</v>
      </c>
      <c r="B18" s="5" t="s">
        <v>9</v>
      </c>
      <c r="C18" s="5" t="s">
        <v>557</v>
      </c>
      <c r="D18" s="6" t="n">
        <v>45657</v>
      </c>
      <c r="E18" s="6" t="n">
        <v>45657</v>
      </c>
      <c r="F18" s="5" t="s">
        <v>44</v>
      </c>
      <c r="G18" s="5" t="s">
        <v>45</v>
      </c>
      <c r="H18" s="5" t="n">
        <v>0</v>
      </c>
      <c r="I18" s="5" t="s">
        <v>13</v>
      </c>
    </row>
    <row r="19" customFormat="false" ht="15" hidden="false" customHeight="false" outlineLevel="0" collapsed="false">
      <c r="A19" s="9" t="n">
        <v>6116381</v>
      </c>
      <c r="B19" s="9" t="s">
        <v>9</v>
      </c>
      <c r="C19" s="9" t="s">
        <v>557</v>
      </c>
      <c r="D19" s="10" t="n">
        <v>45657</v>
      </c>
      <c r="E19" s="10" t="n">
        <v>45657</v>
      </c>
      <c r="F19" s="9" t="s">
        <v>46</v>
      </c>
      <c r="G19" s="9" t="s">
        <v>47</v>
      </c>
      <c r="H19" s="9" t="n">
        <v>134277</v>
      </c>
      <c r="I19" s="9" t="s">
        <v>13</v>
      </c>
    </row>
    <row r="20" customFormat="false" ht="15" hidden="false" customHeight="false" outlineLevel="0" collapsed="false">
      <c r="A20" s="5" t="n">
        <v>6116382</v>
      </c>
      <c r="B20" s="5" t="s">
        <v>9</v>
      </c>
      <c r="C20" s="5" t="s">
        <v>557</v>
      </c>
      <c r="D20" s="6" t="n">
        <v>45657</v>
      </c>
      <c r="E20" s="6" t="n">
        <v>45657</v>
      </c>
      <c r="F20" s="5" t="s">
        <v>48</v>
      </c>
      <c r="G20" s="5" t="s">
        <v>49</v>
      </c>
      <c r="H20" s="5" t="n">
        <v>0</v>
      </c>
      <c r="I20" s="5" t="s">
        <v>13</v>
      </c>
    </row>
    <row r="21" customFormat="false" ht="15" hidden="false" customHeight="false" outlineLevel="0" collapsed="false">
      <c r="A21" s="5" t="n">
        <v>6116383</v>
      </c>
      <c r="B21" s="5" t="s">
        <v>9</v>
      </c>
      <c r="C21" s="5" t="s">
        <v>557</v>
      </c>
      <c r="D21" s="6" t="n">
        <v>45657</v>
      </c>
      <c r="E21" s="6" t="n">
        <v>45657</v>
      </c>
      <c r="F21" s="5" t="s">
        <v>50</v>
      </c>
      <c r="G21" s="5" t="s">
        <v>51</v>
      </c>
      <c r="H21" s="5" t="n">
        <v>0</v>
      </c>
      <c r="I21" s="5" t="s">
        <v>13</v>
      </c>
    </row>
    <row r="22" customFormat="false" ht="15" hidden="false" customHeight="false" outlineLevel="0" collapsed="false">
      <c r="A22" s="5" t="n">
        <v>6116384</v>
      </c>
      <c r="B22" s="5" t="s">
        <v>9</v>
      </c>
      <c r="C22" s="5" t="s">
        <v>557</v>
      </c>
      <c r="D22" s="6" t="n">
        <v>45657</v>
      </c>
      <c r="E22" s="6" t="n">
        <v>45657</v>
      </c>
      <c r="F22" s="5" t="s">
        <v>52</v>
      </c>
      <c r="G22" s="5" t="s">
        <v>53</v>
      </c>
      <c r="H22" s="5" t="n">
        <v>134277</v>
      </c>
      <c r="I22" s="5" t="s">
        <v>13</v>
      </c>
    </row>
    <row r="23" customFormat="false" ht="15" hidden="false" customHeight="false" outlineLevel="0" collapsed="false">
      <c r="A23" s="5" t="n">
        <v>6116385</v>
      </c>
      <c r="B23" s="5" t="s">
        <v>9</v>
      </c>
      <c r="C23" s="5" t="s">
        <v>557</v>
      </c>
      <c r="D23" s="6" t="n">
        <v>45657</v>
      </c>
      <c r="E23" s="6" t="n">
        <v>45657</v>
      </c>
      <c r="F23" s="5" t="s">
        <v>54</v>
      </c>
      <c r="G23" s="5" t="s">
        <v>55</v>
      </c>
      <c r="H23" s="5" t="n">
        <v>0</v>
      </c>
      <c r="I23" s="5" t="s">
        <v>13</v>
      </c>
    </row>
    <row r="24" customFormat="false" ht="15" hidden="false" customHeight="false" outlineLevel="0" collapsed="false">
      <c r="A24" s="5" t="n">
        <v>6116386</v>
      </c>
      <c r="B24" s="5" t="s">
        <v>9</v>
      </c>
      <c r="C24" s="5" t="s">
        <v>557</v>
      </c>
      <c r="D24" s="6" t="n">
        <v>45657</v>
      </c>
      <c r="E24" s="6" t="n">
        <v>45657</v>
      </c>
      <c r="F24" s="5" t="s">
        <v>56</v>
      </c>
      <c r="G24" s="5" t="s">
        <v>57</v>
      </c>
      <c r="H24" s="5" t="n">
        <v>27763</v>
      </c>
      <c r="I24" s="5" t="s">
        <v>13</v>
      </c>
    </row>
    <row r="25" customFormat="false" ht="15" hidden="false" customHeight="false" outlineLevel="0" collapsed="false">
      <c r="A25" s="5" t="n">
        <v>6116387</v>
      </c>
      <c r="B25" s="5" t="s">
        <v>9</v>
      </c>
      <c r="C25" s="5" t="s">
        <v>557</v>
      </c>
      <c r="D25" s="6" t="n">
        <v>45657</v>
      </c>
      <c r="E25" s="6" t="n">
        <v>45657</v>
      </c>
      <c r="F25" s="5" t="s">
        <v>58</v>
      </c>
      <c r="G25" s="5" t="s">
        <v>59</v>
      </c>
      <c r="H25" s="5" t="n">
        <v>106514</v>
      </c>
      <c r="I25" s="5" t="s">
        <v>13</v>
      </c>
    </row>
    <row r="26" customFormat="false" ht="15" hidden="false" customHeight="false" outlineLevel="0" collapsed="false">
      <c r="A26" s="5" t="n">
        <v>6116388</v>
      </c>
      <c r="B26" s="5" t="s">
        <v>9</v>
      </c>
      <c r="C26" s="5" t="s">
        <v>557</v>
      </c>
      <c r="D26" s="6" t="n">
        <v>45657</v>
      </c>
      <c r="E26" s="6" t="n">
        <v>45657</v>
      </c>
      <c r="F26" s="5" t="s">
        <v>60</v>
      </c>
      <c r="G26" s="5" t="s">
        <v>61</v>
      </c>
      <c r="H26" s="5" t="n">
        <v>0</v>
      </c>
      <c r="I26" s="5" t="s">
        <v>13</v>
      </c>
    </row>
    <row r="27" customFormat="false" ht="15" hidden="false" customHeight="false" outlineLevel="0" collapsed="false">
      <c r="A27" s="11" t="n">
        <v>6116389</v>
      </c>
      <c r="B27" s="11" t="s">
        <v>9</v>
      </c>
      <c r="C27" s="11" t="s">
        <v>557</v>
      </c>
      <c r="D27" s="12" t="n">
        <v>45657</v>
      </c>
      <c r="E27" s="12" t="n">
        <v>45657</v>
      </c>
      <c r="F27" s="11" t="s">
        <v>62</v>
      </c>
      <c r="G27" s="11" t="s">
        <v>63</v>
      </c>
      <c r="H27" s="11" t="n">
        <v>8047931</v>
      </c>
      <c r="I27" s="11" t="s">
        <v>13</v>
      </c>
    </row>
    <row r="28" customFormat="false" ht="15" hidden="false" customHeight="false" outlineLevel="0" collapsed="false">
      <c r="A28" s="11" t="n">
        <v>6116390</v>
      </c>
      <c r="B28" s="11" t="s">
        <v>9</v>
      </c>
      <c r="C28" s="11" t="s">
        <v>557</v>
      </c>
      <c r="D28" s="12" t="n">
        <v>45657</v>
      </c>
      <c r="E28" s="12" t="n">
        <v>45657</v>
      </c>
      <c r="F28" s="11" t="s">
        <v>64</v>
      </c>
      <c r="G28" s="11" t="s">
        <v>65</v>
      </c>
      <c r="H28" s="11" t="n">
        <v>1224934</v>
      </c>
      <c r="I28" s="11" t="s">
        <v>13</v>
      </c>
    </row>
    <row r="29" customFormat="false" ht="15" hidden="false" customHeight="false" outlineLevel="0" collapsed="false">
      <c r="A29" s="11" t="n">
        <v>6116391</v>
      </c>
      <c r="B29" s="11" t="s">
        <v>9</v>
      </c>
      <c r="C29" s="11" t="s">
        <v>557</v>
      </c>
      <c r="D29" s="12" t="n">
        <v>45657</v>
      </c>
      <c r="E29" s="12" t="n">
        <v>45657</v>
      </c>
      <c r="F29" s="11" t="s">
        <v>66</v>
      </c>
      <c r="G29" s="11" t="s">
        <v>21</v>
      </c>
      <c r="H29" s="11" t="n">
        <v>0</v>
      </c>
      <c r="I29" s="11" t="s">
        <v>13</v>
      </c>
    </row>
    <row r="30" customFormat="false" ht="15" hidden="false" customHeight="false" outlineLevel="0" collapsed="false">
      <c r="A30" s="11" t="n">
        <v>6116392</v>
      </c>
      <c r="B30" s="11" t="s">
        <v>9</v>
      </c>
      <c r="C30" s="11" t="s">
        <v>557</v>
      </c>
      <c r="D30" s="12" t="n">
        <v>45657</v>
      </c>
      <c r="E30" s="12" t="n">
        <v>45657</v>
      </c>
      <c r="F30" s="11" t="s">
        <v>67</v>
      </c>
      <c r="G30" s="11" t="s">
        <v>25</v>
      </c>
      <c r="H30" s="11" t="n">
        <v>0</v>
      </c>
      <c r="I30" s="11" t="s">
        <v>13</v>
      </c>
    </row>
    <row r="31" customFormat="false" ht="15" hidden="false" customHeight="false" outlineLevel="0" collapsed="false">
      <c r="A31" s="11" t="n">
        <v>6116393</v>
      </c>
      <c r="B31" s="11" t="s">
        <v>9</v>
      </c>
      <c r="C31" s="11" t="s">
        <v>557</v>
      </c>
      <c r="D31" s="12" t="n">
        <v>45657</v>
      </c>
      <c r="E31" s="12" t="n">
        <v>45657</v>
      </c>
      <c r="F31" s="11" t="s">
        <v>68</v>
      </c>
      <c r="G31" s="11" t="s">
        <v>27</v>
      </c>
      <c r="H31" s="11" t="n">
        <v>0</v>
      </c>
      <c r="I31" s="11" t="s">
        <v>13</v>
      </c>
    </row>
    <row r="32" customFormat="false" ht="15" hidden="false" customHeight="false" outlineLevel="0" collapsed="false">
      <c r="A32" s="11" t="n">
        <v>6116394</v>
      </c>
      <c r="B32" s="11" t="s">
        <v>9</v>
      </c>
      <c r="C32" s="11" t="s">
        <v>557</v>
      </c>
      <c r="D32" s="12" t="n">
        <v>45657</v>
      </c>
      <c r="E32" s="12" t="n">
        <v>45657</v>
      </c>
      <c r="F32" s="11" t="s">
        <v>69</v>
      </c>
      <c r="G32" s="11" t="s">
        <v>29</v>
      </c>
      <c r="H32" s="11" t="n">
        <v>0</v>
      </c>
      <c r="I32" s="11" t="s">
        <v>13</v>
      </c>
    </row>
    <row r="33" customFormat="false" ht="15" hidden="false" customHeight="false" outlineLevel="0" collapsed="false">
      <c r="A33" s="11" t="n">
        <v>6116395</v>
      </c>
      <c r="B33" s="11" t="s">
        <v>9</v>
      </c>
      <c r="C33" s="11" t="s">
        <v>557</v>
      </c>
      <c r="D33" s="12" t="n">
        <v>45657</v>
      </c>
      <c r="E33" s="12" t="n">
        <v>45657</v>
      </c>
      <c r="F33" s="11" t="s">
        <v>70</v>
      </c>
      <c r="G33" s="11" t="s">
        <v>31</v>
      </c>
      <c r="H33" s="11" t="n">
        <v>0</v>
      </c>
      <c r="I33" s="11" t="s">
        <v>13</v>
      </c>
    </row>
    <row r="34" customFormat="false" ht="15" hidden="false" customHeight="false" outlineLevel="0" collapsed="false">
      <c r="A34" s="11" t="n">
        <v>6116396</v>
      </c>
      <c r="B34" s="11" t="s">
        <v>9</v>
      </c>
      <c r="C34" s="11" t="s">
        <v>557</v>
      </c>
      <c r="D34" s="12" t="n">
        <v>45657</v>
      </c>
      <c r="E34" s="12" t="n">
        <v>45657</v>
      </c>
      <c r="F34" s="11" t="s">
        <v>71</v>
      </c>
      <c r="G34" s="11" t="s">
        <v>33</v>
      </c>
      <c r="H34" s="11" t="n">
        <v>0</v>
      </c>
      <c r="I34" s="11" t="s">
        <v>13</v>
      </c>
    </row>
    <row r="35" customFormat="false" ht="15" hidden="false" customHeight="false" outlineLevel="0" collapsed="false">
      <c r="A35" s="11" t="n">
        <v>6116397</v>
      </c>
      <c r="B35" s="11" t="s">
        <v>9</v>
      </c>
      <c r="C35" s="11" t="s">
        <v>557</v>
      </c>
      <c r="D35" s="12" t="n">
        <v>45657</v>
      </c>
      <c r="E35" s="12" t="n">
        <v>45657</v>
      </c>
      <c r="F35" s="11" t="s">
        <v>72</v>
      </c>
      <c r="G35" s="11" t="s">
        <v>35</v>
      </c>
      <c r="H35" s="11" t="n">
        <v>0</v>
      </c>
      <c r="I35" s="11" t="s">
        <v>13</v>
      </c>
    </row>
    <row r="36" customFormat="false" ht="15" hidden="false" customHeight="false" outlineLevel="0" collapsed="false">
      <c r="A36" s="11" t="n">
        <v>6116398</v>
      </c>
      <c r="B36" s="11" t="s">
        <v>9</v>
      </c>
      <c r="C36" s="11" t="s">
        <v>557</v>
      </c>
      <c r="D36" s="12" t="n">
        <v>45657</v>
      </c>
      <c r="E36" s="12" t="n">
        <v>45657</v>
      </c>
      <c r="F36" s="11" t="s">
        <v>73</v>
      </c>
      <c r="G36" s="11" t="s">
        <v>37</v>
      </c>
      <c r="H36" s="11" t="n">
        <v>0</v>
      </c>
      <c r="I36" s="11" t="s">
        <v>13</v>
      </c>
    </row>
    <row r="37" customFormat="false" ht="15" hidden="false" customHeight="false" outlineLevel="0" collapsed="false">
      <c r="A37" s="11" t="n">
        <v>6116399</v>
      </c>
      <c r="B37" s="11" t="s">
        <v>9</v>
      </c>
      <c r="C37" s="11" t="s">
        <v>557</v>
      </c>
      <c r="D37" s="12" t="n">
        <v>45657</v>
      </c>
      <c r="E37" s="12" t="n">
        <v>45657</v>
      </c>
      <c r="F37" s="11" t="s">
        <v>74</v>
      </c>
      <c r="G37" s="11" t="s">
        <v>39</v>
      </c>
      <c r="H37" s="11" t="n">
        <v>0</v>
      </c>
      <c r="I37" s="11" t="s">
        <v>13</v>
      </c>
    </row>
    <row r="38" customFormat="false" ht="15" hidden="false" customHeight="false" outlineLevel="0" collapsed="false">
      <c r="A38" s="11" t="n">
        <v>6116400</v>
      </c>
      <c r="B38" s="11" t="s">
        <v>9</v>
      </c>
      <c r="C38" s="11" t="s">
        <v>557</v>
      </c>
      <c r="D38" s="12" t="n">
        <v>45657</v>
      </c>
      <c r="E38" s="12" t="n">
        <v>45657</v>
      </c>
      <c r="F38" s="11" t="s">
        <v>75</v>
      </c>
      <c r="G38" s="11" t="s">
        <v>76</v>
      </c>
      <c r="H38" s="11" t="n">
        <v>790229</v>
      </c>
      <c r="I38" s="11" t="s">
        <v>13</v>
      </c>
    </row>
    <row r="39" customFormat="false" ht="15" hidden="false" customHeight="false" outlineLevel="0" collapsed="false">
      <c r="A39" s="11" t="n">
        <v>6116401</v>
      </c>
      <c r="B39" s="11" t="s">
        <v>9</v>
      </c>
      <c r="C39" s="11" t="s">
        <v>557</v>
      </c>
      <c r="D39" s="12" t="n">
        <v>45657</v>
      </c>
      <c r="E39" s="12" t="n">
        <v>45657</v>
      </c>
      <c r="F39" s="11" t="s">
        <v>77</v>
      </c>
      <c r="G39" s="11" t="s">
        <v>78</v>
      </c>
      <c r="H39" s="11" t="n">
        <v>790229</v>
      </c>
      <c r="I39" s="11" t="s">
        <v>13</v>
      </c>
    </row>
    <row r="40" customFormat="false" ht="15" hidden="false" customHeight="false" outlineLevel="0" collapsed="false">
      <c r="A40" s="11" t="n">
        <v>6116402</v>
      </c>
      <c r="B40" s="11" t="s">
        <v>9</v>
      </c>
      <c r="C40" s="11" t="s">
        <v>557</v>
      </c>
      <c r="D40" s="12" t="n">
        <v>45657</v>
      </c>
      <c r="E40" s="12" t="n">
        <v>45657</v>
      </c>
      <c r="F40" s="11" t="s">
        <v>79</v>
      </c>
      <c r="G40" s="11" t="s">
        <v>45</v>
      </c>
      <c r="H40" s="11" t="n">
        <v>0</v>
      </c>
      <c r="I40" s="11" t="s">
        <v>13</v>
      </c>
    </row>
    <row r="41" customFormat="false" ht="15" hidden="false" customHeight="false" outlineLevel="0" collapsed="false">
      <c r="A41" s="11" t="n">
        <v>6116403</v>
      </c>
      <c r="B41" s="11" t="s">
        <v>9</v>
      </c>
      <c r="C41" s="11" t="s">
        <v>557</v>
      </c>
      <c r="D41" s="12" t="n">
        <v>45657</v>
      </c>
      <c r="E41" s="12" t="n">
        <v>45657</v>
      </c>
      <c r="F41" s="11" t="s">
        <v>80</v>
      </c>
      <c r="G41" s="11" t="s">
        <v>81</v>
      </c>
      <c r="H41" s="11" t="n">
        <v>0</v>
      </c>
      <c r="I41" s="11" t="s">
        <v>13</v>
      </c>
    </row>
    <row r="42" customFormat="false" ht="15" hidden="false" customHeight="false" outlineLevel="0" collapsed="false">
      <c r="A42" s="11" t="n">
        <v>6116404</v>
      </c>
      <c r="B42" s="11" t="s">
        <v>9</v>
      </c>
      <c r="C42" s="11" t="s">
        <v>557</v>
      </c>
      <c r="D42" s="12" t="n">
        <v>45657</v>
      </c>
      <c r="E42" s="12" t="n">
        <v>45657</v>
      </c>
      <c r="F42" s="11" t="s">
        <v>82</v>
      </c>
      <c r="G42" s="11" t="s">
        <v>83</v>
      </c>
      <c r="H42" s="11" t="n">
        <v>0</v>
      </c>
      <c r="I42" s="11" t="s">
        <v>13</v>
      </c>
    </row>
    <row r="43" customFormat="false" ht="15" hidden="false" customHeight="false" outlineLevel="0" collapsed="false">
      <c r="A43" s="11" t="n">
        <v>6116405</v>
      </c>
      <c r="B43" s="11" t="s">
        <v>9</v>
      </c>
      <c r="C43" s="11" t="s">
        <v>557</v>
      </c>
      <c r="D43" s="12" t="n">
        <v>45657</v>
      </c>
      <c r="E43" s="12" t="n">
        <v>45657</v>
      </c>
      <c r="F43" s="11" t="s">
        <v>84</v>
      </c>
      <c r="G43" s="11" t="s">
        <v>85</v>
      </c>
      <c r="H43" s="11" t="n">
        <v>0</v>
      </c>
      <c r="I43" s="11" t="s">
        <v>13</v>
      </c>
    </row>
    <row r="44" customFormat="false" ht="15" hidden="false" customHeight="false" outlineLevel="0" collapsed="false">
      <c r="A44" s="11" t="n">
        <v>6116406</v>
      </c>
      <c r="B44" s="11" t="s">
        <v>9</v>
      </c>
      <c r="C44" s="11" t="s">
        <v>557</v>
      </c>
      <c r="D44" s="12" t="n">
        <v>45657</v>
      </c>
      <c r="E44" s="12" t="n">
        <v>45657</v>
      </c>
      <c r="F44" s="11" t="s">
        <v>86</v>
      </c>
      <c r="G44" s="11" t="s">
        <v>87</v>
      </c>
      <c r="H44" s="11" t="n">
        <v>0</v>
      </c>
      <c r="I44" s="11" t="s">
        <v>13</v>
      </c>
    </row>
    <row r="45" customFormat="false" ht="15" hidden="false" customHeight="false" outlineLevel="0" collapsed="false">
      <c r="A45" s="11" t="n">
        <v>6116407</v>
      </c>
      <c r="B45" s="11" t="s">
        <v>9</v>
      </c>
      <c r="C45" s="11" t="s">
        <v>557</v>
      </c>
      <c r="D45" s="12" t="n">
        <v>45657</v>
      </c>
      <c r="E45" s="12" t="n">
        <v>45657</v>
      </c>
      <c r="F45" s="11" t="s">
        <v>88</v>
      </c>
      <c r="G45" s="11" t="s">
        <v>89</v>
      </c>
      <c r="H45" s="11" t="n">
        <v>434705</v>
      </c>
      <c r="I45" s="11" t="s">
        <v>13</v>
      </c>
    </row>
    <row r="46" customFormat="false" ht="15" hidden="false" customHeight="false" outlineLevel="0" collapsed="false">
      <c r="A46" s="11" t="n">
        <v>6116408</v>
      </c>
      <c r="B46" s="11" t="s">
        <v>9</v>
      </c>
      <c r="C46" s="11" t="s">
        <v>557</v>
      </c>
      <c r="D46" s="12" t="n">
        <v>45657</v>
      </c>
      <c r="E46" s="12" t="n">
        <v>45657</v>
      </c>
      <c r="F46" s="11" t="s">
        <v>90</v>
      </c>
      <c r="G46" s="11" t="s">
        <v>49</v>
      </c>
      <c r="H46" s="11" t="n">
        <v>0</v>
      </c>
      <c r="I46" s="11" t="s">
        <v>13</v>
      </c>
    </row>
    <row r="47" customFormat="false" ht="15" hidden="false" customHeight="false" outlineLevel="0" collapsed="false">
      <c r="A47" s="11" t="n">
        <v>6116409</v>
      </c>
      <c r="B47" s="11" t="s">
        <v>9</v>
      </c>
      <c r="C47" s="11" t="s">
        <v>557</v>
      </c>
      <c r="D47" s="12" t="n">
        <v>45657</v>
      </c>
      <c r="E47" s="12" t="n">
        <v>45657</v>
      </c>
      <c r="F47" s="11" t="s">
        <v>91</v>
      </c>
      <c r="G47" s="11" t="s">
        <v>51</v>
      </c>
      <c r="H47" s="11" t="n">
        <v>0</v>
      </c>
      <c r="I47" s="11" t="s">
        <v>13</v>
      </c>
    </row>
    <row r="48" customFormat="false" ht="15" hidden="false" customHeight="false" outlineLevel="0" collapsed="false">
      <c r="A48" s="11" t="n">
        <v>6116410</v>
      </c>
      <c r="B48" s="11" t="s">
        <v>9</v>
      </c>
      <c r="C48" s="11" t="s">
        <v>557</v>
      </c>
      <c r="D48" s="12" t="n">
        <v>45657</v>
      </c>
      <c r="E48" s="12" t="n">
        <v>45657</v>
      </c>
      <c r="F48" s="11" t="s">
        <v>92</v>
      </c>
      <c r="G48" s="11" t="s">
        <v>93</v>
      </c>
      <c r="H48" s="11" t="n">
        <v>0</v>
      </c>
      <c r="I48" s="11" t="s">
        <v>13</v>
      </c>
    </row>
    <row r="49" customFormat="false" ht="15" hidden="false" customHeight="false" outlineLevel="0" collapsed="false">
      <c r="A49" s="11" t="n">
        <v>6116411</v>
      </c>
      <c r="B49" s="11" t="s">
        <v>9</v>
      </c>
      <c r="C49" s="11" t="s">
        <v>557</v>
      </c>
      <c r="D49" s="12" t="n">
        <v>45657</v>
      </c>
      <c r="E49" s="12" t="n">
        <v>45657</v>
      </c>
      <c r="F49" s="11" t="s">
        <v>94</v>
      </c>
      <c r="G49" s="11" t="s">
        <v>95</v>
      </c>
      <c r="H49" s="11" t="n">
        <v>336996</v>
      </c>
      <c r="I49" s="11" t="s">
        <v>13</v>
      </c>
    </row>
    <row r="50" customFormat="false" ht="15" hidden="false" customHeight="false" outlineLevel="0" collapsed="false">
      <c r="A50" s="11" t="n">
        <v>6116412</v>
      </c>
      <c r="B50" s="11" t="s">
        <v>9</v>
      </c>
      <c r="C50" s="11" t="s">
        <v>557</v>
      </c>
      <c r="D50" s="12" t="n">
        <v>45657</v>
      </c>
      <c r="E50" s="12" t="n">
        <v>45657</v>
      </c>
      <c r="F50" s="11" t="s">
        <v>96</v>
      </c>
      <c r="G50" s="11" t="s">
        <v>59</v>
      </c>
      <c r="H50" s="11" t="n">
        <v>97709</v>
      </c>
      <c r="I50" s="11" t="s">
        <v>13</v>
      </c>
    </row>
    <row r="51" customFormat="false" ht="15" hidden="false" customHeight="false" outlineLevel="0" collapsed="false">
      <c r="A51" s="11" t="n">
        <v>6116413</v>
      </c>
      <c r="B51" s="11" t="s">
        <v>9</v>
      </c>
      <c r="C51" s="11" t="s">
        <v>557</v>
      </c>
      <c r="D51" s="12" t="n">
        <v>45657</v>
      </c>
      <c r="E51" s="12" t="n">
        <v>45657</v>
      </c>
      <c r="F51" s="11" t="s">
        <v>97</v>
      </c>
      <c r="G51" s="11" t="s">
        <v>55</v>
      </c>
      <c r="H51" s="11" t="n">
        <v>0</v>
      </c>
      <c r="I51" s="11" t="s">
        <v>13</v>
      </c>
    </row>
    <row r="52" customFormat="false" ht="15" hidden="false" customHeight="false" outlineLevel="0" collapsed="false">
      <c r="A52" s="11" t="n">
        <v>6116414</v>
      </c>
      <c r="B52" s="11" t="s">
        <v>9</v>
      </c>
      <c r="C52" s="11" t="s">
        <v>557</v>
      </c>
      <c r="D52" s="12" t="n">
        <v>45657</v>
      </c>
      <c r="E52" s="12" t="n">
        <v>45657</v>
      </c>
      <c r="F52" s="11" t="s">
        <v>98</v>
      </c>
      <c r="G52" s="11" t="s">
        <v>99</v>
      </c>
      <c r="H52" s="11" t="n">
        <v>56582</v>
      </c>
      <c r="I52" s="11" t="s">
        <v>13</v>
      </c>
    </row>
    <row r="53" customFormat="false" ht="15" hidden="false" customHeight="false" outlineLevel="0" collapsed="false">
      <c r="A53" s="11" t="n">
        <v>6116415</v>
      </c>
      <c r="B53" s="11" t="s">
        <v>9</v>
      </c>
      <c r="C53" s="11" t="s">
        <v>557</v>
      </c>
      <c r="D53" s="12" t="n">
        <v>45657</v>
      </c>
      <c r="E53" s="12" t="n">
        <v>45657</v>
      </c>
      <c r="F53" s="11" t="s">
        <v>100</v>
      </c>
      <c r="G53" s="11" t="s">
        <v>101</v>
      </c>
      <c r="H53" s="11" t="n">
        <v>56582</v>
      </c>
      <c r="I53" s="11" t="s">
        <v>13</v>
      </c>
    </row>
    <row r="54" customFormat="false" ht="15" hidden="false" customHeight="false" outlineLevel="0" collapsed="false">
      <c r="A54" s="11" t="n">
        <v>6116416</v>
      </c>
      <c r="B54" s="11" t="s">
        <v>9</v>
      </c>
      <c r="C54" s="11" t="s">
        <v>557</v>
      </c>
      <c r="D54" s="12" t="n">
        <v>45657</v>
      </c>
      <c r="E54" s="12" t="n">
        <v>45657</v>
      </c>
      <c r="F54" s="11" t="s">
        <v>102</v>
      </c>
      <c r="G54" s="11" t="s">
        <v>103</v>
      </c>
      <c r="H54" s="11" t="n">
        <v>0</v>
      </c>
      <c r="I54" s="11" t="s">
        <v>13</v>
      </c>
    </row>
    <row r="55" customFormat="false" ht="15" hidden="false" customHeight="false" outlineLevel="0" collapsed="false">
      <c r="A55" s="11" t="n">
        <v>6116417</v>
      </c>
      <c r="B55" s="11" t="s">
        <v>9</v>
      </c>
      <c r="C55" s="11" t="s">
        <v>557</v>
      </c>
      <c r="D55" s="12" t="n">
        <v>45657</v>
      </c>
      <c r="E55" s="12" t="n">
        <v>45657</v>
      </c>
      <c r="F55" s="11" t="s">
        <v>104</v>
      </c>
      <c r="G55" s="11" t="s">
        <v>105</v>
      </c>
      <c r="H55" s="11" t="n">
        <v>56582</v>
      </c>
      <c r="I55" s="11" t="s">
        <v>13</v>
      </c>
    </row>
    <row r="56" customFormat="false" ht="15" hidden="false" customHeight="false" outlineLevel="0" collapsed="false">
      <c r="A56" s="11" t="n">
        <v>6116418</v>
      </c>
      <c r="B56" s="11" t="s">
        <v>9</v>
      </c>
      <c r="C56" s="11" t="s">
        <v>557</v>
      </c>
      <c r="D56" s="12" t="n">
        <v>45657</v>
      </c>
      <c r="E56" s="12" t="n">
        <v>45657</v>
      </c>
      <c r="F56" s="11" t="s">
        <v>106</v>
      </c>
      <c r="G56" s="11" t="s">
        <v>107</v>
      </c>
      <c r="H56" s="11" t="n">
        <v>0</v>
      </c>
      <c r="I56" s="11" t="s">
        <v>13</v>
      </c>
    </row>
    <row r="57" customFormat="false" ht="15" hidden="false" customHeight="false" outlineLevel="0" collapsed="false">
      <c r="A57" s="11" t="n">
        <v>6116419</v>
      </c>
      <c r="B57" s="11" t="s">
        <v>9</v>
      </c>
      <c r="C57" s="11" t="s">
        <v>557</v>
      </c>
      <c r="D57" s="12" t="n">
        <v>45657</v>
      </c>
      <c r="E57" s="12" t="n">
        <v>45657</v>
      </c>
      <c r="F57" s="11" t="s">
        <v>108</v>
      </c>
      <c r="G57" s="11" t="s">
        <v>109</v>
      </c>
      <c r="H57" s="11" t="n">
        <v>0</v>
      </c>
      <c r="I57" s="11" t="s">
        <v>13</v>
      </c>
    </row>
    <row r="58" customFormat="false" ht="15" hidden="false" customHeight="false" outlineLevel="0" collapsed="false">
      <c r="A58" s="11" t="n">
        <v>6116420</v>
      </c>
      <c r="B58" s="11" t="s">
        <v>9</v>
      </c>
      <c r="C58" s="11" t="s">
        <v>557</v>
      </c>
      <c r="D58" s="12" t="n">
        <v>45657</v>
      </c>
      <c r="E58" s="12" t="n">
        <v>45657</v>
      </c>
      <c r="F58" s="11" t="s">
        <v>110</v>
      </c>
      <c r="G58" s="11" t="s">
        <v>111</v>
      </c>
      <c r="H58" s="11" t="n">
        <v>5152988</v>
      </c>
      <c r="I58" s="11" t="s">
        <v>13</v>
      </c>
    </row>
    <row r="59" customFormat="false" ht="15" hidden="false" customHeight="false" outlineLevel="0" collapsed="false">
      <c r="A59" s="11" t="n">
        <v>6116421</v>
      </c>
      <c r="B59" s="11" t="s">
        <v>9</v>
      </c>
      <c r="C59" s="11" t="s">
        <v>557</v>
      </c>
      <c r="D59" s="12" t="n">
        <v>45657</v>
      </c>
      <c r="E59" s="12" t="n">
        <v>45657</v>
      </c>
      <c r="F59" s="11" t="s">
        <v>112</v>
      </c>
      <c r="G59" s="11" t="s">
        <v>113</v>
      </c>
      <c r="H59" s="11" t="n">
        <v>2822304</v>
      </c>
      <c r="I59" s="11" t="s">
        <v>13</v>
      </c>
    </row>
    <row r="60" customFormat="false" ht="15" hidden="false" customHeight="false" outlineLevel="0" collapsed="false">
      <c r="A60" s="11" t="n">
        <v>6116422</v>
      </c>
      <c r="B60" s="11" t="s">
        <v>9</v>
      </c>
      <c r="C60" s="11" t="s">
        <v>557</v>
      </c>
      <c r="D60" s="12" t="n">
        <v>45657</v>
      </c>
      <c r="E60" s="12" t="n">
        <v>45657</v>
      </c>
      <c r="F60" s="11" t="s">
        <v>114</v>
      </c>
      <c r="G60" s="11" t="s">
        <v>115</v>
      </c>
      <c r="H60" s="11" t="n">
        <v>2252543</v>
      </c>
      <c r="I60" s="11" t="s">
        <v>13</v>
      </c>
    </row>
    <row r="61" customFormat="false" ht="15" hidden="false" customHeight="false" outlineLevel="0" collapsed="false">
      <c r="A61" s="11" t="n">
        <v>6116423</v>
      </c>
      <c r="B61" s="11" t="s">
        <v>9</v>
      </c>
      <c r="C61" s="11" t="s">
        <v>557</v>
      </c>
      <c r="D61" s="12" t="n">
        <v>45657</v>
      </c>
      <c r="E61" s="12" t="n">
        <v>45657</v>
      </c>
      <c r="F61" s="11" t="s">
        <v>116</v>
      </c>
      <c r="G61" s="11" t="s">
        <v>117</v>
      </c>
      <c r="H61" s="11" t="n">
        <v>78141</v>
      </c>
      <c r="I61" s="11" t="s">
        <v>13</v>
      </c>
    </row>
    <row r="62" customFormat="false" ht="15" hidden="false" customHeight="false" outlineLevel="0" collapsed="false">
      <c r="A62" s="11" t="n">
        <v>6116424</v>
      </c>
      <c r="B62" s="11" t="s">
        <v>9</v>
      </c>
      <c r="C62" s="11" t="s">
        <v>557</v>
      </c>
      <c r="D62" s="12" t="n">
        <v>45657</v>
      </c>
      <c r="E62" s="12" t="n">
        <v>45657</v>
      </c>
      <c r="F62" s="11" t="s">
        <v>118</v>
      </c>
      <c r="G62" s="11" t="s">
        <v>119</v>
      </c>
      <c r="H62" s="11" t="n">
        <v>1613427</v>
      </c>
      <c r="I62" s="11" t="s">
        <v>13</v>
      </c>
    </row>
    <row r="63" customFormat="false" ht="15" hidden="false" customHeight="false" outlineLevel="0" collapsed="false">
      <c r="A63" s="11" t="n">
        <v>6116425</v>
      </c>
      <c r="B63" s="11" t="s">
        <v>9</v>
      </c>
      <c r="C63" s="11" t="s">
        <v>557</v>
      </c>
      <c r="D63" s="12" t="n">
        <v>45657</v>
      </c>
      <c r="E63" s="12" t="n">
        <v>45657</v>
      </c>
      <c r="F63" s="11" t="s">
        <v>120</v>
      </c>
      <c r="G63" s="11" t="s">
        <v>121</v>
      </c>
      <c r="H63" s="11" t="n">
        <v>1454988</v>
      </c>
      <c r="I63" s="11" t="s">
        <v>13</v>
      </c>
    </row>
    <row r="64" customFormat="false" ht="15" hidden="false" customHeight="false" outlineLevel="0" collapsed="false">
      <c r="A64" s="11" t="n">
        <v>6116426</v>
      </c>
      <c r="B64" s="11" t="s">
        <v>9</v>
      </c>
      <c r="C64" s="11" t="s">
        <v>557</v>
      </c>
      <c r="D64" s="12" t="n">
        <v>45657</v>
      </c>
      <c r="E64" s="12" t="n">
        <v>45657</v>
      </c>
      <c r="F64" s="11" t="s">
        <v>122</v>
      </c>
      <c r="G64" s="11" t="s">
        <v>123</v>
      </c>
      <c r="H64" s="11" t="n">
        <v>0</v>
      </c>
      <c r="I64" s="11" t="s">
        <v>13</v>
      </c>
    </row>
    <row r="65" customFormat="false" ht="15" hidden="false" customHeight="false" outlineLevel="0" collapsed="false">
      <c r="A65" s="11" t="n">
        <v>6116427</v>
      </c>
      <c r="B65" s="11" t="s">
        <v>9</v>
      </c>
      <c r="C65" s="11" t="s">
        <v>557</v>
      </c>
      <c r="D65" s="12" t="n">
        <v>45657</v>
      </c>
      <c r="E65" s="12" t="n">
        <v>45657</v>
      </c>
      <c r="F65" s="11" t="s">
        <v>124</v>
      </c>
      <c r="G65" s="11" t="s">
        <v>125</v>
      </c>
      <c r="H65" s="11" t="n">
        <v>1454988</v>
      </c>
      <c r="I65" s="11" t="s">
        <v>13</v>
      </c>
    </row>
    <row r="66" customFormat="false" ht="15" hidden="false" customHeight="false" outlineLevel="0" collapsed="false">
      <c r="A66" s="11" t="n">
        <v>6116428</v>
      </c>
      <c r="B66" s="11" t="s">
        <v>9</v>
      </c>
      <c r="C66" s="11" t="s">
        <v>557</v>
      </c>
      <c r="D66" s="12" t="n">
        <v>45657</v>
      </c>
      <c r="E66" s="12" t="n">
        <v>45657</v>
      </c>
      <c r="F66" s="11" t="s">
        <v>126</v>
      </c>
      <c r="G66" s="11" t="s">
        <v>127</v>
      </c>
      <c r="H66" s="11" t="n">
        <v>0</v>
      </c>
      <c r="I66" s="11" t="s">
        <v>13</v>
      </c>
    </row>
    <row r="67" customFormat="false" ht="15" hidden="false" customHeight="false" outlineLevel="0" collapsed="false">
      <c r="A67" s="11" t="n">
        <v>6116429</v>
      </c>
      <c r="B67" s="11" t="s">
        <v>9</v>
      </c>
      <c r="C67" s="11" t="s">
        <v>557</v>
      </c>
      <c r="D67" s="12" t="n">
        <v>45657</v>
      </c>
      <c r="E67" s="12" t="n">
        <v>45657</v>
      </c>
      <c r="F67" s="11" t="s">
        <v>128</v>
      </c>
      <c r="G67" s="11" t="s">
        <v>129</v>
      </c>
      <c r="H67" s="11" t="n">
        <v>158439</v>
      </c>
      <c r="I67" s="11" t="s">
        <v>13</v>
      </c>
    </row>
    <row r="68" customFormat="false" ht="15" hidden="false" customHeight="false" outlineLevel="0" collapsed="false">
      <c r="A68" s="11" t="n">
        <v>6116430</v>
      </c>
      <c r="B68" s="11" t="s">
        <v>9</v>
      </c>
      <c r="C68" s="11" t="s">
        <v>557</v>
      </c>
      <c r="D68" s="12" t="n">
        <v>45657</v>
      </c>
      <c r="E68" s="12" t="n">
        <v>45657</v>
      </c>
      <c r="F68" s="11" t="s">
        <v>130</v>
      </c>
      <c r="G68" s="11" t="s">
        <v>131</v>
      </c>
      <c r="H68" s="11" t="n">
        <v>20364590</v>
      </c>
      <c r="I68" s="11" t="s">
        <v>13</v>
      </c>
    </row>
    <row r="69" customFormat="false" ht="15" hidden="false" customHeight="false" outlineLevel="0" collapsed="false">
      <c r="A69" s="13" t="n">
        <v>6116431</v>
      </c>
      <c r="B69" s="13" t="s">
        <v>9</v>
      </c>
      <c r="C69" s="13" t="s">
        <v>557</v>
      </c>
      <c r="D69" s="14" t="n">
        <v>45657</v>
      </c>
      <c r="E69" s="14" t="n">
        <v>45657</v>
      </c>
      <c r="F69" s="13" t="s">
        <v>132</v>
      </c>
      <c r="G69" s="13" t="s">
        <v>133</v>
      </c>
      <c r="H69" s="13" t="n">
        <v>7647557</v>
      </c>
      <c r="I69" s="13" t="s">
        <v>13</v>
      </c>
    </row>
    <row r="70" customFormat="false" ht="15" hidden="false" customHeight="false" outlineLevel="0" collapsed="false">
      <c r="A70" s="15" t="n">
        <v>6116432</v>
      </c>
      <c r="B70" s="15" t="s">
        <v>9</v>
      </c>
      <c r="C70" s="15" t="s">
        <v>557</v>
      </c>
      <c r="D70" s="16" t="n">
        <v>45657</v>
      </c>
      <c r="E70" s="16" t="n">
        <v>45657</v>
      </c>
      <c r="F70" s="15" t="s">
        <v>134</v>
      </c>
      <c r="G70" s="15" t="s">
        <v>135</v>
      </c>
      <c r="H70" s="15" t="n">
        <v>488482</v>
      </c>
      <c r="I70" s="15" t="s">
        <v>13</v>
      </c>
    </row>
    <row r="71" customFormat="false" ht="15" hidden="false" customHeight="false" outlineLevel="0" collapsed="false">
      <c r="A71" s="13" t="n">
        <v>6116433</v>
      </c>
      <c r="B71" s="13" t="s">
        <v>9</v>
      </c>
      <c r="C71" s="13" t="s">
        <v>557</v>
      </c>
      <c r="D71" s="14" t="n">
        <v>45657</v>
      </c>
      <c r="E71" s="14" t="n">
        <v>45657</v>
      </c>
      <c r="F71" s="13" t="s">
        <v>136</v>
      </c>
      <c r="G71" s="13" t="s">
        <v>137</v>
      </c>
      <c r="H71" s="13" t="n">
        <v>114362</v>
      </c>
      <c r="I71" s="13" t="s">
        <v>13</v>
      </c>
    </row>
    <row r="72" customFormat="false" ht="15" hidden="false" customHeight="false" outlineLevel="0" collapsed="false">
      <c r="A72" s="13" t="n">
        <v>6116434</v>
      </c>
      <c r="B72" s="13" t="s">
        <v>9</v>
      </c>
      <c r="C72" s="13" t="s">
        <v>557</v>
      </c>
      <c r="D72" s="14" t="n">
        <v>45657</v>
      </c>
      <c r="E72" s="14" t="n">
        <v>45657</v>
      </c>
      <c r="F72" s="13" t="s">
        <v>138</v>
      </c>
      <c r="G72" s="13" t="s">
        <v>139</v>
      </c>
      <c r="H72" s="13" t="n">
        <v>114362</v>
      </c>
      <c r="I72" s="13" t="s">
        <v>13</v>
      </c>
    </row>
    <row r="73" customFormat="false" ht="15" hidden="false" customHeight="false" outlineLevel="0" collapsed="false">
      <c r="A73" s="13" t="n">
        <v>6116435</v>
      </c>
      <c r="B73" s="13" t="s">
        <v>9</v>
      </c>
      <c r="C73" s="13" t="s">
        <v>557</v>
      </c>
      <c r="D73" s="14" t="n">
        <v>45657</v>
      </c>
      <c r="E73" s="14" t="n">
        <v>45657</v>
      </c>
      <c r="F73" s="13" t="s">
        <v>140</v>
      </c>
      <c r="G73" s="13" t="s">
        <v>141</v>
      </c>
      <c r="H73" s="13" t="n">
        <v>374120</v>
      </c>
      <c r="I73" s="13" t="s">
        <v>13</v>
      </c>
    </row>
    <row r="74" customFormat="false" ht="15" hidden="false" customHeight="false" outlineLevel="0" collapsed="false">
      <c r="A74" s="13" t="n">
        <v>6116436</v>
      </c>
      <c r="B74" s="13" t="s">
        <v>9</v>
      </c>
      <c r="C74" s="13" t="s">
        <v>557</v>
      </c>
      <c r="D74" s="14" t="n">
        <v>45657</v>
      </c>
      <c r="E74" s="14" t="n">
        <v>45657</v>
      </c>
      <c r="F74" s="13" t="s">
        <v>142</v>
      </c>
      <c r="G74" s="13" t="s">
        <v>143</v>
      </c>
      <c r="H74" s="13" t="n">
        <v>374120</v>
      </c>
      <c r="I74" s="13" t="s">
        <v>13</v>
      </c>
    </row>
    <row r="75" customFormat="false" ht="15" hidden="false" customHeight="false" outlineLevel="0" collapsed="false">
      <c r="A75" s="15" t="n">
        <v>6116437</v>
      </c>
      <c r="B75" s="15" t="s">
        <v>9</v>
      </c>
      <c r="C75" s="15" t="s">
        <v>557</v>
      </c>
      <c r="D75" s="16" t="n">
        <v>45657</v>
      </c>
      <c r="E75" s="16" t="n">
        <v>45657</v>
      </c>
      <c r="F75" s="15" t="s">
        <v>144</v>
      </c>
      <c r="G75" s="15" t="s">
        <v>145</v>
      </c>
      <c r="H75" s="15" t="n">
        <v>1807312</v>
      </c>
      <c r="I75" s="15" t="s">
        <v>13</v>
      </c>
    </row>
    <row r="76" customFormat="false" ht="15" hidden="false" customHeight="false" outlineLevel="0" collapsed="false">
      <c r="A76" s="13" t="n">
        <v>6116438</v>
      </c>
      <c r="B76" s="13" t="s">
        <v>9</v>
      </c>
      <c r="C76" s="13" t="s">
        <v>557</v>
      </c>
      <c r="D76" s="14" t="n">
        <v>45657</v>
      </c>
      <c r="E76" s="14" t="n">
        <v>45657</v>
      </c>
      <c r="F76" s="13" t="s">
        <v>146</v>
      </c>
      <c r="G76" s="13" t="s">
        <v>147</v>
      </c>
      <c r="H76" s="13" t="n">
        <v>1467106</v>
      </c>
      <c r="I76" s="13" t="s">
        <v>13</v>
      </c>
    </row>
    <row r="77" customFormat="false" ht="15" hidden="false" customHeight="false" outlineLevel="0" collapsed="false">
      <c r="A77" s="13" t="n">
        <v>6116439</v>
      </c>
      <c r="B77" s="13" t="s">
        <v>9</v>
      </c>
      <c r="C77" s="13" t="s">
        <v>557</v>
      </c>
      <c r="D77" s="14" t="n">
        <v>45657</v>
      </c>
      <c r="E77" s="14" t="n">
        <v>45657</v>
      </c>
      <c r="F77" s="13" t="s">
        <v>148</v>
      </c>
      <c r="G77" s="13" t="s">
        <v>147</v>
      </c>
      <c r="H77" s="13" t="n">
        <v>1467106</v>
      </c>
      <c r="I77" s="13" t="s">
        <v>13</v>
      </c>
    </row>
    <row r="78" customFormat="false" ht="15" hidden="false" customHeight="false" outlineLevel="0" collapsed="false">
      <c r="A78" s="13" t="n">
        <v>6116440</v>
      </c>
      <c r="B78" s="13" t="s">
        <v>9</v>
      </c>
      <c r="C78" s="13" t="s">
        <v>557</v>
      </c>
      <c r="D78" s="14" t="n">
        <v>45657</v>
      </c>
      <c r="E78" s="14" t="n">
        <v>45657</v>
      </c>
      <c r="F78" s="13" t="s">
        <v>149</v>
      </c>
      <c r="G78" s="13" t="s">
        <v>150</v>
      </c>
      <c r="H78" s="13" t="n">
        <v>0</v>
      </c>
      <c r="I78" s="13" t="s">
        <v>13</v>
      </c>
    </row>
    <row r="79" customFormat="false" ht="15" hidden="false" customHeight="false" outlineLevel="0" collapsed="false">
      <c r="A79" s="13" t="n">
        <v>6116441</v>
      </c>
      <c r="B79" s="13" t="s">
        <v>9</v>
      </c>
      <c r="C79" s="13" t="s">
        <v>557</v>
      </c>
      <c r="D79" s="14" t="n">
        <v>45657</v>
      </c>
      <c r="E79" s="14" t="n">
        <v>45657</v>
      </c>
      <c r="F79" s="13" t="s">
        <v>151</v>
      </c>
      <c r="G79" s="13" t="s">
        <v>152</v>
      </c>
      <c r="H79" s="13" t="n">
        <v>340206</v>
      </c>
      <c r="I79" s="13" t="s">
        <v>13</v>
      </c>
    </row>
    <row r="80" customFormat="false" ht="15" hidden="false" customHeight="false" outlineLevel="0" collapsed="false">
      <c r="A80" s="13" t="n">
        <v>6116442</v>
      </c>
      <c r="B80" s="13" t="s">
        <v>9</v>
      </c>
      <c r="C80" s="13" t="s">
        <v>557</v>
      </c>
      <c r="D80" s="14" t="n">
        <v>45657</v>
      </c>
      <c r="E80" s="14" t="n">
        <v>45657</v>
      </c>
      <c r="F80" s="13" t="s">
        <v>153</v>
      </c>
      <c r="G80" s="13" t="s">
        <v>154</v>
      </c>
      <c r="H80" s="13" t="n">
        <v>545283</v>
      </c>
      <c r="I80" s="13" t="s">
        <v>13</v>
      </c>
    </row>
    <row r="81" customFormat="false" ht="15" hidden="false" customHeight="false" outlineLevel="0" collapsed="false">
      <c r="A81" s="17" t="n">
        <v>6116443</v>
      </c>
      <c r="B81" s="17" t="s">
        <v>9</v>
      </c>
      <c r="C81" s="17" t="s">
        <v>557</v>
      </c>
      <c r="D81" s="18" t="n">
        <v>45657</v>
      </c>
      <c r="E81" s="18" t="n">
        <v>45657</v>
      </c>
      <c r="F81" s="17" t="s">
        <v>155</v>
      </c>
      <c r="G81" s="17" t="s">
        <v>156</v>
      </c>
      <c r="H81" s="17" t="n">
        <v>235421</v>
      </c>
      <c r="I81" s="17" t="s">
        <v>13</v>
      </c>
    </row>
    <row r="82" customFormat="false" ht="15" hidden="false" customHeight="false" outlineLevel="0" collapsed="false">
      <c r="A82" s="13" t="n">
        <v>6116444</v>
      </c>
      <c r="B82" s="13" t="s">
        <v>9</v>
      </c>
      <c r="C82" s="13" t="s">
        <v>557</v>
      </c>
      <c r="D82" s="14" t="n">
        <v>45657</v>
      </c>
      <c r="E82" s="14" t="n">
        <v>45657</v>
      </c>
      <c r="F82" s="13" t="s">
        <v>157</v>
      </c>
      <c r="G82" s="13" t="s">
        <v>158</v>
      </c>
      <c r="H82" s="13" t="n">
        <v>85207</v>
      </c>
      <c r="I82" s="13" t="s">
        <v>13</v>
      </c>
    </row>
    <row r="83" customFormat="false" ht="15" hidden="false" customHeight="false" outlineLevel="0" collapsed="false">
      <c r="A83" s="13" t="n">
        <v>6116445</v>
      </c>
      <c r="B83" s="13" t="s">
        <v>9</v>
      </c>
      <c r="C83" s="13" t="s">
        <v>557</v>
      </c>
      <c r="D83" s="14" t="n">
        <v>45657</v>
      </c>
      <c r="E83" s="14" t="n">
        <v>45657</v>
      </c>
      <c r="F83" s="13" t="s">
        <v>159</v>
      </c>
      <c r="G83" s="13" t="s">
        <v>160</v>
      </c>
      <c r="H83" s="13" t="n">
        <v>150214</v>
      </c>
      <c r="I83" s="13" t="s">
        <v>13</v>
      </c>
    </row>
    <row r="84" customFormat="false" ht="15" hidden="false" customHeight="false" outlineLevel="0" collapsed="false">
      <c r="A84" s="15" t="n">
        <v>6116446</v>
      </c>
      <c r="B84" s="15" t="s">
        <v>9</v>
      </c>
      <c r="C84" s="15" t="s">
        <v>557</v>
      </c>
      <c r="D84" s="16" t="n">
        <v>45657</v>
      </c>
      <c r="E84" s="16" t="n">
        <v>45657</v>
      </c>
      <c r="F84" s="15" t="s">
        <v>161</v>
      </c>
      <c r="G84" s="15" t="s">
        <v>162</v>
      </c>
      <c r="H84" s="15" t="n">
        <v>303334</v>
      </c>
      <c r="I84" s="15" t="s">
        <v>13</v>
      </c>
    </row>
    <row r="85" customFormat="false" ht="15" hidden="false" customHeight="false" outlineLevel="0" collapsed="false">
      <c r="A85" s="15" t="n">
        <v>6116447</v>
      </c>
      <c r="B85" s="15" t="s">
        <v>9</v>
      </c>
      <c r="C85" s="15" t="s">
        <v>557</v>
      </c>
      <c r="D85" s="16" t="n">
        <v>45657</v>
      </c>
      <c r="E85" s="16" t="n">
        <v>45657</v>
      </c>
      <c r="F85" s="15" t="s">
        <v>163</v>
      </c>
      <c r="G85" s="15" t="s">
        <v>164</v>
      </c>
      <c r="H85" s="15" t="n">
        <v>6528</v>
      </c>
      <c r="I85" s="15" t="s">
        <v>13</v>
      </c>
    </row>
    <row r="86" customFormat="false" ht="15" hidden="false" customHeight="false" outlineLevel="0" collapsed="false">
      <c r="A86" s="17" t="n">
        <v>6116448</v>
      </c>
      <c r="B86" s="17" t="s">
        <v>9</v>
      </c>
      <c r="C86" s="17" t="s">
        <v>557</v>
      </c>
      <c r="D86" s="18" t="n">
        <v>45657</v>
      </c>
      <c r="E86" s="18" t="n">
        <v>45657</v>
      </c>
      <c r="F86" s="17" t="s">
        <v>165</v>
      </c>
      <c r="G86" s="17" t="s">
        <v>166</v>
      </c>
      <c r="H86" s="17" t="n">
        <v>931760</v>
      </c>
      <c r="I86" s="17" t="s">
        <v>13</v>
      </c>
    </row>
    <row r="87" customFormat="false" ht="15" hidden="false" customHeight="false" outlineLevel="0" collapsed="false">
      <c r="A87" s="13" t="n">
        <v>6116449</v>
      </c>
      <c r="B87" s="13" t="s">
        <v>9</v>
      </c>
      <c r="C87" s="13" t="s">
        <v>557</v>
      </c>
      <c r="D87" s="14" t="n">
        <v>45657</v>
      </c>
      <c r="E87" s="14" t="n">
        <v>45657</v>
      </c>
      <c r="F87" s="13" t="s">
        <v>167</v>
      </c>
      <c r="G87" s="13" t="s">
        <v>166</v>
      </c>
      <c r="H87" s="13" t="n">
        <v>409320</v>
      </c>
      <c r="I87" s="13" t="s">
        <v>13</v>
      </c>
    </row>
    <row r="88" customFormat="false" ht="15" hidden="false" customHeight="false" outlineLevel="0" collapsed="false">
      <c r="A88" s="13" t="n">
        <v>6116450</v>
      </c>
      <c r="B88" s="13" t="s">
        <v>9</v>
      </c>
      <c r="C88" s="13" t="s">
        <v>557</v>
      </c>
      <c r="D88" s="14" t="n">
        <v>45657</v>
      </c>
      <c r="E88" s="14" t="n">
        <v>45657</v>
      </c>
      <c r="F88" s="13" t="s">
        <v>168</v>
      </c>
      <c r="G88" s="13" t="s">
        <v>169</v>
      </c>
      <c r="H88" s="13" t="n">
        <v>409320</v>
      </c>
      <c r="I88" s="13" t="s">
        <v>13</v>
      </c>
    </row>
    <row r="89" customFormat="false" ht="15" hidden="false" customHeight="false" outlineLevel="0" collapsed="false">
      <c r="A89" s="13" t="n">
        <v>6116451</v>
      </c>
      <c r="B89" s="13" t="s">
        <v>9</v>
      </c>
      <c r="C89" s="13" t="s">
        <v>557</v>
      </c>
      <c r="D89" s="14" t="n">
        <v>45657</v>
      </c>
      <c r="E89" s="14" t="n">
        <v>45657</v>
      </c>
      <c r="F89" s="13" t="s">
        <v>170</v>
      </c>
      <c r="G89" s="13" t="s">
        <v>171</v>
      </c>
      <c r="H89" s="13" t="n">
        <v>0</v>
      </c>
      <c r="I89" s="13" t="s">
        <v>13</v>
      </c>
    </row>
    <row r="90" customFormat="false" ht="15" hidden="false" customHeight="false" outlineLevel="0" collapsed="false">
      <c r="A90" s="13" t="n">
        <v>6116452</v>
      </c>
      <c r="B90" s="13" t="s">
        <v>9</v>
      </c>
      <c r="C90" s="13" t="s">
        <v>557</v>
      </c>
      <c r="D90" s="14" t="n">
        <v>45657</v>
      </c>
      <c r="E90" s="14" t="n">
        <v>45657</v>
      </c>
      <c r="F90" s="13" t="s">
        <v>172</v>
      </c>
      <c r="G90" s="13" t="s">
        <v>173</v>
      </c>
      <c r="H90" s="13" t="n">
        <v>522440</v>
      </c>
      <c r="I90" s="13" t="s">
        <v>13</v>
      </c>
    </row>
    <row r="91" customFormat="false" ht="15" hidden="false" customHeight="false" outlineLevel="0" collapsed="false">
      <c r="A91" s="13" t="n">
        <v>6116453</v>
      </c>
      <c r="B91" s="13" t="s">
        <v>9</v>
      </c>
      <c r="C91" s="13" t="s">
        <v>557</v>
      </c>
      <c r="D91" s="14" t="n">
        <v>45657</v>
      </c>
      <c r="E91" s="14" t="n">
        <v>45657</v>
      </c>
      <c r="F91" s="13" t="s">
        <v>174</v>
      </c>
      <c r="G91" s="13" t="s">
        <v>175</v>
      </c>
      <c r="H91" s="13" t="n">
        <v>0</v>
      </c>
      <c r="I91" s="13" t="s">
        <v>13</v>
      </c>
    </row>
    <row r="92" customFormat="false" ht="15" hidden="false" customHeight="false" outlineLevel="0" collapsed="false">
      <c r="A92" s="13" t="n">
        <v>6116454</v>
      </c>
      <c r="B92" s="13" t="s">
        <v>9</v>
      </c>
      <c r="C92" s="13" t="s">
        <v>557</v>
      </c>
      <c r="D92" s="14" t="n">
        <v>45657</v>
      </c>
      <c r="E92" s="14" t="n">
        <v>45657</v>
      </c>
      <c r="F92" s="13" t="s">
        <v>176</v>
      </c>
      <c r="G92" s="13" t="s">
        <v>177</v>
      </c>
      <c r="H92" s="13" t="n">
        <v>3784683</v>
      </c>
      <c r="I92" s="13" t="s">
        <v>13</v>
      </c>
    </row>
    <row r="93" customFormat="false" ht="15" hidden="false" customHeight="false" outlineLevel="0" collapsed="false">
      <c r="A93" s="13" t="n">
        <v>6116455</v>
      </c>
      <c r="B93" s="13" t="s">
        <v>9</v>
      </c>
      <c r="C93" s="13" t="s">
        <v>557</v>
      </c>
      <c r="D93" s="14" t="n">
        <v>45657</v>
      </c>
      <c r="E93" s="14" t="n">
        <v>45657</v>
      </c>
      <c r="F93" s="13" t="s">
        <v>178</v>
      </c>
      <c r="G93" s="13" t="s">
        <v>179</v>
      </c>
      <c r="H93" s="13" t="n">
        <v>0</v>
      </c>
      <c r="I93" s="13" t="s">
        <v>13</v>
      </c>
    </row>
    <row r="94" customFormat="false" ht="15" hidden="false" customHeight="false" outlineLevel="0" collapsed="false">
      <c r="A94" s="13" t="n">
        <v>6116456</v>
      </c>
      <c r="B94" s="13" t="s">
        <v>9</v>
      </c>
      <c r="C94" s="13" t="s">
        <v>557</v>
      </c>
      <c r="D94" s="14" t="n">
        <v>45657</v>
      </c>
      <c r="E94" s="14" t="n">
        <v>45657</v>
      </c>
      <c r="F94" s="13" t="s">
        <v>180</v>
      </c>
      <c r="G94" s="13" t="s">
        <v>181</v>
      </c>
      <c r="H94" s="13" t="n">
        <v>0</v>
      </c>
      <c r="I94" s="13" t="s">
        <v>13</v>
      </c>
    </row>
    <row r="95" customFormat="false" ht="15" hidden="false" customHeight="false" outlineLevel="0" collapsed="false">
      <c r="A95" s="13" t="n">
        <v>6116457</v>
      </c>
      <c r="B95" s="13" t="s">
        <v>9</v>
      </c>
      <c r="C95" s="13" t="s">
        <v>557</v>
      </c>
      <c r="D95" s="14" t="n">
        <v>45657</v>
      </c>
      <c r="E95" s="14" t="n">
        <v>45657</v>
      </c>
      <c r="F95" s="13" t="s">
        <v>182</v>
      </c>
      <c r="G95" s="13" t="s">
        <v>183</v>
      </c>
      <c r="H95" s="13" t="n">
        <v>0</v>
      </c>
      <c r="I95" s="13" t="s">
        <v>13</v>
      </c>
    </row>
    <row r="96" customFormat="false" ht="15" hidden="false" customHeight="false" outlineLevel="0" collapsed="false">
      <c r="A96" s="13" t="n">
        <v>6116458</v>
      </c>
      <c r="B96" s="13" t="s">
        <v>9</v>
      </c>
      <c r="C96" s="13" t="s">
        <v>557</v>
      </c>
      <c r="D96" s="14" t="n">
        <v>45657</v>
      </c>
      <c r="E96" s="14" t="n">
        <v>45657</v>
      </c>
      <c r="F96" s="13" t="s">
        <v>184</v>
      </c>
      <c r="G96" s="13" t="s">
        <v>185</v>
      </c>
      <c r="H96" s="13" t="n">
        <v>0</v>
      </c>
      <c r="I96" s="13" t="s">
        <v>13</v>
      </c>
    </row>
    <row r="97" customFormat="false" ht="15" hidden="false" customHeight="false" outlineLevel="0" collapsed="false">
      <c r="A97" s="13" t="n">
        <v>6116459</v>
      </c>
      <c r="B97" s="13" t="s">
        <v>9</v>
      </c>
      <c r="C97" s="13" t="s">
        <v>557</v>
      </c>
      <c r="D97" s="14" t="n">
        <v>45657</v>
      </c>
      <c r="E97" s="14" t="n">
        <v>45657</v>
      </c>
      <c r="F97" s="13" t="s">
        <v>186</v>
      </c>
      <c r="G97" s="13" t="s">
        <v>53</v>
      </c>
      <c r="H97" s="13" t="n">
        <v>3784683</v>
      </c>
      <c r="I97" s="13" t="s">
        <v>13</v>
      </c>
    </row>
    <row r="98" customFormat="false" ht="15" hidden="false" customHeight="false" outlineLevel="0" collapsed="false">
      <c r="A98" s="17" t="n">
        <v>6116460</v>
      </c>
      <c r="B98" s="17" t="s">
        <v>9</v>
      </c>
      <c r="C98" s="17" t="s">
        <v>557</v>
      </c>
      <c r="D98" s="18" t="n">
        <v>45657</v>
      </c>
      <c r="E98" s="18" t="n">
        <v>45657</v>
      </c>
      <c r="F98" s="17" t="s">
        <v>187</v>
      </c>
      <c r="G98" s="17" t="s">
        <v>188</v>
      </c>
      <c r="H98" s="17" t="n">
        <v>170509</v>
      </c>
      <c r="I98" s="17" t="s">
        <v>13</v>
      </c>
    </row>
    <row r="99" customFormat="false" ht="15" hidden="false" customHeight="false" outlineLevel="0" collapsed="false">
      <c r="A99" s="13" t="n">
        <v>6116461</v>
      </c>
      <c r="B99" s="13" t="s">
        <v>9</v>
      </c>
      <c r="C99" s="13" t="s">
        <v>557</v>
      </c>
      <c r="D99" s="14" t="n">
        <v>45657</v>
      </c>
      <c r="E99" s="14" t="n">
        <v>45657</v>
      </c>
      <c r="F99" s="13" t="s">
        <v>189</v>
      </c>
      <c r="G99" s="13" t="s">
        <v>190</v>
      </c>
      <c r="H99" s="13" t="n">
        <v>0</v>
      </c>
      <c r="I99" s="13" t="s">
        <v>13</v>
      </c>
    </row>
    <row r="100" customFormat="false" ht="15" hidden="false" customHeight="false" outlineLevel="0" collapsed="false">
      <c r="A100" s="13" t="n">
        <v>6116462</v>
      </c>
      <c r="B100" s="13" t="s">
        <v>9</v>
      </c>
      <c r="C100" s="13" t="s">
        <v>557</v>
      </c>
      <c r="D100" s="14" t="n">
        <v>45657</v>
      </c>
      <c r="E100" s="14" t="n">
        <v>45657</v>
      </c>
      <c r="F100" s="13" t="s">
        <v>191</v>
      </c>
      <c r="G100" s="13" t="s">
        <v>192</v>
      </c>
      <c r="H100" s="13" t="n">
        <v>0</v>
      </c>
      <c r="I100" s="13" t="s">
        <v>13</v>
      </c>
    </row>
    <row r="101" customFormat="false" ht="15" hidden="false" customHeight="false" outlineLevel="0" collapsed="false">
      <c r="A101" s="13" t="n">
        <v>6116463</v>
      </c>
      <c r="B101" s="13" t="s">
        <v>9</v>
      </c>
      <c r="C101" s="13" t="s">
        <v>557</v>
      </c>
      <c r="D101" s="14" t="n">
        <v>45657</v>
      </c>
      <c r="E101" s="14" t="n">
        <v>45657</v>
      </c>
      <c r="F101" s="13" t="s">
        <v>193</v>
      </c>
      <c r="G101" s="13" t="s">
        <v>194</v>
      </c>
      <c r="H101" s="13" t="n">
        <v>0</v>
      </c>
      <c r="I101" s="13" t="s">
        <v>13</v>
      </c>
    </row>
    <row r="102" customFormat="false" ht="15" hidden="false" customHeight="false" outlineLevel="0" collapsed="false">
      <c r="A102" s="15" t="n">
        <v>6116464</v>
      </c>
      <c r="B102" s="15" t="s">
        <v>9</v>
      </c>
      <c r="C102" s="15" t="s">
        <v>557</v>
      </c>
      <c r="D102" s="16" t="n">
        <v>45657</v>
      </c>
      <c r="E102" s="16" t="n">
        <v>45657</v>
      </c>
      <c r="F102" s="15" t="s">
        <v>195</v>
      </c>
      <c r="G102" s="15" t="s">
        <v>196</v>
      </c>
      <c r="H102" s="15" t="n">
        <v>220066</v>
      </c>
      <c r="I102" s="15" t="s">
        <v>13</v>
      </c>
    </row>
    <row r="103" customFormat="false" ht="15" hidden="false" customHeight="false" outlineLevel="0" collapsed="false">
      <c r="A103" s="17" t="n">
        <v>6116465</v>
      </c>
      <c r="B103" s="17" t="s">
        <v>9</v>
      </c>
      <c r="C103" s="17" t="s">
        <v>557</v>
      </c>
      <c r="D103" s="18" t="n">
        <v>45657</v>
      </c>
      <c r="E103" s="18" t="n">
        <v>45657</v>
      </c>
      <c r="F103" s="17" t="s">
        <v>197</v>
      </c>
      <c r="G103" s="17" t="s">
        <v>198</v>
      </c>
      <c r="H103" s="17" t="n">
        <v>41</v>
      </c>
      <c r="I103" s="17" t="s">
        <v>13</v>
      </c>
    </row>
    <row r="104" customFormat="false" ht="15" hidden="false" customHeight="false" outlineLevel="0" collapsed="false">
      <c r="A104" s="17" t="n">
        <v>6116466</v>
      </c>
      <c r="B104" s="17" t="s">
        <v>9</v>
      </c>
      <c r="C104" s="17" t="s">
        <v>557</v>
      </c>
      <c r="D104" s="18" t="n">
        <v>45657</v>
      </c>
      <c r="E104" s="18" t="n">
        <v>45657</v>
      </c>
      <c r="F104" s="17" t="s">
        <v>199</v>
      </c>
      <c r="G104" s="17" t="s">
        <v>200</v>
      </c>
      <c r="H104" s="17" t="n">
        <v>2610217</v>
      </c>
      <c r="I104" s="17" t="s">
        <v>13</v>
      </c>
    </row>
    <row r="105" customFormat="false" ht="15" hidden="false" customHeight="false" outlineLevel="0" collapsed="false">
      <c r="A105" s="13" t="n">
        <v>6116467</v>
      </c>
      <c r="B105" s="13" t="s">
        <v>9</v>
      </c>
      <c r="C105" s="13" t="s">
        <v>557</v>
      </c>
      <c r="D105" s="14" t="n">
        <v>45657</v>
      </c>
      <c r="E105" s="14" t="n">
        <v>45657</v>
      </c>
      <c r="F105" s="13" t="s">
        <v>201</v>
      </c>
      <c r="G105" s="13" t="s">
        <v>57</v>
      </c>
      <c r="H105" s="13" t="n">
        <v>0</v>
      </c>
      <c r="I105" s="13" t="s">
        <v>13</v>
      </c>
    </row>
    <row r="106" customFormat="false" ht="15" hidden="false" customHeight="false" outlineLevel="0" collapsed="false">
      <c r="A106" s="15" t="n">
        <v>6116468</v>
      </c>
      <c r="B106" s="15" t="s">
        <v>9</v>
      </c>
      <c r="C106" s="15" t="s">
        <v>557</v>
      </c>
      <c r="D106" s="16" t="n">
        <v>45657</v>
      </c>
      <c r="E106" s="16" t="n">
        <v>45657</v>
      </c>
      <c r="F106" s="15" t="s">
        <v>202</v>
      </c>
      <c r="G106" s="15" t="s">
        <v>203</v>
      </c>
      <c r="H106" s="15" t="n">
        <v>783850</v>
      </c>
      <c r="I106" s="15" t="s">
        <v>13</v>
      </c>
    </row>
    <row r="107" customFormat="false" ht="15" hidden="false" customHeight="false" outlineLevel="0" collapsed="false">
      <c r="A107" s="15" t="n">
        <v>6116469</v>
      </c>
      <c r="B107" s="15" t="s">
        <v>9</v>
      </c>
      <c r="C107" s="15" t="s">
        <v>557</v>
      </c>
      <c r="D107" s="16" t="n">
        <v>45657</v>
      </c>
      <c r="E107" s="16" t="n">
        <v>45657</v>
      </c>
      <c r="F107" s="15" t="s">
        <v>204</v>
      </c>
      <c r="G107" s="15" t="s">
        <v>205</v>
      </c>
      <c r="H107" s="15" t="n">
        <v>90037</v>
      </c>
      <c r="I107" s="15" t="s">
        <v>13</v>
      </c>
    </row>
    <row r="108" customFormat="false" ht="15" hidden="false" customHeight="false" outlineLevel="0" collapsed="false">
      <c r="A108" s="13" t="n">
        <v>6116470</v>
      </c>
      <c r="B108" s="13" t="s">
        <v>9</v>
      </c>
      <c r="C108" s="13" t="s">
        <v>557</v>
      </c>
      <c r="D108" s="14" t="n">
        <v>45657</v>
      </c>
      <c r="E108" s="14" t="n">
        <v>45657</v>
      </c>
      <c r="F108" s="13" t="s">
        <v>206</v>
      </c>
      <c r="G108" s="13" t="s">
        <v>207</v>
      </c>
      <c r="H108" s="13" t="n">
        <v>90037</v>
      </c>
      <c r="I108" s="13" t="s">
        <v>13</v>
      </c>
    </row>
    <row r="109" customFormat="false" ht="15" hidden="false" customHeight="false" outlineLevel="0" collapsed="false">
      <c r="A109" s="13" t="n">
        <v>6116471</v>
      </c>
      <c r="B109" s="13" t="s">
        <v>9</v>
      </c>
      <c r="C109" s="13" t="s">
        <v>557</v>
      </c>
      <c r="D109" s="14" t="n">
        <v>45657</v>
      </c>
      <c r="E109" s="14" t="n">
        <v>45657</v>
      </c>
      <c r="F109" s="13" t="s">
        <v>208</v>
      </c>
      <c r="G109" s="13" t="s">
        <v>209</v>
      </c>
      <c r="H109" s="13" t="n">
        <v>0</v>
      </c>
      <c r="I109" s="13" t="s">
        <v>13</v>
      </c>
    </row>
    <row r="110" customFormat="false" ht="15" hidden="false" customHeight="false" outlineLevel="0" collapsed="false">
      <c r="A110" s="13" t="n">
        <v>6116472</v>
      </c>
      <c r="B110" s="13" t="s">
        <v>9</v>
      </c>
      <c r="C110" s="13" t="s">
        <v>557</v>
      </c>
      <c r="D110" s="14" t="n">
        <v>45657</v>
      </c>
      <c r="E110" s="14" t="n">
        <v>45657</v>
      </c>
      <c r="F110" s="13" t="s">
        <v>210</v>
      </c>
      <c r="G110" s="13" t="s">
        <v>211</v>
      </c>
      <c r="H110" s="13" t="n">
        <v>0</v>
      </c>
      <c r="I110" s="13" t="s">
        <v>13</v>
      </c>
    </row>
    <row r="111" customFormat="false" ht="15" hidden="false" customHeight="false" outlineLevel="0" collapsed="false">
      <c r="A111" s="13" t="n">
        <v>6116473</v>
      </c>
      <c r="B111" s="13" t="s">
        <v>9</v>
      </c>
      <c r="C111" s="13" t="s">
        <v>557</v>
      </c>
      <c r="D111" s="14" t="n">
        <v>45657</v>
      </c>
      <c r="E111" s="14" t="n">
        <v>45657</v>
      </c>
      <c r="F111" s="13" t="s">
        <v>212</v>
      </c>
      <c r="G111" s="13" t="s">
        <v>213</v>
      </c>
      <c r="H111" s="13" t="n">
        <v>0</v>
      </c>
      <c r="I111" s="13" t="s">
        <v>13</v>
      </c>
    </row>
    <row r="112" customFormat="false" ht="15" hidden="false" customHeight="false" outlineLevel="0" collapsed="false">
      <c r="A112" s="13" t="n">
        <v>6116474</v>
      </c>
      <c r="B112" s="13" t="s">
        <v>9</v>
      </c>
      <c r="C112" s="13" t="s">
        <v>557</v>
      </c>
      <c r="D112" s="14" t="n">
        <v>45657</v>
      </c>
      <c r="E112" s="14" t="n">
        <v>45657</v>
      </c>
      <c r="F112" s="13" t="s">
        <v>214</v>
      </c>
      <c r="G112" s="13" t="s">
        <v>215</v>
      </c>
      <c r="H112" s="13" t="n">
        <v>26045</v>
      </c>
      <c r="I112" s="13" t="s">
        <v>13</v>
      </c>
    </row>
    <row r="113" customFormat="false" ht="15" hidden="false" customHeight="false" outlineLevel="0" collapsed="false">
      <c r="A113" s="13" t="n">
        <v>6116475</v>
      </c>
      <c r="B113" s="13" t="s">
        <v>9</v>
      </c>
      <c r="C113" s="13" t="s">
        <v>557</v>
      </c>
      <c r="D113" s="14" t="n">
        <v>45657</v>
      </c>
      <c r="E113" s="14" t="n">
        <v>45657</v>
      </c>
      <c r="F113" s="13" t="s">
        <v>216</v>
      </c>
      <c r="G113" s="13" t="s">
        <v>217</v>
      </c>
      <c r="H113" s="13" t="n">
        <v>63992</v>
      </c>
      <c r="I113" s="13" t="s">
        <v>13</v>
      </c>
    </row>
    <row r="114" customFormat="false" ht="15" hidden="false" customHeight="false" outlineLevel="0" collapsed="false">
      <c r="A114" s="13" t="n">
        <v>6116476</v>
      </c>
      <c r="B114" s="13" t="s">
        <v>9</v>
      </c>
      <c r="C114" s="13" t="s">
        <v>557</v>
      </c>
      <c r="D114" s="14" t="n">
        <v>45657</v>
      </c>
      <c r="E114" s="14" t="n">
        <v>45657</v>
      </c>
      <c r="F114" s="13" t="s">
        <v>218</v>
      </c>
      <c r="G114" s="13" t="s">
        <v>219</v>
      </c>
      <c r="H114" s="13" t="n">
        <v>0</v>
      </c>
      <c r="I114" s="13" t="s">
        <v>13</v>
      </c>
    </row>
    <row r="115" customFormat="false" ht="15" hidden="false" customHeight="false" outlineLevel="0" collapsed="false">
      <c r="A115" s="13" t="n">
        <v>6116477</v>
      </c>
      <c r="B115" s="13" t="s">
        <v>9</v>
      </c>
      <c r="C115" s="13" t="s">
        <v>557</v>
      </c>
      <c r="D115" s="14" t="n">
        <v>45657</v>
      </c>
      <c r="E115" s="14" t="n">
        <v>45657</v>
      </c>
      <c r="F115" s="13" t="s">
        <v>220</v>
      </c>
      <c r="G115" s="13" t="s">
        <v>221</v>
      </c>
      <c r="H115" s="13" t="n">
        <v>0</v>
      </c>
      <c r="I115" s="13" t="s">
        <v>13</v>
      </c>
    </row>
    <row r="116" customFormat="false" ht="15" hidden="false" customHeight="false" outlineLevel="0" collapsed="false">
      <c r="A116" s="13" t="n">
        <v>6116478</v>
      </c>
      <c r="B116" s="13" t="s">
        <v>9</v>
      </c>
      <c r="C116" s="13" t="s">
        <v>557</v>
      </c>
      <c r="D116" s="14" t="n">
        <v>45657</v>
      </c>
      <c r="E116" s="14" t="n">
        <v>45657</v>
      </c>
      <c r="F116" s="13" t="s">
        <v>222</v>
      </c>
      <c r="G116" s="13" t="s">
        <v>223</v>
      </c>
      <c r="H116" s="13" t="n">
        <v>0</v>
      </c>
      <c r="I116" s="13" t="s">
        <v>13</v>
      </c>
    </row>
    <row r="117" customFormat="false" ht="15" hidden="false" customHeight="false" outlineLevel="0" collapsed="false">
      <c r="A117" s="13" t="n">
        <v>6116479</v>
      </c>
      <c r="B117" s="13" t="s">
        <v>9</v>
      </c>
      <c r="C117" s="13" t="s">
        <v>557</v>
      </c>
      <c r="D117" s="14" t="n">
        <v>45657</v>
      </c>
      <c r="E117" s="14" t="n">
        <v>45657</v>
      </c>
      <c r="F117" s="13" t="s">
        <v>224</v>
      </c>
      <c r="G117" s="13" t="s">
        <v>225</v>
      </c>
      <c r="H117" s="13" t="n">
        <v>0</v>
      </c>
      <c r="I117" s="13" t="s">
        <v>13</v>
      </c>
    </row>
    <row r="118" customFormat="false" ht="15" hidden="false" customHeight="false" outlineLevel="0" collapsed="false">
      <c r="A118" s="13" t="n">
        <v>6116480</v>
      </c>
      <c r="B118" s="13" t="s">
        <v>9</v>
      </c>
      <c r="C118" s="13" t="s">
        <v>557</v>
      </c>
      <c r="D118" s="14" t="n">
        <v>45657</v>
      </c>
      <c r="E118" s="14" t="n">
        <v>45657</v>
      </c>
      <c r="F118" s="13" t="s">
        <v>226</v>
      </c>
      <c r="G118" s="13" t="s">
        <v>227</v>
      </c>
      <c r="H118" s="13" t="n">
        <v>0</v>
      </c>
      <c r="I118" s="13" t="s">
        <v>13</v>
      </c>
    </row>
    <row r="119" customFormat="false" ht="15" hidden="false" customHeight="false" outlineLevel="0" collapsed="false">
      <c r="A119" s="13" t="n">
        <v>6116481</v>
      </c>
      <c r="B119" s="13" t="s">
        <v>9</v>
      </c>
      <c r="C119" s="13" t="s">
        <v>557</v>
      </c>
      <c r="D119" s="14" t="n">
        <v>45657</v>
      </c>
      <c r="E119" s="14" t="n">
        <v>45657</v>
      </c>
      <c r="F119" s="13" t="s">
        <v>228</v>
      </c>
      <c r="G119" s="13" t="s">
        <v>229</v>
      </c>
      <c r="H119" s="13" t="n">
        <v>0</v>
      </c>
      <c r="I119" s="13" t="s">
        <v>13</v>
      </c>
    </row>
    <row r="120" customFormat="false" ht="15" hidden="false" customHeight="false" outlineLevel="0" collapsed="false">
      <c r="A120" s="13" t="n">
        <v>6116482</v>
      </c>
      <c r="B120" s="13" t="s">
        <v>9</v>
      </c>
      <c r="C120" s="13" t="s">
        <v>557</v>
      </c>
      <c r="D120" s="14" t="n">
        <v>45657</v>
      </c>
      <c r="E120" s="14" t="n">
        <v>45657</v>
      </c>
      <c r="F120" s="13" t="s">
        <v>230</v>
      </c>
      <c r="G120" s="13" t="s">
        <v>231</v>
      </c>
      <c r="H120" s="13" t="n">
        <v>0</v>
      </c>
      <c r="I120" s="13" t="s">
        <v>13</v>
      </c>
    </row>
    <row r="121" customFormat="false" ht="15" hidden="false" customHeight="false" outlineLevel="0" collapsed="false">
      <c r="A121" s="13" t="n">
        <v>6116483</v>
      </c>
      <c r="B121" s="13" t="s">
        <v>9</v>
      </c>
      <c r="C121" s="13" t="s">
        <v>557</v>
      </c>
      <c r="D121" s="14" t="n">
        <v>45657</v>
      </c>
      <c r="E121" s="14" t="n">
        <v>45657</v>
      </c>
      <c r="F121" s="13" t="s">
        <v>232</v>
      </c>
      <c r="G121" s="13" t="s">
        <v>233</v>
      </c>
      <c r="H121" s="13" t="n">
        <v>1944082</v>
      </c>
      <c r="I121" s="13" t="s">
        <v>13</v>
      </c>
    </row>
    <row r="122" customFormat="false" ht="15" hidden="false" customHeight="false" outlineLevel="0" collapsed="false">
      <c r="A122" s="13" t="n">
        <v>6116484</v>
      </c>
      <c r="B122" s="13" t="s">
        <v>9</v>
      </c>
      <c r="C122" s="13" t="s">
        <v>557</v>
      </c>
      <c r="D122" s="14" t="n">
        <v>45657</v>
      </c>
      <c r="E122" s="14" t="n">
        <v>45657</v>
      </c>
      <c r="F122" s="13" t="s">
        <v>234</v>
      </c>
      <c r="G122" s="13" t="s">
        <v>166</v>
      </c>
      <c r="H122" s="13" t="n">
        <v>13740</v>
      </c>
      <c r="I122" s="13" t="s">
        <v>13</v>
      </c>
    </row>
    <row r="123" customFormat="false" ht="15" hidden="false" customHeight="false" outlineLevel="0" collapsed="false">
      <c r="A123" s="13" t="n">
        <v>6116485</v>
      </c>
      <c r="B123" s="13" t="s">
        <v>9</v>
      </c>
      <c r="C123" s="13" t="s">
        <v>557</v>
      </c>
      <c r="D123" s="14" t="n">
        <v>45657</v>
      </c>
      <c r="E123" s="14" t="n">
        <v>45657</v>
      </c>
      <c r="F123" s="13" t="s">
        <v>235</v>
      </c>
      <c r="G123" s="13" t="s">
        <v>166</v>
      </c>
      <c r="H123" s="13" t="n">
        <v>13740</v>
      </c>
      <c r="I123" s="13" t="s">
        <v>13</v>
      </c>
    </row>
    <row r="124" customFormat="false" ht="15" hidden="false" customHeight="false" outlineLevel="0" collapsed="false">
      <c r="A124" s="13" t="n">
        <v>6116486</v>
      </c>
      <c r="B124" s="13" t="s">
        <v>9</v>
      </c>
      <c r="C124" s="13" t="s">
        <v>557</v>
      </c>
      <c r="D124" s="14" t="n">
        <v>45657</v>
      </c>
      <c r="E124" s="14" t="n">
        <v>45657</v>
      </c>
      <c r="F124" s="13" t="s">
        <v>236</v>
      </c>
      <c r="G124" s="13" t="s">
        <v>169</v>
      </c>
      <c r="H124" s="13" t="n">
        <v>13740</v>
      </c>
      <c r="I124" s="13" t="s">
        <v>13</v>
      </c>
    </row>
    <row r="125" customFormat="false" ht="15" hidden="false" customHeight="false" outlineLevel="0" collapsed="false">
      <c r="A125" s="13" t="n">
        <v>6116487</v>
      </c>
      <c r="B125" s="13" t="s">
        <v>9</v>
      </c>
      <c r="C125" s="13" t="s">
        <v>557</v>
      </c>
      <c r="D125" s="14" t="n">
        <v>45657</v>
      </c>
      <c r="E125" s="14" t="n">
        <v>45657</v>
      </c>
      <c r="F125" s="13" t="s">
        <v>237</v>
      </c>
      <c r="G125" s="13" t="s">
        <v>171</v>
      </c>
      <c r="H125" s="13" t="n">
        <v>0</v>
      </c>
      <c r="I125" s="13" t="s">
        <v>13</v>
      </c>
    </row>
    <row r="126" customFormat="false" ht="15" hidden="false" customHeight="false" outlineLevel="0" collapsed="false">
      <c r="A126" s="13" t="n">
        <v>6116488</v>
      </c>
      <c r="B126" s="13" t="s">
        <v>9</v>
      </c>
      <c r="C126" s="13" t="s">
        <v>557</v>
      </c>
      <c r="D126" s="14" t="n">
        <v>45657</v>
      </c>
      <c r="E126" s="14" t="n">
        <v>45657</v>
      </c>
      <c r="F126" s="13" t="s">
        <v>238</v>
      </c>
      <c r="G126" s="13" t="s">
        <v>173</v>
      </c>
      <c r="H126" s="13" t="n">
        <v>0</v>
      </c>
      <c r="I126" s="13" t="s">
        <v>13</v>
      </c>
    </row>
    <row r="127" customFormat="false" ht="15" hidden="false" customHeight="false" outlineLevel="0" collapsed="false">
      <c r="A127" s="13" t="n">
        <v>6116489</v>
      </c>
      <c r="B127" s="13" t="s">
        <v>9</v>
      </c>
      <c r="C127" s="13" t="s">
        <v>557</v>
      </c>
      <c r="D127" s="14" t="n">
        <v>45657</v>
      </c>
      <c r="E127" s="14" t="n">
        <v>45657</v>
      </c>
      <c r="F127" s="13" t="s">
        <v>239</v>
      </c>
      <c r="G127" s="13" t="s">
        <v>175</v>
      </c>
      <c r="H127" s="13" t="n">
        <v>0</v>
      </c>
      <c r="I127" s="13" t="s">
        <v>13</v>
      </c>
    </row>
    <row r="128" customFormat="false" ht="15" hidden="false" customHeight="false" outlineLevel="0" collapsed="false">
      <c r="A128" s="13" t="n">
        <v>6116490</v>
      </c>
      <c r="B128" s="13" t="s">
        <v>9</v>
      </c>
      <c r="C128" s="13" t="s">
        <v>557</v>
      </c>
      <c r="D128" s="14" t="n">
        <v>45657</v>
      </c>
      <c r="E128" s="14" t="n">
        <v>45657</v>
      </c>
      <c r="F128" s="13" t="s">
        <v>240</v>
      </c>
      <c r="G128" s="13" t="s">
        <v>177</v>
      </c>
      <c r="H128" s="13" t="n">
        <v>1868476</v>
      </c>
      <c r="I128" s="13" t="s">
        <v>13</v>
      </c>
    </row>
    <row r="129" customFormat="false" ht="15" hidden="false" customHeight="false" outlineLevel="0" collapsed="false">
      <c r="A129" s="13" t="n">
        <v>6116491</v>
      </c>
      <c r="B129" s="13" t="s">
        <v>9</v>
      </c>
      <c r="C129" s="13" t="s">
        <v>557</v>
      </c>
      <c r="D129" s="14" t="n">
        <v>45657</v>
      </c>
      <c r="E129" s="14" t="n">
        <v>45657</v>
      </c>
      <c r="F129" s="13" t="s">
        <v>241</v>
      </c>
      <c r="G129" s="13" t="s">
        <v>179</v>
      </c>
      <c r="H129" s="13" t="n">
        <v>0</v>
      </c>
      <c r="I129" s="13" t="s">
        <v>13</v>
      </c>
    </row>
    <row r="130" customFormat="false" ht="15" hidden="false" customHeight="false" outlineLevel="0" collapsed="false">
      <c r="A130" s="13" t="n">
        <v>6116492</v>
      </c>
      <c r="B130" s="13" t="s">
        <v>9</v>
      </c>
      <c r="C130" s="13" t="s">
        <v>557</v>
      </c>
      <c r="D130" s="14" t="n">
        <v>45657</v>
      </c>
      <c r="E130" s="14" t="n">
        <v>45657</v>
      </c>
      <c r="F130" s="13" t="s">
        <v>242</v>
      </c>
      <c r="G130" s="13" t="s">
        <v>181</v>
      </c>
      <c r="H130" s="13" t="n">
        <v>0</v>
      </c>
      <c r="I130" s="13" t="s">
        <v>13</v>
      </c>
    </row>
    <row r="131" customFormat="false" ht="15" hidden="false" customHeight="false" outlineLevel="0" collapsed="false">
      <c r="A131" s="13" t="n">
        <v>6116493</v>
      </c>
      <c r="B131" s="13" t="s">
        <v>9</v>
      </c>
      <c r="C131" s="13" t="s">
        <v>557</v>
      </c>
      <c r="D131" s="14" t="n">
        <v>45657</v>
      </c>
      <c r="E131" s="14" t="n">
        <v>45657</v>
      </c>
      <c r="F131" s="13" t="s">
        <v>243</v>
      </c>
      <c r="G131" s="13" t="s">
        <v>183</v>
      </c>
      <c r="H131" s="13" t="n">
        <v>0</v>
      </c>
      <c r="I131" s="13" t="s">
        <v>13</v>
      </c>
    </row>
    <row r="132" customFormat="false" ht="15" hidden="false" customHeight="false" outlineLevel="0" collapsed="false">
      <c r="A132" s="13" t="n">
        <v>6116494</v>
      </c>
      <c r="B132" s="13" t="s">
        <v>9</v>
      </c>
      <c r="C132" s="13" t="s">
        <v>557</v>
      </c>
      <c r="D132" s="14" t="n">
        <v>45657</v>
      </c>
      <c r="E132" s="14" t="n">
        <v>45657</v>
      </c>
      <c r="F132" s="13" t="s">
        <v>244</v>
      </c>
      <c r="G132" s="13" t="s">
        <v>185</v>
      </c>
      <c r="H132" s="13" t="n">
        <v>0</v>
      </c>
      <c r="I132" s="13" t="s">
        <v>13</v>
      </c>
    </row>
    <row r="133" customFormat="false" ht="15" hidden="false" customHeight="false" outlineLevel="0" collapsed="false">
      <c r="A133" s="13" t="n">
        <v>6116495</v>
      </c>
      <c r="B133" s="13" t="s">
        <v>9</v>
      </c>
      <c r="C133" s="13" t="s">
        <v>557</v>
      </c>
      <c r="D133" s="14" t="n">
        <v>45657</v>
      </c>
      <c r="E133" s="14" t="n">
        <v>45657</v>
      </c>
      <c r="F133" s="13" t="s">
        <v>245</v>
      </c>
      <c r="G133" s="13" t="s">
        <v>53</v>
      </c>
      <c r="H133" s="13" t="n">
        <v>1868476</v>
      </c>
      <c r="I133" s="13" t="s">
        <v>13</v>
      </c>
    </row>
    <row r="134" customFormat="false" ht="15" hidden="false" customHeight="false" outlineLevel="0" collapsed="false">
      <c r="A134" s="13" t="n">
        <v>6116496</v>
      </c>
      <c r="B134" s="13" t="s">
        <v>9</v>
      </c>
      <c r="C134" s="13" t="s">
        <v>557</v>
      </c>
      <c r="D134" s="14" t="n">
        <v>45657</v>
      </c>
      <c r="E134" s="14" t="n">
        <v>45657</v>
      </c>
      <c r="F134" s="13" t="s">
        <v>246</v>
      </c>
      <c r="G134" s="13" t="s">
        <v>192</v>
      </c>
      <c r="H134" s="13" t="n">
        <v>0</v>
      </c>
      <c r="I134" s="13" t="s">
        <v>13</v>
      </c>
    </row>
    <row r="135" customFormat="false" ht="15" hidden="false" customHeight="false" outlineLevel="0" collapsed="false">
      <c r="A135" s="13" t="n">
        <v>6116497</v>
      </c>
      <c r="B135" s="13" t="s">
        <v>9</v>
      </c>
      <c r="C135" s="13" t="s">
        <v>557</v>
      </c>
      <c r="D135" s="14" t="n">
        <v>45657</v>
      </c>
      <c r="E135" s="14" t="n">
        <v>45657</v>
      </c>
      <c r="F135" s="13" t="s">
        <v>247</v>
      </c>
      <c r="G135" s="13" t="s">
        <v>248</v>
      </c>
      <c r="H135" s="13" t="n">
        <v>0</v>
      </c>
      <c r="I135" s="13" t="s">
        <v>13</v>
      </c>
    </row>
    <row r="136" customFormat="false" ht="15" hidden="false" customHeight="false" outlineLevel="0" collapsed="false">
      <c r="A136" s="13" t="n">
        <v>6116498</v>
      </c>
      <c r="B136" s="13" t="s">
        <v>9</v>
      </c>
      <c r="C136" s="13" t="s">
        <v>557</v>
      </c>
      <c r="D136" s="14" t="n">
        <v>45657</v>
      </c>
      <c r="E136" s="14" t="n">
        <v>45657</v>
      </c>
      <c r="F136" s="13" t="s">
        <v>249</v>
      </c>
      <c r="G136" s="13" t="s">
        <v>250</v>
      </c>
      <c r="H136" s="13" t="n">
        <v>0</v>
      </c>
      <c r="I136" s="13" t="s">
        <v>13</v>
      </c>
    </row>
    <row r="137" customFormat="false" ht="15" hidden="false" customHeight="false" outlineLevel="0" collapsed="false">
      <c r="A137" s="13" t="n">
        <v>6116499</v>
      </c>
      <c r="B137" s="13" t="s">
        <v>9</v>
      </c>
      <c r="C137" s="13" t="s">
        <v>557</v>
      </c>
      <c r="D137" s="14" t="n">
        <v>45657</v>
      </c>
      <c r="E137" s="14" t="n">
        <v>45657</v>
      </c>
      <c r="F137" s="13" t="s">
        <v>251</v>
      </c>
      <c r="G137" s="13" t="s">
        <v>196</v>
      </c>
      <c r="H137" s="13" t="n">
        <v>19091</v>
      </c>
      <c r="I137" s="13" t="s">
        <v>13</v>
      </c>
    </row>
    <row r="138" customFormat="false" ht="15" hidden="false" customHeight="false" outlineLevel="0" collapsed="false">
      <c r="A138" s="13" t="n">
        <v>6116500</v>
      </c>
      <c r="B138" s="13" t="s">
        <v>9</v>
      </c>
      <c r="C138" s="13" t="s">
        <v>557</v>
      </c>
      <c r="D138" s="14" t="n">
        <v>45657</v>
      </c>
      <c r="E138" s="14" t="n">
        <v>45657</v>
      </c>
      <c r="F138" s="13" t="s">
        <v>252</v>
      </c>
      <c r="G138" s="13" t="s">
        <v>203</v>
      </c>
      <c r="H138" s="13" t="n">
        <v>1847561</v>
      </c>
      <c r="I138" s="13" t="s">
        <v>13</v>
      </c>
    </row>
    <row r="139" customFormat="false" ht="15" hidden="false" customHeight="false" outlineLevel="0" collapsed="false">
      <c r="A139" s="13" t="n">
        <v>6116501</v>
      </c>
      <c r="B139" s="13" t="s">
        <v>9</v>
      </c>
      <c r="C139" s="13" t="s">
        <v>557</v>
      </c>
      <c r="D139" s="14" t="n">
        <v>45657</v>
      </c>
      <c r="E139" s="14" t="n">
        <v>45657</v>
      </c>
      <c r="F139" s="13" t="s">
        <v>253</v>
      </c>
      <c r="G139" s="13" t="s">
        <v>147</v>
      </c>
      <c r="H139" s="13" t="n">
        <v>1824</v>
      </c>
      <c r="I139" s="13" t="s">
        <v>13</v>
      </c>
    </row>
    <row r="140" customFormat="false" ht="15" hidden="false" customHeight="false" outlineLevel="0" collapsed="false">
      <c r="A140" s="13" t="n">
        <v>6116502</v>
      </c>
      <c r="B140" s="13" t="s">
        <v>9</v>
      </c>
      <c r="C140" s="13" t="s">
        <v>557</v>
      </c>
      <c r="D140" s="14" t="n">
        <v>45657</v>
      </c>
      <c r="E140" s="14" t="n">
        <v>45657</v>
      </c>
      <c r="F140" s="13" t="s">
        <v>254</v>
      </c>
      <c r="G140" s="13" t="s">
        <v>76</v>
      </c>
      <c r="H140" s="13" t="n">
        <v>5660</v>
      </c>
      <c r="I140" s="13" t="s">
        <v>13</v>
      </c>
    </row>
    <row r="141" customFormat="false" ht="15" hidden="false" customHeight="false" outlineLevel="0" collapsed="false">
      <c r="A141" s="13" t="n">
        <v>6116503</v>
      </c>
      <c r="B141" s="13" t="s">
        <v>9</v>
      </c>
      <c r="C141" s="13" t="s">
        <v>557</v>
      </c>
      <c r="D141" s="14" t="n">
        <v>45657</v>
      </c>
      <c r="E141" s="14" t="n">
        <v>45657</v>
      </c>
      <c r="F141" s="13" t="s">
        <v>255</v>
      </c>
      <c r="G141" s="13" t="s">
        <v>78</v>
      </c>
      <c r="H141" s="13" t="n">
        <v>5660</v>
      </c>
      <c r="I141" s="13" t="s">
        <v>13</v>
      </c>
    </row>
    <row r="142" customFormat="false" ht="15" hidden="false" customHeight="false" outlineLevel="0" collapsed="false">
      <c r="A142" s="13" t="n">
        <v>6116504</v>
      </c>
      <c r="B142" s="13" t="s">
        <v>9</v>
      </c>
      <c r="C142" s="13" t="s">
        <v>557</v>
      </c>
      <c r="D142" s="14" t="n">
        <v>45657</v>
      </c>
      <c r="E142" s="14" t="n">
        <v>45657</v>
      </c>
      <c r="F142" s="13" t="s">
        <v>256</v>
      </c>
      <c r="G142" s="13" t="s">
        <v>205</v>
      </c>
      <c r="H142" s="13" t="n">
        <v>56206</v>
      </c>
      <c r="I142" s="13" t="s">
        <v>13</v>
      </c>
    </row>
    <row r="143" customFormat="false" ht="15" hidden="false" customHeight="false" outlineLevel="0" collapsed="false">
      <c r="A143" s="13" t="n">
        <v>6116505</v>
      </c>
      <c r="B143" s="13" t="s">
        <v>9</v>
      </c>
      <c r="C143" s="13" t="s">
        <v>557</v>
      </c>
      <c r="D143" s="14" t="n">
        <v>45657</v>
      </c>
      <c r="E143" s="14" t="n">
        <v>45657</v>
      </c>
      <c r="F143" s="13" t="s">
        <v>257</v>
      </c>
      <c r="G143" s="13" t="s">
        <v>207</v>
      </c>
      <c r="H143" s="13" t="n">
        <v>56206</v>
      </c>
      <c r="I143" s="13" t="s">
        <v>13</v>
      </c>
    </row>
    <row r="144" customFormat="false" ht="15" hidden="false" customHeight="false" outlineLevel="0" collapsed="false">
      <c r="A144" s="13" t="n">
        <v>6116506</v>
      </c>
      <c r="B144" s="13" t="s">
        <v>9</v>
      </c>
      <c r="C144" s="13" t="s">
        <v>557</v>
      </c>
      <c r="D144" s="14" t="n">
        <v>45657</v>
      </c>
      <c r="E144" s="14" t="n">
        <v>45657</v>
      </c>
      <c r="F144" s="13" t="s">
        <v>258</v>
      </c>
      <c r="G144" s="13" t="s">
        <v>209</v>
      </c>
      <c r="H144" s="13" t="n">
        <v>30599</v>
      </c>
      <c r="I144" s="13" t="s">
        <v>13</v>
      </c>
    </row>
    <row r="145" customFormat="false" ht="15" hidden="false" customHeight="false" outlineLevel="0" collapsed="false">
      <c r="A145" s="13" t="n">
        <v>6116507</v>
      </c>
      <c r="B145" s="13" t="s">
        <v>9</v>
      </c>
      <c r="C145" s="13" t="s">
        <v>557</v>
      </c>
      <c r="D145" s="14" t="n">
        <v>45657</v>
      </c>
      <c r="E145" s="14" t="n">
        <v>45657</v>
      </c>
      <c r="F145" s="13" t="s">
        <v>259</v>
      </c>
      <c r="G145" s="13" t="s">
        <v>211</v>
      </c>
      <c r="H145" s="13" t="n">
        <v>0</v>
      </c>
      <c r="I145" s="13" t="s">
        <v>13</v>
      </c>
    </row>
    <row r="146" customFormat="false" ht="15" hidden="false" customHeight="false" outlineLevel="0" collapsed="false">
      <c r="A146" s="13" t="n">
        <v>6116508</v>
      </c>
      <c r="B146" s="13" t="s">
        <v>9</v>
      </c>
      <c r="C146" s="13" t="s">
        <v>557</v>
      </c>
      <c r="D146" s="14" t="n">
        <v>45657</v>
      </c>
      <c r="E146" s="14" t="n">
        <v>45657</v>
      </c>
      <c r="F146" s="13" t="s">
        <v>260</v>
      </c>
      <c r="G146" s="13" t="s">
        <v>213</v>
      </c>
      <c r="H146" s="13" t="n">
        <v>0</v>
      </c>
      <c r="I146" s="13" t="s">
        <v>13</v>
      </c>
    </row>
    <row r="147" customFormat="false" ht="15" hidden="false" customHeight="false" outlineLevel="0" collapsed="false">
      <c r="A147" s="13" t="n">
        <v>6116509</v>
      </c>
      <c r="B147" s="13" t="s">
        <v>9</v>
      </c>
      <c r="C147" s="13" t="s">
        <v>557</v>
      </c>
      <c r="D147" s="14" t="n">
        <v>45657</v>
      </c>
      <c r="E147" s="14" t="n">
        <v>45657</v>
      </c>
      <c r="F147" s="13" t="s">
        <v>261</v>
      </c>
      <c r="G147" s="13" t="s">
        <v>215</v>
      </c>
      <c r="H147" s="13" t="n">
        <v>1269</v>
      </c>
      <c r="I147" s="13" t="s">
        <v>13</v>
      </c>
    </row>
    <row r="148" customFormat="false" ht="15" hidden="false" customHeight="false" outlineLevel="0" collapsed="false">
      <c r="A148" s="13" t="n">
        <v>6116510</v>
      </c>
      <c r="B148" s="13" t="s">
        <v>9</v>
      </c>
      <c r="C148" s="13" t="s">
        <v>557</v>
      </c>
      <c r="D148" s="14" t="n">
        <v>45657</v>
      </c>
      <c r="E148" s="14" t="n">
        <v>45657</v>
      </c>
      <c r="F148" s="13" t="s">
        <v>262</v>
      </c>
      <c r="G148" s="13" t="s">
        <v>217</v>
      </c>
      <c r="H148" s="13" t="n">
        <v>24338</v>
      </c>
      <c r="I148" s="13" t="s">
        <v>13</v>
      </c>
    </row>
    <row r="149" customFormat="false" ht="15" hidden="false" customHeight="false" outlineLevel="0" collapsed="false">
      <c r="A149" s="13" t="n">
        <v>6116511</v>
      </c>
      <c r="B149" s="13" t="s">
        <v>9</v>
      </c>
      <c r="C149" s="13" t="s">
        <v>557</v>
      </c>
      <c r="D149" s="14" t="n">
        <v>45657</v>
      </c>
      <c r="E149" s="14" t="n">
        <v>45657</v>
      </c>
      <c r="F149" s="13" t="s">
        <v>263</v>
      </c>
      <c r="G149" s="13" t="s">
        <v>219</v>
      </c>
      <c r="H149" s="13" t="n">
        <v>0</v>
      </c>
      <c r="I149" s="13" t="s">
        <v>13</v>
      </c>
    </row>
    <row r="150" customFormat="false" ht="15" hidden="false" customHeight="false" outlineLevel="0" collapsed="false">
      <c r="A150" s="13" t="n">
        <v>6116512</v>
      </c>
      <c r="B150" s="13" t="s">
        <v>9</v>
      </c>
      <c r="C150" s="13" t="s">
        <v>557</v>
      </c>
      <c r="D150" s="14" t="n">
        <v>45657</v>
      </c>
      <c r="E150" s="14" t="n">
        <v>45657</v>
      </c>
      <c r="F150" s="13" t="s">
        <v>264</v>
      </c>
      <c r="G150" s="13" t="s">
        <v>221</v>
      </c>
      <c r="H150" s="13" t="n">
        <v>0</v>
      </c>
      <c r="I150" s="13" t="s">
        <v>13</v>
      </c>
    </row>
    <row r="151" customFormat="false" ht="15" hidden="false" customHeight="false" outlineLevel="0" collapsed="false">
      <c r="A151" s="13" t="n">
        <v>6116513</v>
      </c>
      <c r="B151" s="13" t="s">
        <v>9</v>
      </c>
      <c r="C151" s="13" t="s">
        <v>557</v>
      </c>
      <c r="D151" s="14" t="n">
        <v>45657</v>
      </c>
      <c r="E151" s="14" t="n">
        <v>45657</v>
      </c>
      <c r="F151" s="13" t="s">
        <v>265</v>
      </c>
      <c r="G151" s="13" t="s">
        <v>223</v>
      </c>
      <c r="H151" s="13" t="n">
        <v>0</v>
      </c>
      <c r="I151" s="13" t="s">
        <v>13</v>
      </c>
    </row>
    <row r="152" customFormat="false" ht="15" hidden="false" customHeight="false" outlineLevel="0" collapsed="false">
      <c r="A152" s="13" t="n">
        <v>6116514</v>
      </c>
      <c r="B152" s="13" t="s">
        <v>9</v>
      </c>
      <c r="C152" s="13" t="s">
        <v>557</v>
      </c>
      <c r="D152" s="14" t="n">
        <v>45657</v>
      </c>
      <c r="E152" s="14" t="n">
        <v>45657</v>
      </c>
      <c r="F152" s="13" t="s">
        <v>266</v>
      </c>
      <c r="G152" s="13" t="s">
        <v>225</v>
      </c>
      <c r="H152" s="13" t="n">
        <v>0</v>
      </c>
      <c r="I152" s="13" t="s">
        <v>13</v>
      </c>
    </row>
    <row r="153" customFormat="false" ht="15" hidden="false" customHeight="false" outlineLevel="0" collapsed="false">
      <c r="A153" s="13" t="n">
        <v>6116515</v>
      </c>
      <c r="B153" s="13" t="s">
        <v>9</v>
      </c>
      <c r="C153" s="13" t="s">
        <v>557</v>
      </c>
      <c r="D153" s="14" t="n">
        <v>45657</v>
      </c>
      <c r="E153" s="14" t="n">
        <v>45657</v>
      </c>
      <c r="F153" s="13" t="s">
        <v>267</v>
      </c>
      <c r="G153" s="13" t="s">
        <v>227</v>
      </c>
      <c r="H153" s="13" t="n">
        <v>0</v>
      </c>
      <c r="I153" s="13" t="s">
        <v>13</v>
      </c>
    </row>
    <row r="154" customFormat="false" ht="15" hidden="false" customHeight="false" outlineLevel="0" collapsed="false">
      <c r="A154" s="13" t="n">
        <v>6116516</v>
      </c>
      <c r="B154" s="13" t="s">
        <v>9</v>
      </c>
      <c r="C154" s="13" t="s">
        <v>557</v>
      </c>
      <c r="D154" s="14" t="n">
        <v>45657</v>
      </c>
      <c r="E154" s="14" t="n">
        <v>45657</v>
      </c>
      <c r="F154" s="13" t="s">
        <v>268</v>
      </c>
      <c r="G154" s="13" t="s">
        <v>229</v>
      </c>
      <c r="H154" s="13" t="n">
        <v>0</v>
      </c>
      <c r="I154" s="13" t="s">
        <v>13</v>
      </c>
    </row>
    <row r="155" customFormat="false" ht="15" hidden="false" customHeight="false" outlineLevel="0" collapsed="false">
      <c r="A155" s="13" t="n">
        <v>6116517</v>
      </c>
      <c r="B155" s="13" t="s">
        <v>9</v>
      </c>
      <c r="C155" s="13" t="s">
        <v>557</v>
      </c>
      <c r="D155" s="14" t="n">
        <v>45657</v>
      </c>
      <c r="E155" s="14" t="n">
        <v>45657</v>
      </c>
      <c r="F155" s="13" t="s">
        <v>269</v>
      </c>
      <c r="G155" s="13" t="s">
        <v>231</v>
      </c>
      <c r="H155" s="13" t="n">
        <v>0</v>
      </c>
      <c r="I155" s="13" t="s">
        <v>13</v>
      </c>
    </row>
    <row r="156" customFormat="false" ht="15" hidden="false" customHeight="false" outlineLevel="0" collapsed="false">
      <c r="A156" s="13" t="n">
        <v>6116518</v>
      </c>
      <c r="B156" s="13" t="s">
        <v>9</v>
      </c>
      <c r="C156" s="13" t="s">
        <v>557</v>
      </c>
      <c r="D156" s="14" t="n">
        <v>45657</v>
      </c>
      <c r="E156" s="14" t="n">
        <v>45657</v>
      </c>
      <c r="F156" s="13" t="s">
        <v>270</v>
      </c>
      <c r="G156" s="13" t="s">
        <v>271</v>
      </c>
      <c r="H156" s="13" t="n">
        <v>0</v>
      </c>
      <c r="I156" s="13" t="s">
        <v>13</v>
      </c>
    </row>
    <row r="157" customFormat="false" ht="15" hidden="false" customHeight="false" outlineLevel="0" collapsed="false">
      <c r="A157" s="13" t="n">
        <v>6116519</v>
      </c>
      <c r="B157" s="13" t="s">
        <v>9</v>
      </c>
      <c r="C157" s="13" t="s">
        <v>557</v>
      </c>
      <c r="D157" s="14" t="n">
        <v>45657</v>
      </c>
      <c r="E157" s="14" t="n">
        <v>45657</v>
      </c>
      <c r="F157" s="13" t="s">
        <v>272</v>
      </c>
      <c r="G157" s="13" t="s">
        <v>273</v>
      </c>
      <c r="H157" s="13" t="n">
        <v>0</v>
      </c>
      <c r="I157" s="13" t="s">
        <v>13</v>
      </c>
    </row>
    <row r="158" customFormat="false" ht="15" hidden="false" customHeight="false" outlineLevel="0" collapsed="false">
      <c r="A158" s="13" t="n">
        <v>6116520</v>
      </c>
      <c r="B158" s="13" t="s">
        <v>9</v>
      </c>
      <c r="C158" s="13" t="s">
        <v>557</v>
      </c>
      <c r="D158" s="14" t="n">
        <v>45657</v>
      </c>
      <c r="E158" s="14" t="n">
        <v>45657</v>
      </c>
      <c r="F158" s="13" t="s">
        <v>274</v>
      </c>
      <c r="G158" s="13" t="s">
        <v>275</v>
      </c>
      <c r="H158" s="13" t="n">
        <v>0</v>
      </c>
      <c r="I158" s="13" t="s">
        <v>13</v>
      </c>
    </row>
    <row r="159" customFormat="false" ht="15" hidden="false" customHeight="false" outlineLevel="0" collapsed="false">
      <c r="A159" s="13" t="n">
        <v>6116521</v>
      </c>
      <c r="B159" s="13" t="s">
        <v>9</v>
      </c>
      <c r="C159" s="13" t="s">
        <v>557</v>
      </c>
      <c r="D159" s="14" t="n">
        <v>45657</v>
      </c>
      <c r="E159" s="14" t="n">
        <v>45657</v>
      </c>
      <c r="F159" s="13" t="s">
        <v>276</v>
      </c>
      <c r="G159" s="13" t="s">
        <v>277</v>
      </c>
      <c r="H159" s="13" t="n">
        <v>0</v>
      </c>
      <c r="I159" s="13" t="s">
        <v>13</v>
      </c>
    </row>
    <row r="160" customFormat="false" ht="15" hidden="false" customHeight="false" outlineLevel="0" collapsed="false">
      <c r="A160" s="13" t="n">
        <v>6116522</v>
      </c>
      <c r="B160" s="13" t="s">
        <v>9</v>
      </c>
      <c r="C160" s="13" t="s">
        <v>557</v>
      </c>
      <c r="D160" s="14" t="n">
        <v>45657</v>
      </c>
      <c r="E160" s="14" t="n">
        <v>45657</v>
      </c>
      <c r="F160" s="13" t="s">
        <v>278</v>
      </c>
      <c r="G160" s="13" t="s">
        <v>279</v>
      </c>
      <c r="H160" s="13" t="n">
        <v>10772951</v>
      </c>
      <c r="I160" s="13" t="s">
        <v>13</v>
      </c>
    </row>
    <row r="161" customFormat="false" ht="15" hidden="false" customHeight="false" outlineLevel="0" collapsed="false">
      <c r="A161" s="13" t="n">
        <v>6116523</v>
      </c>
      <c r="B161" s="13" t="s">
        <v>9</v>
      </c>
      <c r="C161" s="13" t="s">
        <v>557</v>
      </c>
      <c r="D161" s="14" t="n">
        <v>45657</v>
      </c>
      <c r="E161" s="14" t="n">
        <v>45657</v>
      </c>
      <c r="F161" s="13" t="s">
        <v>280</v>
      </c>
      <c r="G161" s="13" t="s">
        <v>281</v>
      </c>
      <c r="H161" s="13" t="n">
        <v>9540891</v>
      </c>
      <c r="I161" s="13" t="s">
        <v>13</v>
      </c>
    </row>
    <row r="162" customFormat="false" ht="15" hidden="false" customHeight="false" outlineLevel="0" collapsed="false">
      <c r="A162" s="13" t="n">
        <v>6116524</v>
      </c>
      <c r="B162" s="13" t="s">
        <v>9</v>
      </c>
      <c r="C162" s="13" t="s">
        <v>557</v>
      </c>
      <c r="D162" s="14" t="n">
        <v>45657</v>
      </c>
      <c r="E162" s="14" t="n">
        <v>45657</v>
      </c>
      <c r="F162" s="13" t="s">
        <v>282</v>
      </c>
      <c r="G162" s="13" t="s">
        <v>283</v>
      </c>
      <c r="H162" s="13" t="n">
        <v>12054</v>
      </c>
      <c r="I162" s="13" t="s">
        <v>13</v>
      </c>
    </row>
    <row r="163" customFormat="false" ht="15" hidden="false" customHeight="false" outlineLevel="0" collapsed="false">
      <c r="A163" s="13" t="n">
        <v>6116525</v>
      </c>
      <c r="B163" s="13" t="s">
        <v>9</v>
      </c>
      <c r="C163" s="13" t="s">
        <v>557</v>
      </c>
      <c r="D163" s="14" t="n">
        <v>45657</v>
      </c>
      <c r="E163" s="14" t="n">
        <v>45657</v>
      </c>
      <c r="F163" s="13" t="s">
        <v>284</v>
      </c>
      <c r="G163" s="13" t="s">
        <v>285</v>
      </c>
      <c r="H163" s="13" t="n">
        <v>0</v>
      </c>
      <c r="I163" s="13" t="s">
        <v>13</v>
      </c>
    </row>
    <row r="164" customFormat="false" ht="15" hidden="false" customHeight="false" outlineLevel="0" collapsed="false">
      <c r="A164" s="13" t="n">
        <v>6116526</v>
      </c>
      <c r="B164" s="13" t="s">
        <v>9</v>
      </c>
      <c r="C164" s="13" t="s">
        <v>557</v>
      </c>
      <c r="D164" s="14" t="n">
        <v>45657</v>
      </c>
      <c r="E164" s="14" t="n">
        <v>45657</v>
      </c>
      <c r="F164" s="13" t="s">
        <v>286</v>
      </c>
      <c r="G164" s="13" t="s">
        <v>287</v>
      </c>
      <c r="H164" s="13" t="n">
        <v>0</v>
      </c>
      <c r="I164" s="13" t="s">
        <v>13</v>
      </c>
    </row>
    <row r="165" customFormat="false" ht="15" hidden="false" customHeight="false" outlineLevel="0" collapsed="false">
      <c r="A165" s="13" t="n">
        <v>6116527</v>
      </c>
      <c r="B165" s="13" t="s">
        <v>9</v>
      </c>
      <c r="C165" s="13" t="s">
        <v>557</v>
      </c>
      <c r="D165" s="14" t="n">
        <v>45657</v>
      </c>
      <c r="E165" s="14" t="n">
        <v>45657</v>
      </c>
      <c r="F165" s="13" t="s">
        <v>288</v>
      </c>
      <c r="G165" s="13" t="s">
        <v>289</v>
      </c>
      <c r="H165" s="13" t="n">
        <v>0</v>
      </c>
      <c r="I165" s="13" t="s">
        <v>13</v>
      </c>
    </row>
    <row r="166" customFormat="false" ht="15" hidden="false" customHeight="false" outlineLevel="0" collapsed="false">
      <c r="A166" s="13" t="n">
        <v>6116528</v>
      </c>
      <c r="B166" s="13" t="s">
        <v>9</v>
      </c>
      <c r="C166" s="13" t="s">
        <v>557</v>
      </c>
      <c r="D166" s="14" t="n">
        <v>45657</v>
      </c>
      <c r="E166" s="14" t="n">
        <v>45657</v>
      </c>
      <c r="F166" s="13" t="s">
        <v>290</v>
      </c>
      <c r="G166" s="13" t="s">
        <v>291</v>
      </c>
      <c r="H166" s="13" t="n">
        <v>166431</v>
      </c>
      <c r="I166" s="13" t="s">
        <v>13</v>
      </c>
    </row>
    <row r="167" customFormat="false" ht="15" hidden="false" customHeight="false" outlineLevel="0" collapsed="false">
      <c r="A167" s="13" t="n">
        <v>6116529</v>
      </c>
      <c r="B167" s="13" t="s">
        <v>9</v>
      </c>
      <c r="C167" s="13" t="s">
        <v>557</v>
      </c>
      <c r="D167" s="14" t="n">
        <v>45657</v>
      </c>
      <c r="E167" s="14" t="n">
        <v>45657</v>
      </c>
      <c r="F167" s="13" t="s">
        <v>292</v>
      </c>
      <c r="G167" s="13" t="s">
        <v>293</v>
      </c>
      <c r="H167" s="13" t="n">
        <v>-154377</v>
      </c>
      <c r="I167" s="13" t="s">
        <v>13</v>
      </c>
    </row>
    <row r="168" customFormat="false" ht="15" hidden="false" customHeight="false" outlineLevel="0" collapsed="false">
      <c r="A168" s="13" t="n">
        <v>6116530</v>
      </c>
      <c r="B168" s="13" t="s">
        <v>9</v>
      </c>
      <c r="C168" s="13" t="s">
        <v>557</v>
      </c>
      <c r="D168" s="14" t="n">
        <v>45657</v>
      </c>
      <c r="E168" s="14" t="n">
        <v>45657</v>
      </c>
      <c r="F168" s="13" t="s">
        <v>294</v>
      </c>
      <c r="G168" s="13" t="s">
        <v>248</v>
      </c>
      <c r="H168" s="13" t="n">
        <v>0</v>
      </c>
      <c r="I168" s="13" t="s">
        <v>13</v>
      </c>
    </row>
    <row r="169" customFormat="false" ht="15" hidden="false" customHeight="false" outlineLevel="0" collapsed="false">
      <c r="A169" s="13" t="n">
        <v>6116531</v>
      </c>
      <c r="B169" s="13" t="s">
        <v>9</v>
      </c>
      <c r="C169" s="13" t="s">
        <v>557</v>
      </c>
      <c r="D169" s="14" t="n">
        <v>45657</v>
      </c>
      <c r="E169" s="14" t="n">
        <v>45657</v>
      </c>
      <c r="F169" s="13" t="s">
        <v>295</v>
      </c>
      <c r="G169" s="13" t="s">
        <v>296</v>
      </c>
      <c r="H169" s="13" t="n">
        <v>0</v>
      </c>
      <c r="I169" s="13" t="s">
        <v>13</v>
      </c>
    </row>
    <row r="170" customFormat="false" ht="15" hidden="false" customHeight="false" outlineLevel="0" collapsed="false">
      <c r="A170" s="13" t="n">
        <v>6116532</v>
      </c>
      <c r="B170" s="13" t="s">
        <v>9</v>
      </c>
      <c r="C170" s="13" t="s">
        <v>557</v>
      </c>
      <c r="D170" s="14" t="n">
        <v>45657</v>
      </c>
      <c r="E170" s="14" t="n">
        <v>45657</v>
      </c>
      <c r="F170" s="13" t="s">
        <v>297</v>
      </c>
      <c r="G170" s="13" t="s">
        <v>298</v>
      </c>
      <c r="H170" s="13" t="n">
        <v>1078994</v>
      </c>
      <c r="I170" s="13" t="s">
        <v>13</v>
      </c>
    </row>
    <row r="171" customFormat="false" ht="15" hidden="false" customHeight="false" outlineLevel="0" collapsed="false">
      <c r="A171" s="13" t="n">
        <v>6116533</v>
      </c>
      <c r="B171" s="13" t="s">
        <v>9</v>
      </c>
      <c r="C171" s="13" t="s">
        <v>557</v>
      </c>
      <c r="D171" s="14" t="n">
        <v>45657</v>
      </c>
      <c r="E171" s="14" t="n">
        <v>45657</v>
      </c>
      <c r="F171" s="13" t="s">
        <v>299</v>
      </c>
      <c r="G171" s="13" t="s">
        <v>300</v>
      </c>
      <c r="H171" s="13" t="n">
        <v>59833</v>
      </c>
      <c r="I171" s="13" t="s">
        <v>13</v>
      </c>
    </row>
    <row r="172" customFormat="false" ht="15" hidden="false" customHeight="false" outlineLevel="0" collapsed="false">
      <c r="A172" s="13" t="n">
        <v>6116534</v>
      </c>
      <c r="B172" s="13" t="s">
        <v>9</v>
      </c>
      <c r="C172" s="13" t="s">
        <v>557</v>
      </c>
      <c r="D172" s="14" t="n">
        <v>45657</v>
      </c>
      <c r="E172" s="14" t="n">
        <v>45657</v>
      </c>
      <c r="F172" s="13" t="s">
        <v>301</v>
      </c>
      <c r="G172" s="13" t="s">
        <v>302</v>
      </c>
      <c r="H172" s="13" t="n">
        <v>0</v>
      </c>
      <c r="I172" s="13" t="s">
        <v>13</v>
      </c>
    </row>
    <row r="173" customFormat="false" ht="15" hidden="false" customHeight="false" outlineLevel="0" collapsed="false">
      <c r="A173" s="13" t="n">
        <v>6116535</v>
      </c>
      <c r="B173" s="13" t="s">
        <v>9</v>
      </c>
      <c r="C173" s="13" t="s">
        <v>557</v>
      </c>
      <c r="D173" s="14" t="n">
        <v>45657</v>
      </c>
      <c r="E173" s="14" t="n">
        <v>45657</v>
      </c>
      <c r="F173" s="13" t="s">
        <v>303</v>
      </c>
      <c r="G173" s="13" t="s">
        <v>304</v>
      </c>
      <c r="H173" s="13" t="n">
        <v>0</v>
      </c>
      <c r="I173" s="13" t="s">
        <v>13</v>
      </c>
    </row>
    <row r="174" customFormat="false" ht="15" hidden="false" customHeight="false" outlineLevel="0" collapsed="false">
      <c r="A174" s="13" t="n">
        <v>6116536</v>
      </c>
      <c r="B174" s="13" t="s">
        <v>9</v>
      </c>
      <c r="C174" s="13" t="s">
        <v>557</v>
      </c>
      <c r="D174" s="14" t="n">
        <v>45657</v>
      </c>
      <c r="E174" s="14" t="n">
        <v>45657</v>
      </c>
      <c r="F174" s="13" t="s">
        <v>305</v>
      </c>
      <c r="G174" s="13" t="s">
        <v>306</v>
      </c>
      <c r="H174" s="13" t="n">
        <v>0</v>
      </c>
      <c r="I174" s="13" t="s">
        <v>13</v>
      </c>
    </row>
    <row r="175" customFormat="false" ht="15" hidden="false" customHeight="false" outlineLevel="0" collapsed="false">
      <c r="A175" s="13" t="n">
        <v>6116537</v>
      </c>
      <c r="B175" s="13" t="s">
        <v>9</v>
      </c>
      <c r="C175" s="13" t="s">
        <v>557</v>
      </c>
      <c r="D175" s="14" t="n">
        <v>45657</v>
      </c>
      <c r="E175" s="14" t="n">
        <v>45657</v>
      </c>
      <c r="F175" s="13" t="s">
        <v>307</v>
      </c>
      <c r="G175" s="13" t="s">
        <v>308</v>
      </c>
      <c r="H175" s="13" t="n">
        <v>0</v>
      </c>
      <c r="I175" s="13" t="s">
        <v>13</v>
      </c>
    </row>
    <row r="176" customFormat="false" ht="15" hidden="false" customHeight="false" outlineLevel="0" collapsed="false">
      <c r="A176" s="13" t="n">
        <v>6116538</v>
      </c>
      <c r="B176" s="13" t="s">
        <v>9</v>
      </c>
      <c r="C176" s="13" t="s">
        <v>557</v>
      </c>
      <c r="D176" s="14" t="n">
        <v>45657</v>
      </c>
      <c r="E176" s="14" t="n">
        <v>45657</v>
      </c>
      <c r="F176" s="13" t="s">
        <v>309</v>
      </c>
      <c r="G176" s="13" t="s">
        <v>310</v>
      </c>
      <c r="H176" s="13" t="n">
        <v>0</v>
      </c>
      <c r="I176" s="13" t="s">
        <v>13</v>
      </c>
    </row>
    <row r="177" customFormat="false" ht="15" hidden="false" customHeight="false" outlineLevel="0" collapsed="false">
      <c r="A177" s="13" t="n">
        <v>6116539</v>
      </c>
      <c r="B177" s="13" t="s">
        <v>9</v>
      </c>
      <c r="C177" s="13" t="s">
        <v>557</v>
      </c>
      <c r="D177" s="14" t="n">
        <v>45657</v>
      </c>
      <c r="E177" s="14" t="n">
        <v>45657</v>
      </c>
      <c r="F177" s="13" t="s">
        <v>311</v>
      </c>
      <c r="G177" s="13" t="s">
        <v>312</v>
      </c>
      <c r="H177" s="13" t="n">
        <v>415067</v>
      </c>
      <c r="I177" s="13" t="s">
        <v>13</v>
      </c>
    </row>
    <row r="178" customFormat="false" ht="15" hidden="false" customHeight="false" outlineLevel="0" collapsed="false">
      <c r="A178" s="13" t="n">
        <v>6116540</v>
      </c>
      <c r="B178" s="13" t="s">
        <v>9</v>
      </c>
      <c r="C178" s="13" t="s">
        <v>557</v>
      </c>
      <c r="D178" s="14" t="n">
        <v>45657</v>
      </c>
      <c r="E178" s="14" t="n">
        <v>45657</v>
      </c>
      <c r="F178" s="13" t="s">
        <v>313</v>
      </c>
      <c r="G178" s="13" t="s">
        <v>314</v>
      </c>
      <c r="H178" s="13" t="n">
        <v>0</v>
      </c>
      <c r="I178" s="13" t="s">
        <v>13</v>
      </c>
    </row>
    <row r="179" customFormat="false" ht="15" hidden="false" customHeight="false" outlineLevel="0" collapsed="false">
      <c r="A179" s="13" t="n">
        <v>6116541</v>
      </c>
      <c r="B179" s="13" t="s">
        <v>9</v>
      </c>
      <c r="C179" s="13" t="s">
        <v>557</v>
      </c>
      <c r="D179" s="14" t="n">
        <v>45657</v>
      </c>
      <c r="E179" s="14" t="n">
        <v>45657</v>
      </c>
      <c r="F179" s="13" t="s">
        <v>315</v>
      </c>
      <c r="G179" s="13" t="s">
        <v>293</v>
      </c>
      <c r="H179" s="13" t="n">
        <v>0</v>
      </c>
      <c r="I179" s="13" t="s">
        <v>13</v>
      </c>
    </row>
    <row r="180" customFormat="false" ht="15" hidden="false" customHeight="false" outlineLevel="0" collapsed="false">
      <c r="A180" s="13" t="n">
        <v>6116542</v>
      </c>
      <c r="B180" s="13" t="s">
        <v>9</v>
      </c>
      <c r="C180" s="13" t="s">
        <v>557</v>
      </c>
      <c r="D180" s="14" t="n">
        <v>45657</v>
      </c>
      <c r="E180" s="14" t="n">
        <v>45657</v>
      </c>
      <c r="F180" s="13" t="s">
        <v>316</v>
      </c>
      <c r="G180" s="13" t="s">
        <v>317</v>
      </c>
      <c r="H180" s="13" t="n">
        <v>604094</v>
      </c>
      <c r="I180" s="13" t="s">
        <v>13</v>
      </c>
    </row>
    <row r="181" customFormat="false" ht="15" hidden="false" customHeight="false" outlineLevel="0" collapsed="false">
      <c r="A181" s="13" t="n">
        <v>6116543</v>
      </c>
      <c r="B181" s="13" t="s">
        <v>9</v>
      </c>
      <c r="C181" s="13" t="s">
        <v>557</v>
      </c>
      <c r="D181" s="14" t="n">
        <v>45657</v>
      </c>
      <c r="E181" s="14" t="n">
        <v>45657</v>
      </c>
      <c r="F181" s="13" t="s">
        <v>318</v>
      </c>
      <c r="G181" s="13" t="s">
        <v>319</v>
      </c>
      <c r="H181" s="13" t="n">
        <v>0</v>
      </c>
      <c r="I181" s="13" t="s">
        <v>13</v>
      </c>
    </row>
    <row r="182" customFormat="false" ht="15" hidden="false" customHeight="false" outlineLevel="0" collapsed="false">
      <c r="A182" s="13" t="n">
        <v>6116544</v>
      </c>
      <c r="B182" s="13" t="s">
        <v>9</v>
      </c>
      <c r="C182" s="13" t="s">
        <v>557</v>
      </c>
      <c r="D182" s="14" t="n">
        <v>45657</v>
      </c>
      <c r="E182" s="14" t="n">
        <v>45657</v>
      </c>
      <c r="F182" s="13" t="s">
        <v>320</v>
      </c>
      <c r="G182" s="13" t="s">
        <v>321</v>
      </c>
      <c r="H182" s="13" t="n">
        <v>0</v>
      </c>
      <c r="I182" s="13" t="s">
        <v>13</v>
      </c>
    </row>
    <row r="183" customFormat="false" ht="15" hidden="false" customHeight="false" outlineLevel="0" collapsed="false">
      <c r="A183" s="13" t="n">
        <v>6116545</v>
      </c>
      <c r="B183" s="13" t="s">
        <v>9</v>
      </c>
      <c r="C183" s="13" t="s">
        <v>557</v>
      </c>
      <c r="D183" s="14" t="n">
        <v>45657</v>
      </c>
      <c r="E183" s="14" t="n">
        <v>45657</v>
      </c>
      <c r="F183" s="13" t="s">
        <v>322</v>
      </c>
      <c r="G183" s="13" t="s">
        <v>323</v>
      </c>
      <c r="H183" s="13" t="n">
        <v>0</v>
      </c>
      <c r="I183" s="13" t="s">
        <v>13</v>
      </c>
    </row>
    <row r="184" customFormat="false" ht="15" hidden="false" customHeight="false" outlineLevel="0" collapsed="false">
      <c r="A184" s="13" t="n">
        <v>6116546</v>
      </c>
      <c r="B184" s="13" t="s">
        <v>9</v>
      </c>
      <c r="C184" s="13" t="s">
        <v>557</v>
      </c>
      <c r="D184" s="14" t="n">
        <v>45657</v>
      </c>
      <c r="E184" s="14" t="n">
        <v>45657</v>
      </c>
      <c r="F184" s="13" t="s">
        <v>324</v>
      </c>
      <c r="G184" s="13" t="s">
        <v>325</v>
      </c>
      <c r="H184" s="13" t="n">
        <v>141012</v>
      </c>
      <c r="I184" s="13" t="s">
        <v>13</v>
      </c>
    </row>
    <row r="185" customFormat="false" ht="15" hidden="false" customHeight="false" outlineLevel="0" collapsed="false">
      <c r="A185" s="13" t="n">
        <v>6116547</v>
      </c>
      <c r="B185" s="13" t="s">
        <v>9</v>
      </c>
      <c r="C185" s="13" t="s">
        <v>557</v>
      </c>
      <c r="D185" s="14" t="n">
        <v>45657</v>
      </c>
      <c r="E185" s="14" t="n">
        <v>45657</v>
      </c>
      <c r="F185" s="13" t="s">
        <v>326</v>
      </c>
      <c r="G185" s="13" t="s">
        <v>327</v>
      </c>
      <c r="H185" s="13" t="n">
        <v>0</v>
      </c>
      <c r="I185" s="13" t="s">
        <v>13</v>
      </c>
    </row>
    <row r="186" customFormat="false" ht="15" hidden="false" customHeight="false" outlineLevel="0" collapsed="false">
      <c r="A186" s="11" t="n">
        <v>6116548</v>
      </c>
      <c r="B186" s="11" t="s">
        <v>9</v>
      </c>
      <c r="C186" s="11" t="s">
        <v>557</v>
      </c>
      <c r="D186" s="12" t="n">
        <v>45292</v>
      </c>
      <c r="E186" s="12" t="n">
        <v>45657</v>
      </c>
      <c r="F186" s="11" t="s">
        <v>328</v>
      </c>
      <c r="G186" s="11" t="s">
        <v>329</v>
      </c>
      <c r="H186" s="11" t="n">
        <v>14436366</v>
      </c>
      <c r="I186" s="11" t="s">
        <v>13</v>
      </c>
    </row>
    <row r="187" customFormat="false" ht="15" hidden="false" customHeight="false" outlineLevel="0" collapsed="false">
      <c r="A187" s="11" t="n">
        <v>6116549</v>
      </c>
      <c r="B187" s="11" t="s">
        <v>9</v>
      </c>
      <c r="C187" s="11" t="s">
        <v>557</v>
      </c>
      <c r="D187" s="12" t="n">
        <v>45292</v>
      </c>
      <c r="E187" s="12" t="n">
        <v>45657</v>
      </c>
      <c r="F187" s="11" t="s">
        <v>330</v>
      </c>
      <c r="G187" s="11" t="s">
        <v>331</v>
      </c>
      <c r="H187" s="11" t="n">
        <v>12629856</v>
      </c>
      <c r="I187" s="11" t="s">
        <v>13</v>
      </c>
    </row>
    <row r="188" customFormat="false" ht="15" hidden="false" customHeight="false" outlineLevel="0" collapsed="false">
      <c r="A188" s="11" t="n">
        <v>6116550</v>
      </c>
      <c r="B188" s="11" t="s">
        <v>9</v>
      </c>
      <c r="C188" s="11" t="s">
        <v>557</v>
      </c>
      <c r="D188" s="12" t="n">
        <v>45292</v>
      </c>
      <c r="E188" s="12" t="n">
        <v>45657</v>
      </c>
      <c r="F188" s="11" t="s">
        <v>332</v>
      </c>
      <c r="G188" s="11" t="s">
        <v>333</v>
      </c>
      <c r="H188" s="11" t="n">
        <v>1806510</v>
      </c>
      <c r="I188" s="11" t="s">
        <v>13</v>
      </c>
    </row>
    <row r="189" customFormat="false" ht="15" hidden="false" customHeight="false" outlineLevel="0" collapsed="false">
      <c r="A189" s="11" t="n">
        <v>6116551</v>
      </c>
      <c r="B189" s="11" t="s">
        <v>9</v>
      </c>
      <c r="C189" s="11" t="s">
        <v>557</v>
      </c>
      <c r="D189" s="12" t="n">
        <v>45292</v>
      </c>
      <c r="E189" s="12" t="n">
        <v>45657</v>
      </c>
      <c r="F189" s="11" t="s">
        <v>334</v>
      </c>
      <c r="G189" s="11" t="s">
        <v>335</v>
      </c>
      <c r="H189" s="11" t="n">
        <f aca="false">ABS(H191)</f>
        <v>55183</v>
      </c>
      <c r="I189" s="11" t="s">
        <v>13</v>
      </c>
    </row>
    <row r="190" customFormat="false" ht="15" hidden="false" customHeight="false" outlineLevel="0" collapsed="false">
      <c r="A190" s="13" t="n">
        <v>6116552</v>
      </c>
      <c r="B190" s="13" t="s">
        <v>9</v>
      </c>
      <c r="C190" s="13" t="s">
        <v>557</v>
      </c>
      <c r="D190" s="14" t="n">
        <v>45292</v>
      </c>
      <c r="E190" s="14" t="n">
        <v>45657</v>
      </c>
      <c r="F190" s="13" t="s">
        <v>336</v>
      </c>
      <c r="G190" s="13" t="s">
        <v>337</v>
      </c>
      <c r="H190" s="13" t="n">
        <v>-5639234</v>
      </c>
      <c r="I190" s="13" t="s">
        <v>13</v>
      </c>
    </row>
    <row r="191" customFormat="false" ht="15" hidden="false" customHeight="false" outlineLevel="0" collapsed="false">
      <c r="A191" s="11" t="n">
        <v>6116553</v>
      </c>
      <c r="B191" s="11" t="s">
        <v>9</v>
      </c>
      <c r="C191" s="11" t="s">
        <v>557</v>
      </c>
      <c r="D191" s="12" t="n">
        <v>45292</v>
      </c>
      <c r="E191" s="12" t="n">
        <v>45657</v>
      </c>
      <c r="F191" s="11" t="s">
        <v>338</v>
      </c>
      <c r="G191" s="11" t="s">
        <v>339</v>
      </c>
      <c r="H191" s="11" t="n">
        <v>-55183</v>
      </c>
      <c r="I191" s="11" t="s">
        <v>13</v>
      </c>
    </row>
    <row r="192" customFormat="false" ht="15" hidden="false" customHeight="false" outlineLevel="0" collapsed="false">
      <c r="A192" s="11" t="n">
        <v>6116554</v>
      </c>
      <c r="B192" s="11" t="s">
        <v>9</v>
      </c>
      <c r="C192" s="11" t="s">
        <v>557</v>
      </c>
      <c r="D192" s="12" t="n">
        <v>45292</v>
      </c>
      <c r="E192" s="12" t="n">
        <v>45657</v>
      </c>
      <c r="F192" s="11" t="s">
        <v>340</v>
      </c>
      <c r="G192" s="11" t="s">
        <v>341</v>
      </c>
      <c r="H192" s="11" t="n">
        <v>8741949</v>
      </c>
      <c r="I192" s="11" t="s">
        <v>13</v>
      </c>
    </row>
    <row r="193" customFormat="false" ht="15" hidden="false" customHeight="false" outlineLevel="0" collapsed="false">
      <c r="A193" s="11" t="n">
        <v>6116555</v>
      </c>
      <c r="B193" s="11" t="s">
        <v>9</v>
      </c>
      <c r="C193" s="11" t="s">
        <v>557</v>
      </c>
      <c r="D193" s="12" t="n">
        <v>45292</v>
      </c>
      <c r="E193" s="12" t="n">
        <v>45657</v>
      </c>
      <c r="F193" s="11" t="s">
        <v>342</v>
      </c>
      <c r="G193" s="11" t="s">
        <v>343</v>
      </c>
      <c r="H193" s="11" t="n">
        <v>-7482606</v>
      </c>
      <c r="I193" s="11" t="s">
        <v>13</v>
      </c>
    </row>
    <row r="194" customFormat="false" ht="15" hidden="false" customHeight="false" outlineLevel="0" collapsed="false">
      <c r="A194" s="11" t="n">
        <v>6116556</v>
      </c>
      <c r="B194" s="11" t="s">
        <v>9</v>
      </c>
      <c r="C194" s="11" t="s">
        <v>557</v>
      </c>
      <c r="D194" s="12" t="n">
        <v>45292</v>
      </c>
      <c r="E194" s="12" t="n">
        <v>45657</v>
      </c>
      <c r="F194" s="11" t="s">
        <v>344</v>
      </c>
      <c r="G194" s="11" t="s">
        <v>345</v>
      </c>
      <c r="H194" s="11" t="n">
        <v>-3881212</v>
      </c>
      <c r="I194" s="11" t="s">
        <v>13</v>
      </c>
    </row>
    <row r="195" customFormat="false" ht="15" hidden="false" customHeight="false" outlineLevel="0" collapsed="false">
      <c r="A195" s="11" t="n">
        <v>6116557</v>
      </c>
      <c r="B195" s="11" t="s">
        <v>9</v>
      </c>
      <c r="C195" s="11" t="s">
        <v>557</v>
      </c>
      <c r="D195" s="12" t="n">
        <v>45292</v>
      </c>
      <c r="E195" s="12" t="n">
        <v>45657</v>
      </c>
      <c r="F195" s="11" t="s">
        <v>346</v>
      </c>
      <c r="G195" s="11" t="s">
        <v>347</v>
      </c>
      <c r="H195" s="11" t="n">
        <v>-1847770</v>
      </c>
      <c r="I195" s="11" t="s">
        <v>13</v>
      </c>
    </row>
    <row r="196" customFormat="false" ht="15" hidden="false" customHeight="false" outlineLevel="0" collapsed="false">
      <c r="A196" s="11" t="n">
        <v>6116558</v>
      </c>
      <c r="B196" s="11" t="s">
        <v>9</v>
      </c>
      <c r="C196" s="11" t="s">
        <v>557</v>
      </c>
      <c r="D196" s="12" t="n">
        <v>45292</v>
      </c>
      <c r="E196" s="12" t="n">
        <v>45657</v>
      </c>
      <c r="F196" s="11" t="s">
        <v>348</v>
      </c>
      <c r="G196" s="11" t="s">
        <v>349</v>
      </c>
      <c r="H196" s="11" t="n">
        <v>-957280</v>
      </c>
      <c r="I196" s="11" t="s">
        <v>13</v>
      </c>
    </row>
    <row r="197" customFormat="false" ht="15" hidden="false" customHeight="false" outlineLevel="0" collapsed="false">
      <c r="A197" s="11" t="n">
        <v>6116559</v>
      </c>
      <c r="B197" s="11" t="s">
        <v>9</v>
      </c>
      <c r="C197" s="11" t="s">
        <v>557</v>
      </c>
      <c r="D197" s="12" t="n">
        <v>45292</v>
      </c>
      <c r="E197" s="12" t="n">
        <v>45657</v>
      </c>
      <c r="F197" s="11" t="s">
        <v>350</v>
      </c>
      <c r="G197" s="11" t="s">
        <v>351</v>
      </c>
      <c r="H197" s="11" t="n">
        <v>210230</v>
      </c>
      <c r="I197" s="11" t="s">
        <v>13</v>
      </c>
    </row>
    <row r="198" customFormat="false" ht="15" hidden="false" customHeight="false" outlineLevel="0" collapsed="false">
      <c r="A198" s="11" t="n">
        <v>6116560</v>
      </c>
      <c r="B198" s="11" t="s">
        <v>9</v>
      </c>
      <c r="C198" s="11" t="s">
        <v>557</v>
      </c>
      <c r="D198" s="12" t="n">
        <v>45292</v>
      </c>
      <c r="E198" s="12" t="n">
        <v>45657</v>
      </c>
      <c r="F198" s="11" t="s">
        <v>352</v>
      </c>
      <c r="G198" s="11" t="s">
        <v>353</v>
      </c>
      <c r="H198" s="11" t="n">
        <v>-1006574</v>
      </c>
      <c r="I198" s="11" t="s">
        <v>13</v>
      </c>
    </row>
    <row r="199" customFormat="false" ht="15" hidden="false" customHeight="false" outlineLevel="0" collapsed="false">
      <c r="A199" s="11" t="n">
        <v>6116561</v>
      </c>
      <c r="B199" s="11" t="s">
        <v>9</v>
      </c>
      <c r="C199" s="11" t="s">
        <v>557</v>
      </c>
      <c r="D199" s="12" t="n">
        <v>45292</v>
      </c>
      <c r="E199" s="12" t="n">
        <v>45657</v>
      </c>
      <c r="F199" s="11" t="s">
        <v>354</v>
      </c>
      <c r="G199" s="11" t="s">
        <v>355</v>
      </c>
      <c r="H199" s="11" t="n">
        <v>0</v>
      </c>
      <c r="I199" s="11" t="s">
        <v>13</v>
      </c>
    </row>
    <row r="200" customFormat="false" ht="15" hidden="false" customHeight="false" outlineLevel="0" collapsed="false">
      <c r="A200" s="11" t="n">
        <v>6116562</v>
      </c>
      <c r="B200" s="11" t="s">
        <v>9</v>
      </c>
      <c r="C200" s="11" t="s">
        <v>557</v>
      </c>
      <c r="D200" s="12" t="n">
        <v>45292</v>
      </c>
      <c r="E200" s="12" t="n">
        <v>45657</v>
      </c>
      <c r="F200" s="11" t="s">
        <v>356</v>
      </c>
      <c r="G200" s="11" t="s">
        <v>357</v>
      </c>
      <c r="H200" s="11" t="n">
        <v>1259343</v>
      </c>
      <c r="I200" s="11" t="s">
        <v>13</v>
      </c>
    </row>
    <row r="201" customFormat="false" ht="15" hidden="false" customHeight="false" outlineLevel="0" collapsed="false">
      <c r="A201" s="11" t="n">
        <v>6116563</v>
      </c>
      <c r="B201" s="11" t="s">
        <v>9</v>
      </c>
      <c r="C201" s="11" t="s">
        <v>557</v>
      </c>
      <c r="D201" s="12" t="n">
        <v>45292</v>
      </c>
      <c r="E201" s="12" t="n">
        <v>45657</v>
      </c>
      <c r="F201" s="11" t="s">
        <v>358</v>
      </c>
      <c r="G201" s="11" t="s">
        <v>359</v>
      </c>
      <c r="H201" s="11" t="n">
        <v>61654</v>
      </c>
      <c r="I201" s="11" t="s">
        <v>13</v>
      </c>
    </row>
    <row r="202" customFormat="false" ht="15" hidden="false" customHeight="false" outlineLevel="0" collapsed="false">
      <c r="A202" s="11" t="n">
        <v>6116564</v>
      </c>
      <c r="B202" s="11" t="s">
        <v>9</v>
      </c>
      <c r="C202" s="11" t="s">
        <v>557</v>
      </c>
      <c r="D202" s="12" t="n">
        <v>45292</v>
      </c>
      <c r="E202" s="12" t="n">
        <v>45657</v>
      </c>
      <c r="F202" s="11" t="s">
        <v>360</v>
      </c>
      <c r="G202" s="11" t="s">
        <v>361</v>
      </c>
      <c r="H202" s="11" t="n">
        <v>547367</v>
      </c>
      <c r="I202" s="11" t="s">
        <v>13</v>
      </c>
    </row>
    <row r="203" customFormat="false" ht="15" hidden="false" customHeight="false" outlineLevel="0" collapsed="false">
      <c r="A203" s="11" t="n">
        <v>6116565</v>
      </c>
      <c r="B203" s="11" t="s">
        <v>9</v>
      </c>
      <c r="C203" s="11" t="s">
        <v>557</v>
      </c>
      <c r="D203" s="12" t="n">
        <v>45292</v>
      </c>
      <c r="E203" s="12" t="n">
        <v>45657</v>
      </c>
      <c r="F203" s="11" t="s">
        <v>362</v>
      </c>
      <c r="G203" s="11" t="s">
        <v>363</v>
      </c>
      <c r="H203" s="11" t="n">
        <v>-485713</v>
      </c>
      <c r="I203" s="11" t="s">
        <v>13</v>
      </c>
    </row>
    <row r="204" customFormat="false" ht="15" hidden="false" customHeight="false" outlineLevel="0" collapsed="false">
      <c r="A204" s="11" t="n">
        <v>6116566</v>
      </c>
      <c r="B204" s="11" t="s">
        <v>9</v>
      </c>
      <c r="C204" s="11" t="s">
        <v>557</v>
      </c>
      <c r="D204" s="12" t="n">
        <v>45292</v>
      </c>
      <c r="E204" s="12" t="n">
        <v>45657</v>
      </c>
      <c r="F204" s="11" t="s">
        <v>364</v>
      </c>
      <c r="G204" s="11" t="s">
        <v>365</v>
      </c>
      <c r="H204" s="11" t="n">
        <v>1320997</v>
      </c>
      <c r="I204" s="11" t="s">
        <v>13</v>
      </c>
    </row>
    <row r="205" customFormat="false" ht="15" hidden="false" customHeight="false" outlineLevel="0" collapsed="false">
      <c r="A205" s="11" t="n">
        <v>6116567</v>
      </c>
      <c r="B205" s="11" t="s">
        <v>9</v>
      </c>
      <c r="C205" s="11" t="s">
        <v>557</v>
      </c>
      <c r="D205" s="12" t="n">
        <v>45292</v>
      </c>
      <c r="E205" s="12" t="n">
        <v>45657</v>
      </c>
      <c r="F205" s="11" t="s">
        <v>366</v>
      </c>
      <c r="G205" s="11" t="s">
        <v>367</v>
      </c>
      <c r="H205" s="11" t="n">
        <v>-124329</v>
      </c>
      <c r="I205" s="11" t="s">
        <v>13</v>
      </c>
    </row>
    <row r="206" customFormat="false" ht="15" hidden="false" customHeight="false" outlineLevel="0" collapsed="false">
      <c r="A206" s="11" t="n">
        <v>6116568</v>
      </c>
      <c r="B206" s="11" t="s">
        <v>9</v>
      </c>
      <c r="C206" s="11" t="s">
        <v>557</v>
      </c>
      <c r="D206" s="12" t="n">
        <v>45292</v>
      </c>
      <c r="E206" s="12" t="n">
        <v>45657</v>
      </c>
      <c r="F206" s="11" t="s">
        <v>368</v>
      </c>
      <c r="G206" s="11" t="s">
        <v>369</v>
      </c>
      <c r="H206" s="11" t="n">
        <v>-118795</v>
      </c>
      <c r="I206" s="11" t="s">
        <v>13</v>
      </c>
    </row>
    <row r="207" customFormat="false" ht="15" hidden="false" customHeight="false" outlineLevel="0" collapsed="false">
      <c r="A207" s="11" t="n">
        <v>6116569</v>
      </c>
      <c r="B207" s="11" t="s">
        <v>9</v>
      </c>
      <c r="C207" s="11" t="s">
        <v>557</v>
      </c>
      <c r="D207" s="12" t="n">
        <v>45292</v>
      </c>
      <c r="E207" s="12" t="n">
        <v>45657</v>
      </c>
      <c r="F207" s="11" t="s">
        <v>370</v>
      </c>
      <c r="G207" s="11" t="s">
        <v>371</v>
      </c>
      <c r="H207" s="11" t="n">
        <v>-5534</v>
      </c>
      <c r="I207" s="11" t="s">
        <v>13</v>
      </c>
    </row>
    <row r="208" customFormat="false" ht="15" hidden="false" customHeight="false" outlineLevel="0" collapsed="false">
      <c r="A208" s="11" t="n">
        <v>6116570</v>
      </c>
      <c r="B208" s="11" t="s">
        <v>9</v>
      </c>
      <c r="C208" s="11" t="s">
        <v>557</v>
      </c>
      <c r="D208" s="12" t="n">
        <v>45292</v>
      </c>
      <c r="E208" s="12" t="n">
        <v>45657</v>
      </c>
      <c r="F208" s="11" t="s">
        <v>372</v>
      </c>
      <c r="G208" s="11" t="s">
        <v>373</v>
      </c>
      <c r="H208" s="11" t="n">
        <v>1196668</v>
      </c>
      <c r="I208" s="11" t="s">
        <v>13</v>
      </c>
    </row>
    <row r="209" customFormat="false" ht="15" hidden="false" customHeight="false" outlineLevel="0" collapsed="false">
      <c r="A209" s="11" t="n">
        <v>6116571</v>
      </c>
      <c r="B209" s="11" t="s">
        <v>9</v>
      </c>
      <c r="C209" s="11" t="s">
        <v>557</v>
      </c>
      <c r="D209" s="12" t="n">
        <v>45292</v>
      </c>
      <c r="E209" s="12" t="n">
        <v>45657</v>
      </c>
      <c r="F209" s="11" t="s">
        <v>374</v>
      </c>
      <c r="G209" s="11" t="s">
        <v>375</v>
      </c>
      <c r="H209" s="11" t="n">
        <v>0</v>
      </c>
      <c r="I209" s="11" t="s">
        <v>13</v>
      </c>
    </row>
    <row r="210" customFormat="false" ht="15" hidden="false" customHeight="false" outlineLevel="0" collapsed="false">
      <c r="A210" s="11" t="n">
        <v>6116572</v>
      </c>
      <c r="B210" s="11" t="s">
        <v>9</v>
      </c>
      <c r="C210" s="11" t="s">
        <v>557</v>
      </c>
      <c r="D210" s="12" t="n">
        <v>45292</v>
      </c>
      <c r="E210" s="12" t="n">
        <v>45657</v>
      </c>
      <c r="F210" s="11" t="s">
        <v>376</v>
      </c>
      <c r="G210" s="11" t="s">
        <v>377</v>
      </c>
      <c r="H210" s="11" t="n">
        <v>0</v>
      </c>
      <c r="I210" s="11" t="s">
        <v>13</v>
      </c>
    </row>
    <row r="211" customFormat="false" ht="15" hidden="false" customHeight="false" outlineLevel="0" collapsed="false">
      <c r="A211" s="11" t="n">
        <v>6116573</v>
      </c>
      <c r="B211" s="11" t="s">
        <v>9</v>
      </c>
      <c r="C211" s="11" t="s">
        <v>557</v>
      </c>
      <c r="D211" s="12" t="n">
        <v>45292</v>
      </c>
      <c r="E211" s="12" t="n">
        <v>45657</v>
      </c>
      <c r="F211" s="11" t="s">
        <v>378</v>
      </c>
      <c r="G211" s="11" t="s">
        <v>379</v>
      </c>
      <c r="H211" s="11" t="n">
        <v>0</v>
      </c>
      <c r="I211" s="11" t="s">
        <v>13</v>
      </c>
    </row>
    <row r="212" customFormat="false" ht="15" hidden="false" customHeight="false" outlineLevel="0" collapsed="false">
      <c r="A212" s="11" t="n">
        <v>6116574</v>
      </c>
      <c r="B212" s="11" t="s">
        <v>9</v>
      </c>
      <c r="C212" s="11" t="s">
        <v>557</v>
      </c>
      <c r="D212" s="12" t="n">
        <v>45292</v>
      </c>
      <c r="E212" s="12" t="n">
        <v>45657</v>
      </c>
      <c r="F212" s="11" t="s">
        <v>380</v>
      </c>
      <c r="G212" s="11" t="s">
        <v>381</v>
      </c>
      <c r="H212" s="11" t="n">
        <v>1196668</v>
      </c>
      <c r="I212" s="11" t="s">
        <v>13</v>
      </c>
    </row>
    <row r="213" customFormat="false" ht="15" hidden="false" customHeight="false" outlineLevel="0" collapsed="false">
      <c r="A213" s="11" t="n">
        <v>6116575</v>
      </c>
      <c r="B213" s="11" t="s">
        <v>9</v>
      </c>
      <c r="C213" s="11" t="s">
        <v>557</v>
      </c>
      <c r="D213" s="12" t="n">
        <v>45292</v>
      </c>
      <c r="E213" s="12" t="n">
        <v>45657</v>
      </c>
      <c r="F213" s="11" t="s">
        <v>382</v>
      </c>
      <c r="G213" s="11" t="s">
        <v>383</v>
      </c>
      <c r="H213" s="11" t="n">
        <v>1196668</v>
      </c>
      <c r="I213" s="11" t="s">
        <v>13</v>
      </c>
    </row>
    <row r="214" customFormat="false" ht="15" hidden="false" customHeight="false" outlineLevel="0" collapsed="false">
      <c r="A214" s="11" t="n">
        <v>6116576</v>
      </c>
      <c r="B214" s="11" t="s">
        <v>9</v>
      </c>
      <c r="C214" s="11" t="s">
        <v>557</v>
      </c>
      <c r="D214" s="12" t="n">
        <v>45292</v>
      </c>
      <c r="E214" s="12" t="n">
        <v>45657</v>
      </c>
      <c r="F214" s="11" t="s">
        <v>384</v>
      </c>
      <c r="G214" s="11" t="s">
        <v>385</v>
      </c>
      <c r="H214" s="11" t="n">
        <v>0</v>
      </c>
      <c r="I214" s="11" t="s">
        <v>13</v>
      </c>
    </row>
    <row r="215" customFormat="false" ht="15" hidden="false" customHeight="false" outlineLevel="0" collapsed="false">
      <c r="A215" s="11" t="n">
        <v>6116577</v>
      </c>
      <c r="B215" s="11" t="s">
        <v>9</v>
      </c>
      <c r="C215" s="11" t="s">
        <v>557</v>
      </c>
      <c r="D215" s="12" t="n">
        <v>45292</v>
      </c>
      <c r="E215" s="12" t="n">
        <v>45657</v>
      </c>
      <c r="F215" s="11" t="s">
        <v>386</v>
      </c>
      <c r="G215" s="11" t="s">
        <v>387</v>
      </c>
      <c r="H215" s="11" t="n">
        <v>0</v>
      </c>
      <c r="I215" s="11" t="s">
        <v>13</v>
      </c>
    </row>
    <row r="216" customFormat="false" ht="15" hidden="false" customHeight="false" outlineLevel="0" collapsed="false">
      <c r="A216" s="11" t="n">
        <v>6116578</v>
      </c>
      <c r="B216" s="11" t="s">
        <v>9</v>
      </c>
      <c r="C216" s="11" t="s">
        <v>557</v>
      </c>
      <c r="D216" s="12" t="n">
        <v>45292</v>
      </c>
      <c r="E216" s="12" t="n">
        <v>45657</v>
      </c>
      <c r="F216" s="11" t="s">
        <v>388</v>
      </c>
      <c r="G216" s="11" t="s">
        <v>389</v>
      </c>
      <c r="H216" s="11" t="n">
        <v>1</v>
      </c>
      <c r="I216" s="11" t="s">
        <v>13</v>
      </c>
    </row>
    <row r="217" customFormat="false" ht="15" hidden="false" customHeight="false" outlineLevel="0" collapsed="false">
      <c r="A217" s="11" t="n">
        <v>6116579</v>
      </c>
      <c r="B217" s="11" t="s">
        <v>9</v>
      </c>
      <c r="C217" s="11" t="s">
        <v>557</v>
      </c>
      <c r="D217" s="12" t="n">
        <v>45292</v>
      </c>
      <c r="E217" s="12" t="n">
        <v>45657</v>
      </c>
      <c r="F217" s="11" t="s">
        <v>390</v>
      </c>
      <c r="G217" s="11" t="s">
        <v>391</v>
      </c>
      <c r="H217" s="11" t="n">
        <v>1</v>
      </c>
      <c r="I217" s="11" t="s">
        <v>13</v>
      </c>
    </row>
    <row r="218" customFormat="false" ht="15" hidden="false" customHeight="false" outlineLevel="0" collapsed="false">
      <c r="A218" s="11" t="n">
        <v>6116580</v>
      </c>
      <c r="B218" s="11" t="s">
        <v>9</v>
      </c>
      <c r="C218" s="11" t="s">
        <v>557</v>
      </c>
      <c r="D218" s="12" t="n">
        <v>45292</v>
      </c>
      <c r="E218" s="12" t="n">
        <v>45657</v>
      </c>
      <c r="F218" s="11" t="s">
        <v>392</v>
      </c>
      <c r="G218" s="11" t="s">
        <v>393</v>
      </c>
      <c r="H218" s="11" t="n">
        <v>1</v>
      </c>
      <c r="I218" s="11" t="s">
        <v>13</v>
      </c>
    </row>
    <row r="219" customFormat="false" ht="15" hidden="false" customHeight="false" outlineLevel="0" collapsed="false">
      <c r="A219" s="11" t="n">
        <v>6116581</v>
      </c>
      <c r="B219" s="11" t="s">
        <v>9</v>
      </c>
      <c r="C219" s="11" t="s">
        <v>557</v>
      </c>
      <c r="D219" s="12" t="n">
        <v>45292</v>
      </c>
      <c r="E219" s="12" t="n">
        <v>45657</v>
      </c>
      <c r="F219" s="11" t="s">
        <v>394</v>
      </c>
      <c r="G219" s="11" t="s">
        <v>391</v>
      </c>
      <c r="H219" s="11" t="n">
        <v>1</v>
      </c>
      <c r="I219" s="11" t="s">
        <v>13</v>
      </c>
    </row>
    <row r="220" customFormat="false" ht="15" hidden="false" customHeight="false" outlineLevel="0" collapsed="false">
      <c r="A220" s="11" t="n">
        <v>6116582</v>
      </c>
      <c r="B220" s="11" t="s">
        <v>9</v>
      </c>
      <c r="C220" s="11" t="s">
        <v>557</v>
      </c>
      <c r="D220" s="12" t="n">
        <v>45292</v>
      </c>
      <c r="E220" s="12" t="n">
        <v>45657</v>
      </c>
      <c r="F220" s="11" t="s">
        <v>395</v>
      </c>
      <c r="G220" s="11" t="s">
        <v>396</v>
      </c>
      <c r="H220" s="11" t="n">
        <v>2487007</v>
      </c>
      <c r="I220" s="11" t="s">
        <v>13</v>
      </c>
    </row>
    <row r="221" customFormat="false" ht="15" hidden="false" customHeight="false" outlineLevel="0" collapsed="false">
      <c r="A221" s="11" t="n">
        <v>6116583</v>
      </c>
      <c r="B221" s="11" t="s">
        <v>9</v>
      </c>
      <c r="C221" s="11" t="s">
        <v>557</v>
      </c>
      <c r="D221" s="12" t="n">
        <v>45292</v>
      </c>
      <c r="E221" s="12" t="n">
        <v>45657</v>
      </c>
      <c r="F221" s="11" t="s">
        <v>397</v>
      </c>
      <c r="G221" s="11" t="s">
        <v>398</v>
      </c>
      <c r="H221" s="11" t="n">
        <v>2856613</v>
      </c>
      <c r="I221" s="11" t="s">
        <v>13</v>
      </c>
    </row>
    <row r="222" customFormat="false" ht="15" hidden="false" customHeight="false" outlineLevel="0" collapsed="false">
      <c r="A222" s="11" t="n">
        <v>6116584</v>
      </c>
      <c r="B222" s="11" t="s">
        <v>9</v>
      </c>
      <c r="C222" s="11" t="s">
        <v>557</v>
      </c>
      <c r="D222" s="12" t="n">
        <v>45292</v>
      </c>
      <c r="E222" s="12" t="n">
        <v>45657</v>
      </c>
      <c r="F222" s="11" t="s">
        <v>399</v>
      </c>
      <c r="G222" s="11" t="s">
        <v>400</v>
      </c>
      <c r="H222" s="11" t="n">
        <v>1196668</v>
      </c>
      <c r="I222" s="11" t="s">
        <v>13</v>
      </c>
    </row>
    <row r="223" customFormat="false" ht="15" hidden="false" customHeight="false" outlineLevel="0" collapsed="false">
      <c r="A223" s="11" t="n">
        <v>6116585</v>
      </c>
      <c r="B223" s="11" t="s">
        <v>9</v>
      </c>
      <c r="C223" s="11" t="s">
        <v>557</v>
      </c>
      <c r="D223" s="12" t="n">
        <v>45292</v>
      </c>
      <c r="E223" s="12" t="n">
        <v>45657</v>
      </c>
      <c r="F223" s="11" t="s">
        <v>401</v>
      </c>
      <c r="G223" s="11" t="s">
        <v>402</v>
      </c>
      <c r="H223" s="11" t="n">
        <v>1244254</v>
      </c>
      <c r="I223" s="11" t="s">
        <v>13</v>
      </c>
    </row>
    <row r="224" customFormat="false" ht="15" hidden="false" customHeight="false" outlineLevel="0" collapsed="false">
      <c r="A224" s="11" t="n">
        <v>6116586</v>
      </c>
      <c r="B224" s="11" t="s">
        <v>9</v>
      </c>
      <c r="C224" s="11" t="s">
        <v>557</v>
      </c>
      <c r="D224" s="12" t="n">
        <v>45292</v>
      </c>
      <c r="E224" s="12" t="n">
        <v>45657</v>
      </c>
      <c r="F224" s="11" t="s">
        <v>403</v>
      </c>
      <c r="G224" s="11" t="s">
        <v>553</v>
      </c>
      <c r="H224" s="11" t="n">
        <v>422533</v>
      </c>
      <c r="I224" s="11" t="s">
        <v>13</v>
      </c>
    </row>
    <row r="225" customFormat="false" ht="15" hidden="false" customHeight="false" outlineLevel="0" collapsed="false">
      <c r="A225" s="11" t="n">
        <v>6116587</v>
      </c>
      <c r="B225" s="11" t="s">
        <v>9</v>
      </c>
      <c r="C225" s="11" t="s">
        <v>557</v>
      </c>
      <c r="D225" s="12" t="n">
        <v>45292</v>
      </c>
      <c r="E225" s="12" t="n">
        <v>45657</v>
      </c>
      <c r="F225" s="11" t="s">
        <v>407</v>
      </c>
      <c r="G225" s="11" t="s">
        <v>408</v>
      </c>
      <c r="H225" s="11" t="n">
        <v>124329</v>
      </c>
      <c r="I225" s="11" t="s">
        <v>13</v>
      </c>
    </row>
    <row r="226" customFormat="false" ht="15" hidden="false" customHeight="false" outlineLevel="0" collapsed="false">
      <c r="A226" s="11" t="n">
        <v>6116588</v>
      </c>
      <c r="B226" s="11" t="s">
        <v>9</v>
      </c>
      <c r="C226" s="11" t="s">
        <v>557</v>
      </c>
      <c r="D226" s="12" t="n">
        <v>45292</v>
      </c>
      <c r="E226" s="12" t="n">
        <v>45657</v>
      </c>
      <c r="F226" s="11" t="s">
        <v>409</v>
      </c>
      <c r="G226" s="11" t="s">
        <v>410</v>
      </c>
      <c r="H226" s="11" t="n">
        <v>-252754</v>
      </c>
      <c r="I226" s="11" t="s">
        <v>13</v>
      </c>
    </row>
    <row r="227" customFormat="false" ht="15" hidden="false" customHeight="false" outlineLevel="0" collapsed="false">
      <c r="A227" s="11" t="n">
        <v>6116589</v>
      </c>
      <c r="B227" s="11" t="s">
        <v>9</v>
      </c>
      <c r="C227" s="11" t="s">
        <v>557</v>
      </c>
      <c r="D227" s="12" t="n">
        <v>45292</v>
      </c>
      <c r="E227" s="12" t="n">
        <v>45657</v>
      </c>
      <c r="F227" s="11" t="s">
        <v>411</v>
      </c>
      <c r="G227" s="11" t="s">
        <v>412</v>
      </c>
      <c r="H227" s="11" t="n">
        <v>121583</v>
      </c>
      <c r="I227" s="11" t="s">
        <v>13</v>
      </c>
    </row>
    <row r="228" customFormat="false" ht="15" hidden="false" customHeight="false" outlineLevel="0" collapsed="false">
      <c r="A228" s="11" t="n">
        <v>6116590</v>
      </c>
      <c r="B228" s="11" t="s">
        <v>9</v>
      </c>
      <c r="C228" s="11" t="s">
        <v>557</v>
      </c>
      <c r="D228" s="12" t="n">
        <v>45292</v>
      </c>
      <c r="E228" s="12" t="n">
        <v>45657</v>
      </c>
      <c r="F228" s="11" t="s">
        <v>413</v>
      </c>
      <c r="G228" s="11" t="s">
        <v>414</v>
      </c>
      <c r="H228" s="11" t="n">
        <v>0</v>
      </c>
      <c r="I228" s="11" t="s">
        <v>13</v>
      </c>
    </row>
    <row r="229" customFormat="false" ht="15" hidden="false" customHeight="false" outlineLevel="0" collapsed="false">
      <c r="A229" s="11" t="n">
        <v>6116591</v>
      </c>
      <c r="B229" s="11" t="s">
        <v>9</v>
      </c>
      <c r="C229" s="11" t="s">
        <v>557</v>
      </c>
      <c r="D229" s="12" t="n">
        <v>45292</v>
      </c>
      <c r="E229" s="12" t="n">
        <v>45657</v>
      </c>
      <c r="F229" s="11" t="s">
        <v>415</v>
      </c>
      <c r="G229" s="11" t="s">
        <v>416</v>
      </c>
      <c r="H229" s="11" t="n">
        <v>0</v>
      </c>
      <c r="I229" s="11" t="s">
        <v>13</v>
      </c>
    </row>
    <row r="230" customFormat="false" ht="15" hidden="false" customHeight="false" outlineLevel="0" collapsed="false">
      <c r="A230" s="11" t="n">
        <v>6116592</v>
      </c>
      <c r="B230" s="11" t="s">
        <v>9</v>
      </c>
      <c r="C230" s="11" t="s">
        <v>557</v>
      </c>
      <c r="D230" s="12" t="n">
        <v>45292</v>
      </c>
      <c r="E230" s="12" t="n">
        <v>45657</v>
      </c>
      <c r="F230" s="11" t="s">
        <v>417</v>
      </c>
      <c r="G230" s="11" t="s">
        <v>418</v>
      </c>
      <c r="H230" s="11" t="n">
        <v>232090</v>
      </c>
      <c r="I230" s="11" t="s">
        <v>13</v>
      </c>
    </row>
    <row r="231" customFormat="false" ht="15" hidden="false" customHeight="false" outlineLevel="0" collapsed="false">
      <c r="A231" s="11" t="n">
        <v>6116593</v>
      </c>
      <c r="B231" s="11" t="s">
        <v>9</v>
      </c>
      <c r="C231" s="11" t="s">
        <v>557</v>
      </c>
      <c r="D231" s="12" t="n">
        <v>45292</v>
      </c>
      <c r="E231" s="12" t="n">
        <v>45657</v>
      </c>
      <c r="F231" s="11" t="s">
        <v>419</v>
      </c>
      <c r="G231" s="11" t="s">
        <v>420</v>
      </c>
      <c r="H231" s="11" t="n">
        <v>13857</v>
      </c>
      <c r="I231" s="11" t="s">
        <v>13</v>
      </c>
    </row>
    <row r="232" customFormat="false" ht="15" hidden="false" customHeight="false" outlineLevel="0" collapsed="false">
      <c r="A232" s="11" t="n">
        <v>6116594</v>
      </c>
      <c r="B232" s="11" t="s">
        <v>9</v>
      </c>
      <c r="C232" s="11" t="s">
        <v>557</v>
      </c>
      <c r="D232" s="12" t="n">
        <v>45292</v>
      </c>
      <c r="E232" s="12" t="n">
        <v>45657</v>
      </c>
      <c r="F232" s="11" t="s">
        <v>421</v>
      </c>
      <c r="G232" s="11" t="s">
        <v>37</v>
      </c>
      <c r="H232" s="11" t="n">
        <v>-139897</v>
      </c>
      <c r="I232" s="11" t="s">
        <v>13</v>
      </c>
    </row>
    <row r="233" customFormat="false" ht="15" hidden="false" customHeight="false" outlineLevel="0" collapsed="false">
      <c r="A233" s="11" t="n">
        <v>6116595</v>
      </c>
      <c r="B233" s="11" t="s">
        <v>9</v>
      </c>
      <c r="C233" s="11" t="s">
        <v>557</v>
      </c>
      <c r="D233" s="12" t="n">
        <v>45292</v>
      </c>
      <c r="E233" s="12" t="n">
        <v>45657</v>
      </c>
      <c r="F233" s="11" t="s">
        <v>422</v>
      </c>
      <c r="G233" s="11" t="s">
        <v>95</v>
      </c>
      <c r="H233" s="11" t="n">
        <v>-77659</v>
      </c>
      <c r="I233" s="11" t="s">
        <v>13</v>
      </c>
    </row>
    <row r="234" customFormat="false" ht="15" hidden="false" customHeight="false" outlineLevel="0" collapsed="false">
      <c r="A234" s="11" t="n">
        <v>6116596</v>
      </c>
      <c r="B234" s="11" t="s">
        <v>9</v>
      </c>
      <c r="C234" s="11" t="s">
        <v>557</v>
      </c>
      <c r="D234" s="12" t="n">
        <v>45292</v>
      </c>
      <c r="E234" s="12" t="n">
        <v>45657</v>
      </c>
      <c r="F234" s="11" t="s">
        <v>423</v>
      </c>
      <c r="G234" s="11" t="s">
        <v>59</v>
      </c>
      <c r="H234" s="11" t="n">
        <v>27497</v>
      </c>
      <c r="I234" s="11" t="s">
        <v>13</v>
      </c>
    </row>
    <row r="235" customFormat="false" ht="15" hidden="false" customHeight="false" outlineLevel="0" collapsed="false">
      <c r="A235" s="11" t="n">
        <v>6116597</v>
      </c>
      <c r="B235" s="11" t="s">
        <v>9</v>
      </c>
      <c r="C235" s="11" t="s">
        <v>557</v>
      </c>
      <c r="D235" s="12" t="n">
        <v>45292</v>
      </c>
      <c r="E235" s="12" t="n">
        <v>45657</v>
      </c>
      <c r="F235" s="11" t="s">
        <v>424</v>
      </c>
      <c r="G235" s="11" t="s">
        <v>145</v>
      </c>
      <c r="H235" s="11" t="n">
        <v>13529</v>
      </c>
      <c r="I235" s="11" t="s">
        <v>13</v>
      </c>
    </row>
    <row r="236" customFormat="false" ht="15" hidden="false" customHeight="false" outlineLevel="0" collapsed="false">
      <c r="A236" s="11" t="n">
        <v>6116598</v>
      </c>
      <c r="B236" s="11" t="s">
        <v>9</v>
      </c>
      <c r="C236" s="11" t="s">
        <v>557</v>
      </c>
      <c r="D236" s="12" t="n">
        <v>45292</v>
      </c>
      <c r="E236" s="12" t="n">
        <v>45657</v>
      </c>
      <c r="F236" s="11" t="s">
        <v>425</v>
      </c>
      <c r="G236" s="11" t="s">
        <v>426</v>
      </c>
      <c r="H236" s="11" t="n">
        <v>141791</v>
      </c>
      <c r="I236" s="11" t="s">
        <v>13</v>
      </c>
    </row>
    <row r="237" customFormat="false" ht="15" hidden="false" customHeight="false" outlineLevel="0" collapsed="false">
      <c r="A237" s="11" t="n">
        <v>6116599</v>
      </c>
      <c r="B237" s="11" t="s">
        <v>9</v>
      </c>
      <c r="C237" s="11" t="s">
        <v>557</v>
      </c>
      <c r="D237" s="12" t="n">
        <v>45292</v>
      </c>
      <c r="E237" s="12" t="n">
        <v>45657</v>
      </c>
      <c r="F237" s="11" t="s">
        <v>427</v>
      </c>
      <c r="G237" s="11" t="s">
        <v>428</v>
      </c>
      <c r="H237" s="11" t="n">
        <v>83719</v>
      </c>
      <c r="I237" s="11" t="s">
        <v>13</v>
      </c>
    </row>
    <row r="238" customFormat="false" ht="15" hidden="false" customHeight="false" outlineLevel="0" collapsed="false">
      <c r="A238" s="11" t="n">
        <v>6116600</v>
      </c>
      <c r="B238" s="11" t="s">
        <v>9</v>
      </c>
      <c r="C238" s="11" t="s">
        <v>557</v>
      </c>
      <c r="D238" s="12" t="n">
        <v>45292</v>
      </c>
      <c r="E238" s="12" t="n">
        <v>45657</v>
      </c>
      <c r="F238" s="11" t="s">
        <v>429</v>
      </c>
      <c r="G238" s="11" t="s">
        <v>196</v>
      </c>
      <c r="H238" s="11" t="n">
        <v>169253</v>
      </c>
      <c r="I238" s="11" t="s">
        <v>13</v>
      </c>
    </row>
    <row r="239" customFormat="false" ht="15" hidden="false" customHeight="false" outlineLevel="0" collapsed="false">
      <c r="A239" s="11" t="n">
        <v>6116601</v>
      </c>
      <c r="B239" s="11" t="s">
        <v>9</v>
      </c>
      <c r="C239" s="11" t="s">
        <v>557</v>
      </c>
      <c r="D239" s="12" t="n">
        <v>45292</v>
      </c>
      <c r="E239" s="12" t="n">
        <v>45657</v>
      </c>
      <c r="F239" s="11" t="s">
        <v>430</v>
      </c>
      <c r="G239" s="11" t="s">
        <v>431</v>
      </c>
      <c r="H239" s="11" t="n">
        <v>0</v>
      </c>
      <c r="I239" s="11" t="s">
        <v>13</v>
      </c>
    </row>
    <row r="240" customFormat="false" ht="15" hidden="false" customHeight="false" outlineLevel="0" collapsed="false">
      <c r="A240" s="11" t="n">
        <v>6116602</v>
      </c>
      <c r="B240" s="11" t="s">
        <v>9</v>
      </c>
      <c r="C240" s="11" t="s">
        <v>557</v>
      </c>
      <c r="D240" s="12" t="n">
        <v>45292</v>
      </c>
      <c r="E240" s="12" t="n">
        <v>45657</v>
      </c>
      <c r="F240" s="11" t="s">
        <v>432</v>
      </c>
      <c r="G240" s="11" t="s">
        <v>53</v>
      </c>
      <c r="H240" s="11" t="n">
        <v>-601696</v>
      </c>
      <c r="I240" s="11" t="s">
        <v>13</v>
      </c>
    </row>
    <row r="241" customFormat="false" ht="15" hidden="false" customHeight="false" outlineLevel="0" collapsed="false">
      <c r="A241" s="11" t="n">
        <v>6116603</v>
      </c>
      <c r="B241" s="11" t="s">
        <v>9</v>
      </c>
      <c r="C241" s="11" t="s">
        <v>557</v>
      </c>
      <c r="D241" s="12" t="n">
        <v>45292</v>
      </c>
      <c r="E241" s="12" t="n">
        <v>45657</v>
      </c>
      <c r="F241" s="11" t="s">
        <v>433</v>
      </c>
      <c r="G241" s="11" t="s">
        <v>434</v>
      </c>
      <c r="H241" s="11" t="n">
        <v>-129414</v>
      </c>
      <c r="I241" s="11" t="s">
        <v>13</v>
      </c>
    </row>
    <row r="242" customFormat="false" ht="15" hidden="false" customHeight="false" outlineLevel="0" collapsed="false">
      <c r="A242" s="11" t="n">
        <v>6116604</v>
      </c>
      <c r="B242" s="11" t="s">
        <v>9</v>
      </c>
      <c r="C242" s="11" t="s">
        <v>557</v>
      </c>
      <c r="D242" s="12" t="n">
        <v>45292</v>
      </c>
      <c r="E242" s="12" t="n">
        <v>45657</v>
      </c>
      <c r="F242" s="11" t="s">
        <v>435</v>
      </c>
      <c r="G242" s="11" t="s">
        <v>436</v>
      </c>
      <c r="H242" s="11" t="n">
        <v>-198740</v>
      </c>
      <c r="I242" s="11" t="s">
        <v>13</v>
      </c>
    </row>
    <row r="243" customFormat="false" ht="15" hidden="false" customHeight="false" outlineLevel="0" collapsed="false">
      <c r="A243" s="11" t="n">
        <v>6116605</v>
      </c>
      <c r="B243" s="11" t="s">
        <v>9</v>
      </c>
      <c r="C243" s="11" t="s">
        <v>557</v>
      </c>
      <c r="D243" s="12" t="n">
        <v>45292</v>
      </c>
      <c r="E243" s="12" t="n">
        <v>45657</v>
      </c>
      <c r="F243" s="11" t="s">
        <v>439</v>
      </c>
      <c r="G243" s="11" t="s">
        <v>440</v>
      </c>
      <c r="H243" s="11" t="n">
        <v>-273542</v>
      </c>
      <c r="I243" s="11" t="s">
        <v>13</v>
      </c>
    </row>
    <row r="244" customFormat="false" ht="15" hidden="false" customHeight="false" outlineLevel="0" collapsed="false">
      <c r="A244" s="11" t="n">
        <v>6116606</v>
      </c>
      <c r="B244" s="11" t="s">
        <v>9</v>
      </c>
      <c r="C244" s="11" t="s">
        <v>557</v>
      </c>
      <c r="D244" s="12" t="n">
        <v>45292</v>
      </c>
      <c r="E244" s="12" t="n">
        <v>45657</v>
      </c>
      <c r="F244" s="11" t="s">
        <v>441</v>
      </c>
      <c r="G244" s="11" t="s">
        <v>442</v>
      </c>
      <c r="H244" s="11" t="n">
        <v>-679201</v>
      </c>
      <c r="I244" s="11" t="s">
        <v>13</v>
      </c>
    </row>
    <row r="245" customFormat="false" ht="15" hidden="false" customHeight="false" outlineLevel="0" collapsed="false">
      <c r="A245" s="11" t="n">
        <v>6116607</v>
      </c>
      <c r="B245" s="11" t="s">
        <v>9</v>
      </c>
      <c r="C245" s="11" t="s">
        <v>557</v>
      </c>
      <c r="D245" s="12" t="n">
        <v>45292</v>
      </c>
      <c r="E245" s="12" t="n">
        <v>45657</v>
      </c>
      <c r="F245" s="11" t="s">
        <v>443</v>
      </c>
      <c r="G245" s="11" t="s">
        <v>444</v>
      </c>
      <c r="H245" s="11" t="n">
        <v>-679201</v>
      </c>
      <c r="I245" s="11" t="s">
        <v>13</v>
      </c>
    </row>
    <row r="246" customFormat="false" ht="15" hidden="false" customHeight="false" outlineLevel="0" collapsed="false">
      <c r="A246" s="11" t="n">
        <v>6116608</v>
      </c>
      <c r="B246" s="11" t="s">
        <v>9</v>
      </c>
      <c r="C246" s="11" t="s">
        <v>557</v>
      </c>
      <c r="D246" s="12" t="n">
        <v>45292</v>
      </c>
      <c r="E246" s="12" t="n">
        <v>45657</v>
      </c>
      <c r="F246" s="11" t="s">
        <v>445</v>
      </c>
      <c r="G246" s="11" t="s">
        <v>446</v>
      </c>
      <c r="H246" s="11" t="n">
        <v>0</v>
      </c>
      <c r="I246" s="11" t="s">
        <v>13</v>
      </c>
    </row>
    <row r="247" customFormat="false" ht="15" hidden="false" customHeight="false" outlineLevel="0" collapsed="false">
      <c r="A247" s="11" t="n">
        <v>6116609</v>
      </c>
      <c r="B247" s="11" t="s">
        <v>9</v>
      </c>
      <c r="C247" s="11" t="s">
        <v>557</v>
      </c>
      <c r="D247" s="12" t="n">
        <v>45292</v>
      </c>
      <c r="E247" s="12" t="n">
        <v>45657</v>
      </c>
      <c r="F247" s="11" t="s">
        <v>447</v>
      </c>
      <c r="G247" s="11" t="s">
        <v>448</v>
      </c>
      <c r="H247" s="11" t="n">
        <v>0</v>
      </c>
      <c r="I247" s="11" t="s">
        <v>13</v>
      </c>
    </row>
    <row r="248" customFormat="false" ht="15" hidden="false" customHeight="false" outlineLevel="0" collapsed="false">
      <c r="A248" s="11" t="n">
        <v>6116610</v>
      </c>
      <c r="B248" s="11" t="s">
        <v>9</v>
      </c>
      <c r="C248" s="11" t="s">
        <v>557</v>
      </c>
      <c r="D248" s="12" t="n">
        <v>45292</v>
      </c>
      <c r="E248" s="12" t="n">
        <v>45657</v>
      </c>
      <c r="F248" s="11" t="s">
        <v>449</v>
      </c>
      <c r="G248" s="11" t="s">
        <v>450</v>
      </c>
      <c r="H248" s="11" t="n">
        <v>-2426212</v>
      </c>
      <c r="I248" s="11" t="s">
        <v>13</v>
      </c>
    </row>
    <row r="249" customFormat="false" ht="15" hidden="false" customHeight="false" outlineLevel="0" collapsed="false">
      <c r="A249" s="11" t="n">
        <v>6116611</v>
      </c>
      <c r="B249" s="11" t="s">
        <v>9</v>
      </c>
      <c r="C249" s="11" t="s">
        <v>557</v>
      </c>
      <c r="D249" s="12" t="n">
        <v>45292</v>
      </c>
      <c r="E249" s="12" t="n">
        <v>45657</v>
      </c>
      <c r="F249" s="11" t="s">
        <v>451</v>
      </c>
      <c r="G249" s="11" t="s">
        <v>452</v>
      </c>
      <c r="H249" s="11" t="n">
        <v>0</v>
      </c>
      <c r="I249" s="11" t="s">
        <v>13</v>
      </c>
    </row>
    <row r="250" customFormat="false" ht="15" hidden="false" customHeight="false" outlineLevel="0" collapsed="false">
      <c r="A250" s="11" t="n">
        <v>6116612</v>
      </c>
      <c r="B250" s="11" t="s">
        <v>9</v>
      </c>
      <c r="C250" s="11" t="s">
        <v>557</v>
      </c>
      <c r="D250" s="12" t="n">
        <v>45292</v>
      </c>
      <c r="E250" s="12" t="n">
        <v>45657</v>
      </c>
      <c r="F250" s="11" t="s">
        <v>453</v>
      </c>
      <c r="G250" s="11" t="s">
        <v>454</v>
      </c>
      <c r="H250" s="11" t="n">
        <v>0</v>
      </c>
      <c r="I250" s="11" t="s">
        <v>13</v>
      </c>
    </row>
    <row r="251" customFormat="false" ht="15" hidden="false" customHeight="false" outlineLevel="0" collapsed="false">
      <c r="A251" s="11" t="n">
        <v>6116613</v>
      </c>
      <c r="B251" s="11" t="s">
        <v>9</v>
      </c>
      <c r="C251" s="11" t="s">
        <v>557</v>
      </c>
      <c r="D251" s="12" t="n">
        <v>45292</v>
      </c>
      <c r="E251" s="12" t="n">
        <v>45657</v>
      </c>
      <c r="F251" s="11" t="s">
        <v>455</v>
      </c>
      <c r="G251" s="11" t="s">
        <v>556</v>
      </c>
      <c r="H251" s="11" t="n">
        <v>-941118</v>
      </c>
      <c r="I251" s="11" t="s">
        <v>13</v>
      </c>
    </row>
    <row r="252" customFormat="false" ht="15" hidden="false" customHeight="false" outlineLevel="0" collapsed="false">
      <c r="A252" s="11" t="n">
        <v>6116614</v>
      </c>
      <c r="B252" s="11" t="s">
        <v>9</v>
      </c>
      <c r="C252" s="11" t="s">
        <v>557</v>
      </c>
      <c r="D252" s="12" t="n">
        <v>45292</v>
      </c>
      <c r="E252" s="12" t="n">
        <v>45657</v>
      </c>
      <c r="F252" s="11" t="s">
        <v>459</v>
      </c>
      <c r="G252" s="11" t="s">
        <v>460</v>
      </c>
      <c r="H252" s="11" t="n">
        <v>-793219</v>
      </c>
      <c r="I252" s="11" t="s">
        <v>13</v>
      </c>
    </row>
    <row r="253" customFormat="false" ht="15" hidden="false" customHeight="false" outlineLevel="0" collapsed="false">
      <c r="A253" s="11" t="n">
        <v>6116615</v>
      </c>
      <c r="B253" s="11" t="s">
        <v>9</v>
      </c>
      <c r="C253" s="11" t="s">
        <v>557</v>
      </c>
      <c r="D253" s="12" t="n">
        <v>45292</v>
      </c>
      <c r="E253" s="12" t="n">
        <v>45657</v>
      </c>
      <c r="F253" s="11" t="s">
        <v>461</v>
      </c>
      <c r="G253" s="11" t="s">
        <v>462</v>
      </c>
      <c r="H253" s="11" t="n">
        <v>-691875</v>
      </c>
      <c r="I253" s="11" t="s">
        <v>13</v>
      </c>
    </row>
    <row r="254" customFormat="false" ht="15" hidden="false" customHeight="false" outlineLevel="0" collapsed="false">
      <c r="A254" s="11" t="n">
        <v>6116616</v>
      </c>
      <c r="B254" s="11" t="s">
        <v>9</v>
      </c>
      <c r="C254" s="11" t="s">
        <v>557</v>
      </c>
      <c r="D254" s="12" t="n">
        <v>45292</v>
      </c>
      <c r="E254" s="12" t="n">
        <v>45657</v>
      </c>
      <c r="F254" s="11" t="s">
        <v>463</v>
      </c>
      <c r="G254" s="11" t="s">
        <v>464</v>
      </c>
      <c r="H254" s="11" t="n">
        <v>12329</v>
      </c>
      <c r="I254" s="11" t="s">
        <v>13</v>
      </c>
    </row>
    <row r="255" customFormat="false" ht="15" hidden="false" customHeight="false" outlineLevel="0" collapsed="false">
      <c r="A255" s="11" t="n">
        <v>6116617</v>
      </c>
      <c r="B255" s="11" t="s">
        <v>9</v>
      </c>
      <c r="C255" s="11" t="s">
        <v>557</v>
      </c>
      <c r="D255" s="12" t="n">
        <v>45292</v>
      </c>
      <c r="E255" s="12" t="n">
        <v>45657</v>
      </c>
      <c r="F255" s="11" t="s">
        <v>465</v>
      </c>
      <c r="G255" s="11" t="s">
        <v>466</v>
      </c>
      <c r="H255" s="11" t="n">
        <v>-606077</v>
      </c>
      <c r="I255" s="11" t="s">
        <v>13</v>
      </c>
    </row>
    <row r="256" customFormat="false" ht="15" hidden="false" customHeight="false" outlineLevel="0" collapsed="false">
      <c r="A256" s="11" t="n">
        <v>6116618</v>
      </c>
      <c r="B256" s="11" t="s">
        <v>9</v>
      </c>
      <c r="C256" s="11" t="s">
        <v>557</v>
      </c>
      <c r="D256" s="12" t="n">
        <v>45292</v>
      </c>
      <c r="E256" s="12" t="n">
        <v>45657</v>
      </c>
      <c r="F256" s="11" t="s">
        <v>467</v>
      </c>
      <c r="G256" s="11" t="s">
        <v>468</v>
      </c>
      <c r="H256" s="11" t="n">
        <v>2532187</v>
      </c>
      <c r="I256" s="11" t="s">
        <v>13</v>
      </c>
    </row>
    <row r="257" customFormat="false" ht="15" hidden="false" customHeight="false" outlineLevel="0" collapsed="false">
      <c r="A257" s="11" t="n">
        <v>6116619</v>
      </c>
      <c r="B257" s="11" t="s">
        <v>9</v>
      </c>
      <c r="C257" s="11" t="s">
        <v>557</v>
      </c>
      <c r="D257" s="12" t="n">
        <v>45292</v>
      </c>
      <c r="E257" s="12" t="n">
        <v>45657</v>
      </c>
      <c r="F257" s="11" t="s">
        <v>469</v>
      </c>
      <c r="G257" s="11" t="s">
        <v>470</v>
      </c>
      <c r="H257" s="11" t="n">
        <v>1926110</v>
      </c>
      <c r="I257" s="11" t="s">
        <v>13</v>
      </c>
    </row>
    <row r="258" customFormat="false" ht="15" hidden="false" customHeight="false" outlineLevel="0" collapsed="false">
      <c r="A258" s="11" t="n">
        <v>6116620</v>
      </c>
      <c r="B258" s="11" t="s">
        <v>9</v>
      </c>
      <c r="C258" s="11" t="s">
        <v>557</v>
      </c>
      <c r="D258" s="12" t="n">
        <v>45292</v>
      </c>
      <c r="E258" s="12" t="n">
        <v>45657</v>
      </c>
      <c r="F258" s="11" t="s">
        <v>471</v>
      </c>
      <c r="G258" s="11" t="s">
        <v>472</v>
      </c>
      <c r="H258" s="11" t="n">
        <v>17707120</v>
      </c>
      <c r="I258" s="11" t="s">
        <v>13</v>
      </c>
    </row>
    <row r="259" customFormat="false" ht="15" hidden="false" customHeight="false" outlineLevel="0" collapsed="false">
      <c r="A259" s="11" t="n">
        <v>6116621</v>
      </c>
      <c r="B259" s="11" t="s">
        <v>9</v>
      </c>
      <c r="C259" s="11" t="s">
        <v>557</v>
      </c>
      <c r="D259" s="12" t="n">
        <v>45292</v>
      </c>
      <c r="E259" s="12" t="n">
        <v>45657</v>
      </c>
      <c r="F259" s="11" t="s">
        <v>473</v>
      </c>
      <c r="G259" s="11" t="s">
        <v>474</v>
      </c>
      <c r="H259" s="11" t="n">
        <v>18401041</v>
      </c>
      <c r="I259" s="11" t="s">
        <v>13</v>
      </c>
    </row>
    <row r="260" customFormat="false" ht="15" hidden="false" customHeight="false" outlineLevel="0" collapsed="false">
      <c r="A260" s="11" t="n">
        <v>6116622</v>
      </c>
      <c r="B260" s="11" t="s">
        <v>9</v>
      </c>
      <c r="C260" s="11" t="s">
        <v>557</v>
      </c>
      <c r="D260" s="12" t="n">
        <v>45292</v>
      </c>
      <c r="E260" s="12" t="n">
        <v>45657</v>
      </c>
      <c r="F260" s="11" t="s">
        <v>475</v>
      </c>
      <c r="G260" s="11" t="s">
        <v>476</v>
      </c>
      <c r="H260" s="11" t="n">
        <v>263359</v>
      </c>
      <c r="I260" s="11" t="s">
        <v>13</v>
      </c>
    </row>
    <row r="261" customFormat="false" ht="15" hidden="false" customHeight="false" outlineLevel="0" collapsed="false">
      <c r="A261" s="11" t="n">
        <v>6116623</v>
      </c>
      <c r="B261" s="11" t="s">
        <v>9</v>
      </c>
      <c r="C261" s="11" t="s">
        <v>557</v>
      </c>
      <c r="D261" s="12" t="n">
        <v>45292</v>
      </c>
      <c r="E261" s="12" t="n">
        <v>45657</v>
      </c>
      <c r="F261" s="11" t="s">
        <v>477</v>
      </c>
      <c r="G261" s="11" t="s">
        <v>478</v>
      </c>
      <c r="H261" s="11" t="n">
        <v>0</v>
      </c>
      <c r="I261" s="11" t="s">
        <v>13</v>
      </c>
    </row>
    <row r="262" customFormat="false" ht="15" hidden="false" customHeight="false" outlineLevel="0" collapsed="false">
      <c r="A262" s="11" t="n">
        <v>6116624</v>
      </c>
      <c r="B262" s="11" t="s">
        <v>9</v>
      </c>
      <c r="C262" s="11" t="s">
        <v>557</v>
      </c>
      <c r="D262" s="12" t="n">
        <v>45292</v>
      </c>
      <c r="E262" s="12" t="n">
        <v>45657</v>
      </c>
      <c r="F262" s="11" t="s">
        <v>479</v>
      </c>
      <c r="G262" s="11" t="s">
        <v>480</v>
      </c>
      <c r="H262" s="11" t="n">
        <v>-957280</v>
      </c>
      <c r="I262" s="11" t="s">
        <v>13</v>
      </c>
    </row>
    <row r="263" customFormat="false" ht="15" hidden="false" customHeight="false" outlineLevel="0" collapsed="false">
      <c r="A263" s="11" t="n">
        <v>6116625</v>
      </c>
      <c r="B263" s="11" t="s">
        <v>9</v>
      </c>
      <c r="C263" s="11" t="s">
        <v>557</v>
      </c>
      <c r="D263" s="12" t="n">
        <v>45292</v>
      </c>
      <c r="E263" s="12" t="n">
        <v>45657</v>
      </c>
      <c r="F263" s="11" t="s">
        <v>481</v>
      </c>
      <c r="G263" s="11" t="s">
        <v>482</v>
      </c>
      <c r="H263" s="11" t="n">
        <v>-9332765</v>
      </c>
      <c r="I263" s="11" t="s">
        <v>13</v>
      </c>
    </row>
    <row r="264" customFormat="false" ht="15" hidden="false" customHeight="false" outlineLevel="0" collapsed="false">
      <c r="A264" s="11" t="n">
        <v>6116626</v>
      </c>
      <c r="B264" s="11" t="s">
        <v>9</v>
      </c>
      <c r="C264" s="11" t="s">
        <v>557</v>
      </c>
      <c r="D264" s="12" t="n">
        <v>45292</v>
      </c>
      <c r="E264" s="12" t="n">
        <v>45657</v>
      </c>
      <c r="F264" s="11" t="s">
        <v>483</v>
      </c>
      <c r="G264" s="11" t="s">
        <v>484</v>
      </c>
      <c r="H264" s="11" t="n">
        <v>-6365245</v>
      </c>
      <c r="I264" s="11" t="s">
        <v>13</v>
      </c>
    </row>
    <row r="265" customFormat="false" ht="15" hidden="false" customHeight="false" outlineLevel="0" collapsed="false">
      <c r="A265" s="11" t="n">
        <v>6116627</v>
      </c>
      <c r="B265" s="11" t="s">
        <v>9</v>
      </c>
      <c r="C265" s="11" t="s">
        <v>557</v>
      </c>
      <c r="D265" s="12" t="n">
        <v>45292</v>
      </c>
      <c r="E265" s="12" t="n">
        <v>45657</v>
      </c>
      <c r="F265" s="11" t="s">
        <v>485</v>
      </c>
      <c r="G265" s="11" t="s">
        <v>486</v>
      </c>
      <c r="H265" s="11" t="n">
        <v>-2690387</v>
      </c>
      <c r="I265" s="11" t="s">
        <v>13</v>
      </c>
    </row>
    <row r="266" customFormat="false" ht="15" hidden="false" customHeight="false" outlineLevel="0" collapsed="false">
      <c r="A266" s="11" t="n">
        <v>6116628</v>
      </c>
      <c r="B266" s="11" t="s">
        <v>9</v>
      </c>
      <c r="C266" s="11" t="s">
        <v>557</v>
      </c>
      <c r="D266" s="12" t="n">
        <v>45292</v>
      </c>
      <c r="E266" s="12" t="n">
        <v>45657</v>
      </c>
      <c r="F266" s="11" t="s">
        <v>487</v>
      </c>
      <c r="G266" s="11" t="s">
        <v>488</v>
      </c>
      <c r="H266" s="11" t="n">
        <v>-277133</v>
      </c>
      <c r="I266" s="11" t="s">
        <v>13</v>
      </c>
    </row>
    <row r="267" customFormat="false" ht="15" hidden="false" customHeight="false" outlineLevel="0" collapsed="false">
      <c r="A267" s="11" t="n">
        <v>6116629</v>
      </c>
      <c r="B267" s="11" t="s">
        <v>9</v>
      </c>
      <c r="C267" s="11" t="s">
        <v>557</v>
      </c>
      <c r="D267" s="12" t="n">
        <v>45292</v>
      </c>
      <c r="E267" s="12" t="n">
        <v>45657</v>
      </c>
      <c r="F267" s="11" t="s">
        <v>489</v>
      </c>
      <c r="G267" s="11" t="s">
        <v>53</v>
      </c>
      <c r="H267" s="11" t="n">
        <v>0</v>
      </c>
      <c r="I267" s="11" t="s">
        <v>13</v>
      </c>
    </row>
    <row r="268" customFormat="false" ht="15" hidden="false" customHeight="false" outlineLevel="0" collapsed="false">
      <c r="A268" s="11" t="n">
        <v>6116630</v>
      </c>
      <c r="B268" s="11" t="s">
        <v>9</v>
      </c>
      <c r="C268" s="11" t="s">
        <v>557</v>
      </c>
      <c r="D268" s="12" t="n">
        <v>45292</v>
      </c>
      <c r="E268" s="12" t="n">
        <v>45657</v>
      </c>
      <c r="F268" s="11" t="s">
        <v>490</v>
      </c>
      <c r="G268" s="11" t="s">
        <v>491</v>
      </c>
      <c r="H268" s="11" t="n">
        <v>8374355</v>
      </c>
      <c r="I268" s="11" t="s">
        <v>13</v>
      </c>
    </row>
    <row r="269" customFormat="false" ht="15" hidden="false" customHeight="false" outlineLevel="0" collapsed="false">
      <c r="A269" s="11" t="n">
        <v>6116631</v>
      </c>
      <c r="B269" s="11" t="s">
        <v>9</v>
      </c>
      <c r="C269" s="11" t="s">
        <v>557</v>
      </c>
      <c r="D269" s="12" t="n">
        <v>45292</v>
      </c>
      <c r="E269" s="12" t="n">
        <v>45657</v>
      </c>
      <c r="F269" s="11" t="s">
        <v>492</v>
      </c>
      <c r="G269" s="11" t="s">
        <v>493</v>
      </c>
      <c r="H269" s="11" t="n">
        <v>-1244254</v>
      </c>
      <c r="I269" s="11" t="s">
        <v>13</v>
      </c>
    </row>
    <row r="270" customFormat="false" ht="15" hidden="false" customHeight="false" outlineLevel="0" collapsed="false">
      <c r="A270" s="11" t="n">
        <v>6116632</v>
      </c>
      <c r="B270" s="11" t="s">
        <v>9</v>
      </c>
      <c r="C270" s="11" t="s">
        <v>557</v>
      </c>
      <c r="D270" s="12" t="n">
        <v>45292</v>
      </c>
      <c r="E270" s="12" t="n">
        <v>45657</v>
      </c>
      <c r="F270" s="11" t="s">
        <v>494</v>
      </c>
      <c r="G270" s="11" t="s">
        <v>495</v>
      </c>
      <c r="H270" s="11" t="n">
        <v>-1244254</v>
      </c>
      <c r="I270" s="11" t="s">
        <v>13</v>
      </c>
    </row>
    <row r="271" customFormat="false" ht="15" hidden="false" customHeight="false" outlineLevel="0" collapsed="false">
      <c r="A271" s="11" t="n">
        <v>6116633</v>
      </c>
      <c r="B271" s="11" t="s">
        <v>9</v>
      </c>
      <c r="C271" s="11" t="s">
        <v>557</v>
      </c>
      <c r="D271" s="12" t="n">
        <v>45292</v>
      </c>
      <c r="E271" s="12" t="n">
        <v>45657</v>
      </c>
      <c r="F271" s="11" t="s">
        <v>496</v>
      </c>
      <c r="G271" s="11" t="s">
        <v>497</v>
      </c>
      <c r="H271" s="11" t="n">
        <v>0</v>
      </c>
      <c r="I271" s="11" t="s">
        <v>13</v>
      </c>
    </row>
    <row r="272" customFormat="false" ht="15" hidden="false" customHeight="false" outlineLevel="0" collapsed="false">
      <c r="A272" s="11" t="n">
        <v>6116634</v>
      </c>
      <c r="B272" s="11" t="s">
        <v>9</v>
      </c>
      <c r="C272" s="11" t="s">
        <v>557</v>
      </c>
      <c r="D272" s="12" t="n">
        <v>45292</v>
      </c>
      <c r="E272" s="12" t="n">
        <v>45657</v>
      </c>
      <c r="F272" s="11" t="s">
        <v>498</v>
      </c>
      <c r="G272" s="11" t="s">
        <v>499</v>
      </c>
      <c r="H272" s="11" t="n">
        <v>7130101</v>
      </c>
      <c r="I272" s="11" t="s">
        <v>13</v>
      </c>
    </row>
    <row r="273" customFormat="false" ht="15" hidden="false" customHeight="false" outlineLevel="0" collapsed="false">
      <c r="A273" s="11" t="n">
        <v>6116635</v>
      </c>
      <c r="B273" s="11" t="s">
        <v>9</v>
      </c>
      <c r="C273" s="11" t="s">
        <v>557</v>
      </c>
      <c r="D273" s="12" t="n">
        <v>45292</v>
      </c>
      <c r="E273" s="12" t="n">
        <v>45657</v>
      </c>
      <c r="F273" s="11" t="s">
        <v>500</v>
      </c>
      <c r="G273" s="11" t="s">
        <v>501</v>
      </c>
      <c r="H273" s="11" t="n">
        <v>563651</v>
      </c>
      <c r="I273" s="11" t="s">
        <v>13</v>
      </c>
    </row>
    <row r="274" customFormat="false" ht="15" hidden="false" customHeight="false" outlineLevel="0" collapsed="false">
      <c r="A274" s="11" t="n">
        <v>6116636</v>
      </c>
      <c r="B274" s="11" t="s">
        <v>9</v>
      </c>
      <c r="C274" s="11" t="s">
        <v>557</v>
      </c>
      <c r="D274" s="12" t="n">
        <v>45292</v>
      </c>
      <c r="E274" s="12" t="n">
        <v>45657</v>
      </c>
      <c r="F274" s="11" t="s">
        <v>502</v>
      </c>
      <c r="G274" s="11" t="s">
        <v>355</v>
      </c>
      <c r="H274" s="11" t="n">
        <v>0</v>
      </c>
      <c r="I274" s="11" t="s">
        <v>13</v>
      </c>
    </row>
    <row r="275" customFormat="false" ht="15" hidden="false" customHeight="false" outlineLevel="0" collapsed="false">
      <c r="A275" s="11" t="n">
        <v>6116637</v>
      </c>
      <c r="B275" s="11" t="s">
        <v>9</v>
      </c>
      <c r="C275" s="11" t="s">
        <v>557</v>
      </c>
      <c r="D275" s="12" t="n">
        <v>45292</v>
      </c>
      <c r="E275" s="12" t="n">
        <v>45657</v>
      </c>
      <c r="F275" s="11" t="s">
        <v>503</v>
      </c>
      <c r="G275" s="11" t="s">
        <v>361</v>
      </c>
      <c r="H275" s="11" t="n">
        <v>563651</v>
      </c>
      <c r="I275" s="11" t="s">
        <v>13</v>
      </c>
    </row>
    <row r="276" customFormat="false" ht="15" hidden="false" customHeight="false" outlineLevel="0" collapsed="false">
      <c r="A276" s="11" t="n">
        <v>6116638</v>
      </c>
      <c r="B276" s="11" t="s">
        <v>9</v>
      </c>
      <c r="C276" s="11" t="s">
        <v>557</v>
      </c>
      <c r="D276" s="12" t="n">
        <v>45292</v>
      </c>
      <c r="E276" s="12" t="n">
        <v>45657</v>
      </c>
      <c r="F276" s="11" t="s">
        <v>504</v>
      </c>
      <c r="G276" s="11" t="s">
        <v>53</v>
      </c>
      <c r="H276" s="11" t="n">
        <v>0</v>
      </c>
      <c r="I276" s="11" t="s">
        <v>13</v>
      </c>
    </row>
    <row r="277" customFormat="false" ht="15" hidden="false" customHeight="false" outlineLevel="0" collapsed="false">
      <c r="A277" s="11" t="n">
        <v>6116639</v>
      </c>
      <c r="B277" s="11" t="s">
        <v>9</v>
      </c>
      <c r="C277" s="11" t="s">
        <v>557</v>
      </c>
      <c r="D277" s="12" t="n">
        <v>45292</v>
      </c>
      <c r="E277" s="12" t="n">
        <v>45657</v>
      </c>
      <c r="F277" s="11" t="s">
        <v>505</v>
      </c>
      <c r="G277" s="11" t="s">
        <v>506</v>
      </c>
      <c r="H277" s="11" t="n">
        <v>7693752</v>
      </c>
      <c r="I277" s="11" t="s">
        <v>13</v>
      </c>
    </row>
    <row r="278" customFormat="false" ht="15" hidden="false" customHeight="false" outlineLevel="0" collapsed="false">
      <c r="A278" s="11" t="n">
        <v>6116640</v>
      </c>
      <c r="B278" s="11" t="s">
        <v>9</v>
      </c>
      <c r="C278" s="11" t="s">
        <v>557</v>
      </c>
      <c r="D278" s="12" t="n">
        <v>45292</v>
      </c>
      <c r="E278" s="12" t="n">
        <v>45657</v>
      </c>
      <c r="F278" s="11" t="s">
        <v>507</v>
      </c>
      <c r="G278" s="11" t="s">
        <v>508</v>
      </c>
      <c r="H278" s="11" t="n">
        <v>7693752</v>
      </c>
      <c r="I278" s="11" t="s">
        <v>13</v>
      </c>
    </row>
    <row r="279" customFormat="false" ht="15" hidden="false" customHeight="false" outlineLevel="0" collapsed="false">
      <c r="A279" s="11" t="n">
        <v>6116641</v>
      </c>
      <c r="B279" s="11" t="s">
        <v>9</v>
      </c>
      <c r="C279" s="11" t="s">
        <v>557</v>
      </c>
      <c r="D279" s="12" t="n">
        <v>45292</v>
      </c>
      <c r="E279" s="12" t="n">
        <v>45657</v>
      </c>
      <c r="F279" s="11" t="s">
        <v>509</v>
      </c>
      <c r="G279" s="11" t="s">
        <v>510</v>
      </c>
      <c r="H279" s="11" t="n">
        <v>2041648</v>
      </c>
      <c r="I279" s="11" t="s">
        <v>13</v>
      </c>
    </row>
    <row r="280" customFormat="false" ht="15" hidden="false" customHeight="false" outlineLevel="0" collapsed="false">
      <c r="A280" s="11" t="n">
        <v>6116642</v>
      </c>
      <c r="B280" s="11" t="s">
        <v>9</v>
      </c>
      <c r="C280" s="11" t="s">
        <v>557</v>
      </c>
      <c r="D280" s="12" t="n">
        <v>45292</v>
      </c>
      <c r="E280" s="12" t="n">
        <v>45657</v>
      </c>
      <c r="F280" s="11" t="s">
        <v>511</v>
      </c>
      <c r="G280" s="11" t="s">
        <v>512</v>
      </c>
      <c r="H280" s="11" t="n">
        <v>1583667</v>
      </c>
      <c r="I280" s="11" t="s">
        <v>13</v>
      </c>
    </row>
    <row r="281" customFormat="false" ht="15" hidden="false" customHeight="false" outlineLevel="0" collapsed="false">
      <c r="A281" s="11" t="n">
        <v>6116643</v>
      </c>
      <c r="B281" s="11" t="s">
        <v>9</v>
      </c>
      <c r="C281" s="11" t="s">
        <v>557</v>
      </c>
      <c r="D281" s="12" t="n">
        <v>45292</v>
      </c>
      <c r="E281" s="12" t="n">
        <v>45657</v>
      </c>
      <c r="F281" s="11" t="s">
        <v>513</v>
      </c>
      <c r="G281" s="11" t="s">
        <v>514</v>
      </c>
      <c r="H281" s="11" t="n">
        <v>263559</v>
      </c>
      <c r="I281" s="11" t="s">
        <v>13</v>
      </c>
    </row>
    <row r="282" customFormat="false" ht="15" hidden="false" customHeight="false" outlineLevel="0" collapsed="false">
      <c r="A282" s="11" t="n">
        <v>6116644</v>
      </c>
      <c r="B282" s="11" t="s">
        <v>9</v>
      </c>
      <c r="C282" s="11" t="s">
        <v>557</v>
      </c>
      <c r="D282" s="12" t="n">
        <v>45292</v>
      </c>
      <c r="E282" s="12" t="n">
        <v>45657</v>
      </c>
      <c r="F282" s="11" t="s">
        <v>515</v>
      </c>
      <c r="G282" s="11" t="s">
        <v>516</v>
      </c>
      <c r="H282" s="11" t="n">
        <v>104778</v>
      </c>
      <c r="I282" s="11" t="s">
        <v>13</v>
      </c>
    </row>
    <row r="283" customFormat="false" ht="15" hidden="false" customHeight="false" outlineLevel="0" collapsed="false">
      <c r="A283" s="11" t="n">
        <v>6116645</v>
      </c>
      <c r="B283" s="11" t="s">
        <v>9</v>
      </c>
      <c r="C283" s="11" t="s">
        <v>557</v>
      </c>
      <c r="D283" s="12" t="n">
        <v>45292</v>
      </c>
      <c r="E283" s="12" t="n">
        <v>45657</v>
      </c>
      <c r="F283" s="11" t="s">
        <v>517</v>
      </c>
      <c r="G283" s="11" t="s">
        <v>53</v>
      </c>
      <c r="H283" s="11" t="n">
        <v>89644</v>
      </c>
      <c r="I283" s="11" t="s">
        <v>13</v>
      </c>
    </row>
    <row r="284" customFormat="false" ht="15" hidden="false" customHeight="false" outlineLevel="0" collapsed="false">
      <c r="A284" s="11" t="n">
        <v>6116646</v>
      </c>
      <c r="B284" s="11" t="s">
        <v>9</v>
      </c>
      <c r="C284" s="11" t="s">
        <v>557</v>
      </c>
      <c r="D284" s="12" t="n">
        <v>45292</v>
      </c>
      <c r="E284" s="12" t="n">
        <v>45657</v>
      </c>
      <c r="F284" s="11" t="s">
        <v>518</v>
      </c>
      <c r="G284" s="11" t="s">
        <v>519</v>
      </c>
      <c r="H284" s="11" t="n">
        <v>52183</v>
      </c>
      <c r="I284" s="11" t="s">
        <v>13</v>
      </c>
    </row>
    <row r="285" customFormat="false" ht="15" hidden="false" customHeight="false" outlineLevel="0" collapsed="false">
      <c r="A285" s="11" t="n">
        <v>6116647</v>
      </c>
      <c r="B285" s="11" t="s">
        <v>9</v>
      </c>
      <c r="C285" s="11" t="s">
        <v>557</v>
      </c>
      <c r="D285" s="12" t="n">
        <v>45292</v>
      </c>
      <c r="E285" s="12" t="n">
        <v>45657</v>
      </c>
      <c r="F285" s="11" t="s">
        <v>520</v>
      </c>
      <c r="G285" s="11" t="s">
        <v>521</v>
      </c>
      <c r="H285" s="11" t="n">
        <v>37461</v>
      </c>
      <c r="I285" s="11" t="s">
        <v>13</v>
      </c>
    </row>
    <row r="286" customFormat="false" ht="15" hidden="false" customHeight="false" outlineLevel="0" collapsed="false">
      <c r="A286" s="11" t="n">
        <v>6116648</v>
      </c>
      <c r="B286" s="11" t="s">
        <v>9</v>
      </c>
      <c r="C286" s="11" t="s">
        <v>557</v>
      </c>
      <c r="D286" s="12" t="n">
        <v>45292</v>
      </c>
      <c r="E286" s="12" t="n">
        <v>45657</v>
      </c>
      <c r="F286" s="11" t="s">
        <v>522</v>
      </c>
      <c r="G286" s="11" t="s">
        <v>523</v>
      </c>
      <c r="H286" s="11" t="n">
        <v>3496846</v>
      </c>
      <c r="I286" s="11" t="s">
        <v>13</v>
      </c>
    </row>
    <row r="287" customFormat="false" ht="15" hidden="false" customHeight="false" outlineLevel="0" collapsed="false">
      <c r="A287" s="11" t="n">
        <v>6116649</v>
      </c>
      <c r="B287" s="11" t="s">
        <v>9</v>
      </c>
      <c r="C287" s="11" t="s">
        <v>557</v>
      </c>
      <c r="D287" s="12" t="n">
        <v>45292</v>
      </c>
      <c r="E287" s="12" t="n">
        <v>45657</v>
      </c>
      <c r="F287" s="11" t="s">
        <v>524</v>
      </c>
      <c r="G287" s="11" t="s">
        <v>525</v>
      </c>
      <c r="H287" s="11" t="n">
        <v>1077194</v>
      </c>
      <c r="I287" s="11" t="s">
        <v>13</v>
      </c>
    </row>
    <row r="288" customFormat="false" ht="15" hidden="false" customHeight="false" outlineLevel="0" collapsed="false">
      <c r="A288" s="11" t="n">
        <v>6116650</v>
      </c>
      <c r="B288" s="11" t="s">
        <v>9</v>
      </c>
      <c r="C288" s="11" t="s">
        <v>557</v>
      </c>
      <c r="D288" s="12" t="n">
        <v>45292</v>
      </c>
      <c r="E288" s="12" t="n">
        <v>45657</v>
      </c>
      <c r="F288" s="11" t="s">
        <v>526</v>
      </c>
      <c r="G288" s="11" t="s">
        <v>527</v>
      </c>
      <c r="H288" s="11" t="n">
        <v>2310964</v>
      </c>
      <c r="I288" s="11" t="s">
        <v>13</v>
      </c>
    </row>
    <row r="289" customFormat="false" ht="15" hidden="false" customHeight="false" outlineLevel="0" collapsed="false">
      <c r="A289" s="11" t="n">
        <v>6116651</v>
      </c>
      <c r="B289" s="11" t="s">
        <v>9</v>
      </c>
      <c r="C289" s="11" t="s">
        <v>557</v>
      </c>
      <c r="D289" s="12" t="n">
        <v>45292</v>
      </c>
      <c r="E289" s="12" t="n">
        <v>45657</v>
      </c>
      <c r="F289" s="11" t="s">
        <v>528</v>
      </c>
      <c r="G289" s="11" t="s">
        <v>529</v>
      </c>
      <c r="H289" s="11" t="n">
        <v>108688</v>
      </c>
      <c r="I289" s="11" t="s">
        <v>13</v>
      </c>
    </row>
    <row r="290" customFormat="false" ht="15" hidden="false" customHeight="false" outlineLevel="0" collapsed="false">
      <c r="A290" s="11" t="n">
        <v>6116652</v>
      </c>
      <c r="B290" s="11" t="s">
        <v>9</v>
      </c>
      <c r="C290" s="11" t="s">
        <v>557</v>
      </c>
      <c r="D290" s="12" t="n">
        <v>45292</v>
      </c>
      <c r="E290" s="12" t="n">
        <v>45657</v>
      </c>
      <c r="F290" s="11" t="s">
        <v>530</v>
      </c>
      <c r="G290" s="11" t="s">
        <v>531</v>
      </c>
      <c r="H290" s="11" t="n">
        <v>958590</v>
      </c>
      <c r="I290" s="11" t="s">
        <v>13</v>
      </c>
    </row>
    <row r="291" customFormat="false" ht="15" hidden="false" customHeight="false" outlineLevel="0" collapsed="false">
      <c r="A291" s="11" t="n">
        <v>6116653</v>
      </c>
      <c r="B291" s="11" t="s">
        <v>9</v>
      </c>
      <c r="C291" s="11" t="s">
        <v>557</v>
      </c>
      <c r="D291" s="12" t="n">
        <v>45292</v>
      </c>
      <c r="E291" s="12" t="n">
        <v>45657</v>
      </c>
      <c r="F291" s="11" t="s">
        <v>532</v>
      </c>
      <c r="G291" s="11" t="s">
        <v>533</v>
      </c>
      <c r="H291" s="11" t="n">
        <v>0</v>
      </c>
      <c r="I291" s="11" t="s">
        <v>13</v>
      </c>
    </row>
    <row r="292" customFormat="false" ht="15" hidden="false" customHeight="false" outlineLevel="0" collapsed="false">
      <c r="A292" s="11" t="n">
        <v>6116654</v>
      </c>
      <c r="B292" s="11" t="s">
        <v>9</v>
      </c>
      <c r="C292" s="11" t="s">
        <v>557</v>
      </c>
      <c r="D292" s="12" t="n">
        <v>45292</v>
      </c>
      <c r="E292" s="12" t="n">
        <v>45657</v>
      </c>
      <c r="F292" s="11" t="s">
        <v>534</v>
      </c>
      <c r="G292" s="11" t="s">
        <v>535</v>
      </c>
      <c r="H292" s="11" t="n">
        <v>452885</v>
      </c>
      <c r="I292" s="11" t="s">
        <v>13</v>
      </c>
    </row>
    <row r="293" customFormat="false" ht="15" hidden="false" customHeight="false" outlineLevel="0" collapsed="false">
      <c r="A293" s="11" t="n">
        <v>6116655</v>
      </c>
      <c r="B293" s="11" t="s">
        <v>9</v>
      </c>
      <c r="C293" s="11" t="s">
        <v>557</v>
      </c>
      <c r="D293" s="12" t="n">
        <v>45292</v>
      </c>
      <c r="E293" s="12" t="n">
        <v>45657</v>
      </c>
      <c r="F293" s="11" t="s">
        <v>536</v>
      </c>
      <c r="G293" s="11" t="s">
        <v>497</v>
      </c>
      <c r="H293" s="11" t="n">
        <v>505705</v>
      </c>
      <c r="I293" s="11" t="s">
        <v>13</v>
      </c>
    </row>
    <row r="294" customFormat="false" ht="15" hidden="false" customHeight="false" outlineLevel="0" collapsed="false">
      <c r="A294" s="11" t="n">
        <v>6116656</v>
      </c>
      <c r="B294" s="11" t="s">
        <v>9</v>
      </c>
      <c r="C294" s="11" t="s">
        <v>557</v>
      </c>
      <c r="D294" s="12" t="n">
        <v>45292</v>
      </c>
      <c r="E294" s="12" t="n">
        <v>45657</v>
      </c>
      <c r="F294" s="11" t="s">
        <v>537</v>
      </c>
      <c r="G294" s="11" t="s">
        <v>363</v>
      </c>
      <c r="H294" s="11" t="n">
        <v>505705</v>
      </c>
      <c r="I294" s="11" t="s">
        <v>13</v>
      </c>
    </row>
    <row r="295" customFormat="false" ht="15" hidden="false" customHeight="false" outlineLevel="0" collapsed="false">
      <c r="A295" s="11" t="n">
        <v>6116657</v>
      </c>
      <c r="B295" s="11" t="s">
        <v>9</v>
      </c>
      <c r="C295" s="11" t="s">
        <v>557</v>
      </c>
      <c r="D295" s="12" t="n">
        <v>45292</v>
      </c>
      <c r="E295" s="12" t="n">
        <v>45657</v>
      </c>
      <c r="F295" s="11" t="s">
        <v>538</v>
      </c>
      <c r="G295" s="11" t="s">
        <v>539</v>
      </c>
      <c r="H295" s="11" t="n">
        <v>1196668</v>
      </c>
      <c r="I295" s="11" t="s">
        <v>13</v>
      </c>
    </row>
    <row r="296" customFormat="false" ht="15" hidden="false" customHeight="false" outlineLevel="0" collapsed="false">
      <c r="A296" s="11" t="n">
        <v>6116658</v>
      </c>
      <c r="B296" s="11" t="s">
        <v>9</v>
      </c>
      <c r="C296" s="11" t="s">
        <v>557</v>
      </c>
      <c r="D296" s="12" t="n">
        <v>45292</v>
      </c>
      <c r="E296" s="12" t="n">
        <v>45657</v>
      </c>
      <c r="F296" s="11" t="s">
        <v>540</v>
      </c>
      <c r="G296" s="11" t="s">
        <v>541</v>
      </c>
      <c r="H296" s="11" t="n">
        <v>633574</v>
      </c>
      <c r="I296" s="11" t="s">
        <v>13</v>
      </c>
    </row>
    <row r="297" customFormat="false" ht="15" hidden="false" customHeight="false" outlineLevel="0" collapsed="false">
      <c r="A297" s="11" t="n">
        <v>6116659</v>
      </c>
      <c r="B297" s="11" t="s">
        <v>9</v>
      </c>
      <c r="C297" s="11" t="s">
        <v>557</v>
      </c>
      <c r="D297" s="12" t="n">
        <v>45292</v>
      </c>
      <c r="E297" s="12" t="n">
        <v>45657</v>
      </c>
      <c r="F297" s="11" t="s">
        <v>542</v>
      </c>
      <c r="G297" s="11" t="s">
        <v>543</v>
      </c>
      <c r="H297" s="11" t="n">
        <v>0</v>
      </c>
      <c r="I297" s="11" t="s">
        <v>13</v>
      </c>
    </row>
    <row r="298" customFormat="false" ht="15" hidden="false" customHeight="false" outlineLevel="0" collapsed="false">
      <c r="A298" s="11" t="n">
        <v>6116660</v>
      </c>
      <c r="B298" s="11" t="s">
        <v>9</v>
      </c>
      <c r="C298" s="11" t="s">
        <v>557</v>
      </c>
      <c r="D298" s="12" t="n">
        <v>45292</v>
      </c>
      <c r="E298" s="12" t="n">
        <v>45657</v>
      </c>
      <c r="F298" s="11" t="s">
        <v>544</v>
      </c>
      <c r="G298" s="11" t="s">
        <v>545</v>
      </c>
      <c r="H298" s="11" t="n">
        <v>563094</v>
      </c>
      <c r="I298" s="11" t="s">
        <v>13</v>
      </c>
    </row>
    <row r="299" customFormat="false" ht="15" hidden="false" customHeight="false" outlineLevel="0" collapsed="false">
      <c r="A299" s="11" t="n">
        <v>6116661</v>
      </c>
      <c r="B299" s="11" t="s">
        <v>9</v>
      </c>
      <c r="C299" s="11" t="s">
        <v>557</v>
      </c>
      <c r="D299" s="12" t="n">
        <v>45292</v>
      </c>
      <c r="E299" s="12" t="n">
        <v>45657</v>
      </c>
      <c r="F299" s="11" t="s">
        <v>546</v>
      </c>
      <c r="G299" s="11" t="s">
        <v>547</v>
      </c>
      <c r="H299" s="11" t="n">
        <v>0</v>
      </c>
      <c r="I299" s="11" t="s">
        <v>13</v>
      </c>
    </row>
    <row r="300" customFormat="false" ht="15" hidden="false" customHeight="false" outlineLevel="0" collapsed="false">
      <c r="A300" s="11" t="n">
        <v>6116662</v>
      </c>
      <c r="B300" s="11" t="s">
        <v>9</v>
      </c>
      <c r="C300" s="11" t="s">
        <v>557</v>
      </c>
      <c r="D300" s="12" t="n">
        <v>45292</v>
      </c>
      <c r="E300" s="12" t="n">
        <v>45657</v>
      </c>
      <c r="F300" s="11" t="s">
        <v>548</v>
      </c>
      <c r="G300" s="11" t="s">
        <v>53</v>
      </c>
      <c r="H300" s="11" t="n">
        <v>0</v>
      </c>
      <c r="I300" s="11" t="s">
        <v>13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36" activeCellId="0" sqref="B36"/>
    </sheetView>
  </sheetViews>
  <sheetFormatPr defaultColWidth="11.5078125" defaultRowHeight="15" zeroHeight="false" outlineLevelRow="0" outlineLevelCol="0"/>
  <cols>
    <col collapsed="false" customWidth="true" hidden="false" outlineLevel="0" max="1" min="1" style="19" width="48"/>
    <col collapsed="false" customWidth="true" hidden="false" outlineLevel="0" max="2" min="2" style="0" width="18.83"/>
    <col collapsed="false" customWidth="true" hidden="false" outlineLevel="0" max="3" min="3" style="0" width="21.5"/>
  </cols>
  <sheetData>
    <row r="1" customFormat="false" ht="15.75" hidden="false" customHeight="true" outlineLevel="0" collapsed="false">
      <c r="A1" s="20" t="s">
        <v>558</v>
      </c>
      <c r="B1" s="21" t="n">
        <v>2025</v>
      </c>
      <c r="C1" s="21" t="n">
        <v>2024</v>
      </c>
      <c r="D1" s="19"/>
    </row>
    <row r="2" customFormat="false" ht="15" hidden="false" customHeight="false" outlineLevel="0" collapsed="false">
      <c r="A2" s="22" t="s">
        <v>559</v>
      </c>
      <c r="B2" s="23" t="n">
        <f aca="false">'2025'!H3-'2025'!H71</f>
        <v>4767023</v>
      </c>
      <c r="C2" s="23"/>
    </row>
    <row r="3" customFormat="false" ht="15" hidden="false" customHeight="false" outlineLevel="0" collapsed="false">
      <c r="A3" s="22" t="s">
        <v>560</v>
      </c>
      <c r="B3" s="24" t="n">
        <f aca="false">'2025'!H3/'2025'!H71</f>
        <v>1.69421984308698</v>
      </c>
      <c r="C3" s="24" t="n">
        <f aca="false">'2024'!H3 / '2024'!H69</f>
        <v>1.61053510290933</v>
      </c>
    </row>
    <row r="4" customFormat="false" ht="15" hidden="false" customHeight="false" outlineLevel="0" collapsed="false">
      <c r="A4" s="22" t="s">
        <v>561</v>
      </c>
      <c r="B4" s="24" t="n">
        <f aca="false">(('2025'!H3-'2025'!H14-'2025'!H20)/'2025'!H71)</f>
        <v>1.4224897891778</v>
      </c>
      <c r="C4" s="24" t="n">
        <f aca="false">(('2024'!H3-'2024'!H14-'2024'!H18)/'2024'!H69)</f>
        <v>1.35817895832617</v>
      </c>
    </row>
    <row r="5" customFormat="false" ht="15" hidden="false" customHeight="false" outlineLevel="0" collapsed="false">
      <c r="A5" s="22" t="s">
        <v>562</v>
      </c>
      <c r="B5" s="24" t="n">
        <f aca="false">'2025'!H4/'2025'!H71</f>
        <v>0.14243539941987</v>
      </c>
      <c r="C5" s="24" t="n">
        <f aca="false">'2024'!H4/'2024'!H69</f>
        <v>0.251859515398185</v>
      </c>
    </row>
    <row r="6" customFormat="false" ht="15" hidden="false" customHeight="false" outlineLevel="0" collapsed="false">
      <c r="A6" s="22" t="s">
        <v>563</v>
      </c>
      <c r="B6" s="25" t="n">
        <f aca="false">('2025'!H3+'2025'!H29)/('2025'!H71+'2025'!H123)</f>
        <v>2.14030214141155</v>
      </c>
      <c r="C6" s="25" t="n">
        <f aca="false">('2024'!H3+'2024'!H27)/('2024'!H69+'2024'!H121)</f>
        <v>2.1231605985171</v>
      </c>
    </row>
    <row r="7" customFormat="false" ht="15" hidden="false" customHeight="false" outlineLevel="0" collapsed="false">
      <c r="A7" s="22" t="s">
        <v>564</v>
      </c>
      <c r="B7" s="25" t="n">
        <f aca="false">((('2024'!H14+'2025'!H14)/2)*360/ABS('2025'!H190))</f>
        <v>338.324552264525</v>
      </c>
      <c r="C7" s="25"/>
    </row>
    <row r="8" customFormat="false" ht="15" hidden="false" customHeight="false" outlineLevel="0" collapsed="false">
      <c r="A8" s="22" t="s">
        <v>565</v>
      </c>
      <c r="B8" s="25" t="n">
        <f aca="false">ABS('2025'!H190)+'2025'!H14-'2024'!H14</f>
        <v>1955486</v>
      </c>
      <c r="C8" s="25" t="n">
        <f aca="false">ABS('2024'!H190)+'2024'!H14-'2023'!H14</f>
        <v>5794933</v>
      </c>
    </row>
    <row r="9" customFormat="false" ht="15" hidden="false" customHeight="false" outlineLevel="0" collapsed="false">
      <c r="A9" s="22" t="s">
        <v>566</v>
      </c>
      <c r="B9" s="26" t="n">
        <f aca="false">((('2024'!H12+'2025'!H12)/2)/'2025'!H188)*360</f>
        <v>160.085851317733</v>
      </c>
      <c r="C9" s="27" t="n">
        <f aca="false">((('2023'!H12+'2024'!H12)/2)/'2024'!H186)*360</f>
        <v>168.850095654266</v>
      </c>
    </row>
    <row r="10" customFormat="false" ht="15" hidden="false" customHeight="false" outlineLevel="0" collapsed="false">
      <c r="A10" s="22" t="s">
        <v>567</v>
      </c>
      <c r="B10" s="26" t="n">
        <f aca="false">ABS('2025'!H190)+'2025'!H14-'2024'!H14</f>
        <v>1955486</v>
      </c>
      <c r="C10" s="25" t="n">
        <f aca="false">ABS('2024'!H190)+'2024'!H14-'2023'!H14</f>
        <v>5794933</v>
      </c>
    </row>
    <row r="11" customFormat="false" ht="15" hidden="false" customHeight="false" outlineLevel="0" collapsed="false">
      <c r="A11" s="22" t="s">
        <v>568</v>
      </c>
      <c r="B11" s="28" t="n">
        <f aca="false">((('2024'!H75+'2025'!H75)/2)/(ABS('2025'!H190)+'2025'!H14-'2024'!H14))*360</f>
        <v>204.792956840397</v>
      </c>
      <c r="C11" s="26" t="n">
        <f aca="false">((('2023'!H75+'2024'!H75)/2)/(ABS('2024'!H190)+'2024'!H14-'2023'!H14))*360</f>
        <v>111.747342031392</v>
      </c>
    </row>
    <row r="12" customFormat="false" ht="15" hidden="false" customHeight="false" outlineLevel="0" collapsed="false">
      <c r="A12" s="22" t="s">
        <v>569</v>
      </c>
      <c r="B12" s="29" t="n">
        <f aca="false">B7+B9</f>
        <v>498.410403582258</v>
      </c>
      <c r="C12" s="27" t="n">
        <f aca="false">C7+C9</f>
        <v>168.850095654266</v>
      </c>
    </row>
    <row r="13" customFormat="false" ht="15" hidden="false" customHeight="false" outlineLevel="0" collapsed="false">
      <c r="A13" s="22" t="s">
        <v>570</v>
      </c>
      <c r="B13" s="29" t="n">
        <f aca="false">B7+B9-B11</f>
        <v>293.617446741862</v>
      </c>
      <c r="C13" s="27" t="n">
        <f aca="false">C7+C9-C11</f>
        <v>57.1027536228745</v>
      </c>
    </row>
    <row r="14" customFormat="false" ht="15" hidden="false" customHeight="false" outlineLevel="0" collapsed="false">
      <c r="A14" s="22" t="s">
        <v>571</v>
      </c>
      <c r="B14" s="25" t="n">
        <f aca="false">B7</f>
        <v>338.324552264525</v>
      </c>
      <c r="C14" s="25" t="n">
        <f aca="false">C7</f>
        <v>0</v>
      </c>
    </row>
    <row r="15" customFormat="false" ht="15" hidden="false" customHeight="false" outlineLevel="0" collapsed="false">
      <c r="A15" s="22" t="s">
        <v>572</v>
      </c>
      <c r="B15" s="23" t="n">
        <f aca="false">'2025'!H4+'2025'!H5</f>
        <v>1902811</v>
      </c>
      <c r="C15" s="23" t="n">
        <f aca="false">'2024'!H4+'2024'!H5</f>
        <v>2771307</v>
      </c>
    </row>
    <row r="16" customFormat="false" ht="15" hidden="false" customHeight="false" outlineLevel="0" collapsed="false">
      <c r="A16" s="22" t="s">
        <v>573</v>
      </c>
      <c r="B16" s="23" t="n">
        <f aca="false">'2025'!H11+'2025'!H14+'2025'!H16+'2025'!H19</f>
        <v>9756562</v>
      </c>
      <c r="C16" s="23" t="n">
        <f aca="false">'2024'!H11+'2024'!H14+'2024'!H16+'2024'!H19</f>
        <v>9545352</v>
      </c>
    </row>
    <row r="17" customFormat="false" ht="15" hidden="false" customHeight="false" outlineLevel="0" collapsed="false">
      <c r="A17" s="22" t="s">
        <v>574</v>
      </c>
      <c r="B17" s="30" t="n">
        <f aca="false">B15+B16</f>
        <v>11659373</v>
      </c>
      <c r="C17" s="30" t="n">
        <f aca="false">C15+C16</f>
        <v>12316659</v>
      </c>
    </row>
    <row r="18" customFormat="false" ht="15" hidden="false" customHeight="false" outlineLevel="0" collapsed="false">
      <c r="A18" s="22" t="s">
        <v>575</v>
      </c>
      <c r="B18" s="23" t="n">
        <f aca="false">'2025'!H81+'2025'!H86+'2025'!H98+'2025'!H103+'2025'!H104</f>
        <v>890572</v>
      </c>
      <c r="C18" s="23" t="n">
        <f aca="false">'2024'!H81+'2024'!H86+'2024'!H98+'2024'!H103+'2024'!H104</f>
        <v>3947948</v>
      </c>
    </row>
    <row r="19" customFormat="false" ht="15" hidden="false" customHeight="false" outlineLevel="0" collapsed="false">
      <c r="A19" s="22" t="s">
        <v>576</v>
      </c>
      <c r="B19" s="23" t="n">
        <f aca="false">B20-B18</f>
        <v>5976162</v>
      </c>
      <c r="C19" s="23" t="n">
        <f aca="false">'2024'!H70+'2024'!H75+'2024'!H84+'2024'!H85+'2024'!H102+'2024'!H106+'2024'!H107</f>
        <v>3699609</v>
      </c>
    </row>
    <row r="20" customFormat="false" ht="15" hidden="false" customHeight="false" outlineLevel="0" collapsed="false">
      <c r="A20" s="22" t="s">
        <v>133</v>
      </c>
      <c r="B20" s="30" t="n">
        <f aca="false">'2025'!H71</f>
        <v>6866734</v>
      </c>
      <c r="C20" s="30" t="n">
        <f aca="false">C18+C19</f>
        <v>7647557</v>
      </c>
    </row>
    <row r="21" customFormat="false" ht="15" hidden="false" customHeight="false" outlineLevel="0" collapsed="false">
      <c r="A21" s="22" t="s">
        <v>577</v>
      </c>
      <c r="B21" s="30" t="n">
        <f aca="false">B15-B18</f>
        <v>1012239</v>
      </c>
      <c r="C21" s="30" t="n">
        <f aca="false">C15-C18</f>
        <v>-1176641</v>
      </c>
    </row>
    <row r="22" customFormat="false" ht="15" hidden="false" customHeight="false" outlineLevel="0" collapsed="false">
      <c r="A22" s="22"/>
      <c r="B22" s="31" t="n">
        <v>2025</v>
      </c>
      <c r="C22" s="31" t="n">
        <v>2024</v>
      </c>
    </row>
    <row r="23" customFormat="false" ht="15" hidden="false" customHeight="false" outlineLevel="0" collapsed="false">
      <c r="A23" s="22" t="s">
        <v>578</v>
      </c>
      <c r="B23" s="30" t="n">
        <f aca="false">B16-B19</f>
        <v>3780400</v>
      </c>
      <c r="C23" s="30" t="n">
        <f aca="false">C16-C19</f>
        <v>5845743</v>
      </c>
    </row>
    <row r="24" customFormat="false" ht="15" hidden="false" customHeight="false" outlineLevel="0" collapsed="false">
      <c r="A24" s="22" t="s">
        <v>579</v>
      </c>
      <c r="B24" s="30" t="n">
        <f aca="false">B17-B20</f>
        <v>4792639</v>
      </c>
      <c r="C24" s="23" t="n">
        <f aca="false">C17-C20</f>
        <v>4669102</v>
      </c>
    </row>
    <row r="25" customFormat="false" ht="15" hidden="false" customHeight="false" outlineLevel="0" collapsed="false">
      <c r="A25" s="22" t="s">
        <v>580</v>
      </c>
      <c r="B25" s="24" t="n">
        <f aca="false">'2025'!H70/'2025'!H162</f>
        <v>1.87696055605239</v>
      </c>
      <c r="C25" s="24" t="n">
        <f aca="false">'2024'!H68/'2024'!H160</f>
        <v>1.89034462330702</v>
      </c>
    </row>
    <row r="26" customFormat="false" ht="15" hidden="false" customHeight="false" outlineLevel="0" collapsed="false">
      <c r="A26" s="22" t="s">
        <v>581</v>
      </c>
      <c r="B26" s="25" t="n">
        <f aca="false">'2025'!H70/('2025'!H70+'2025'!H162)</f>
        <v>0.652410945330392</v>
      </c>
      <c r="C26" s="25" t="n">
        <f aca="false">'2024'!H68/('2024'!H68+'2024'!H160)</f>
        <v>0.654020495709665</v>
      </c>
    </row>
    <row r="27" customFormat="false" ht="15" hidden="false" customHeight="false" outlineLevel="0" collapsed="false">
      <c r="A27" s="22" t="s">
        <v>582</v>
      </c>
      <c r="B27" s="26" t="n">
        <f aca="false">'2025'!H2/'2025'!H70</f>
        <v>1</v>
      </c>
      <c r="C27" s="26" t="n">
        <f aca="false">'2024'!H2/'2024'!H68</f>
        <v>1</v>
      </c>
    </row>
    <row r="28" customFormat="false" ht="15" hidden="false" customHeight="false" outlineLevel="0" collapsed="false">
      <c r="A28" s="22" t="s">
        <v>583</v>
      </c>
      <c r="B28" s="25" t="n">
        <f aca="false">B20/'2025'!H70</f>
        <v>0.349878964295728</v>
      </c>
      <c r="C28" s="25" t="n">
        <f aca="false">C20/'2024'!H68</f>
        <v>0.375532087805352</v>
      </c>
    </row>
    <row r="29" customFormat="false" ht="15" hidden="false" customHeight="false" outlineLevel="0" collapsed="false">
      <c r="A29" s="22" t="s">
        <v>584</v>
      </c>
      <c r="B29" s="25" t="n">
        <f aca="false">('2025'!H60+'2025'!H64)/'2025'!H162</f>
        <v>0.632801088647101</v>
      </c>
      <c r="C29" s="25" t="n">
        <f aca="false">('2024'!H58+'2024'!H62)/'2024'!H160</f>
        <v>0.62809298956247</v>
      </c>
    </row>
    <row r="30" customFormat="false" ht="15" hidden="false" customHeight="false" outlineLevel="0" collapsed="false">
      <c r="A30" s="22"/>
      <c r="B30" s="26"/>
      <c r="C30" s="26"/>
    </row>
    <row r="31" customFormat="false" ht="15" hidden="false" customHeight="false" outlineLevel="0" collapsed="false">
      <c r="A31" s="32" t="s">
        <v>585</v>
      </c>
      <c r="B31" s="33" t="n">
        <v>1006845</v>
      </c>
      <c r="C31" s="34"/>
    </row>
    <row r="32" customFormat="false" ht="15" hidden="false" customHeight="false" outlineLevel="0" collapsed="false">
      <c r="A32" s="32" t="s">
        <v>586</v>
      </c>
      <c r="B32" s="23" t="n">
        <v>13.55</v>
      </c>
      <c r="C32" s="34"/>
    </row>
    <row r="33" customFormat="false" ht="15" hidden="false" customHeight="false" outlineLevel="0" collapsed="false">
      <c r="A33" s="22" t="s">
        <v>587</v>
      </c>
      <c r="B33" s="23" t="n">
        <f aca="false">'2025'!H162/Dados!B31</f>
        <v>10.3851943447105</v>
      </c>
      <c r="C33" s="23"/>
    </row>
    <row r="34" customFormat="false" ht="15" hidden="false" customHeight="false" outlineLevel="0" collapsed="false">
      <c r="A34" s="22" t="s">
        <v>588</v>
      </c>
      <c r="B34" s="23" t="n">
        <f aca="false">13.55/Dados!B33</f>
        <v>1.30474207320939</v>
      </c>
      <c r="C34" s="23"/>
    </row>
    <row r="35" customFormat="false" ht="15" hidden="false" customHeight="false" outlineLevel="0" collapsed="false">
      <c r="A35" s="22" t="s">
        <v>589</v>
      </c>
      <c r="B35" s="23" t="n">
        <f aca="false">'2025'!H214/Dados!B31</f>
        <v>1.4476567892774</v>
      </c>
      <c r="C35" s="23"/>
    </row>
    <row r="36" customFormat="false" ht="15" hidden="false" customHeight="false" outlineLevel="0" collapsed="false">
      <c r="A36" s="22" t="s">
        <v>590</v>
      </c>
      <c r="B36" s="24" t="n">
        <f aca="false">13.55/B35</f>
        <v>9.35995334002028</v>
      </c>
      <c r="C36" s="23"/>
    </row>
    <row r="37" customFormat="false" ht="15" hidden="false" customHeight="false" outlineLevel="0" collapsed="false">
      <c r="A37" s="22" t="s">
        <v>591</v>
      </c>
      <c r="B37" s="30"/>
      <c r="C37" s="2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true" showRowColHeaders="true" showZeros="true" rightToLeft="false" tabSelected="true" showOutlineSymbols="true" defaultGridColor="true" view="normal" topLeftCell="A13" colorId="64" zoomScale="125" zoomScaleNormal="125" zoomScalePageLayoutView="100" workbookViewId="0">
      <selection pane="topLeft" activeCell="E42" activeCellId="0" sqref="E42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35.5"/>
    <col collapsed="false" customWidth="true" hidden="false" outlineLevel="0" max="2" min="2" style="0" width="9.83"/>
    <col collapsed="false" customWidth="true" hidden="false" outlineLevel="0" max="3" min="3" style="0" width="59"/>
    <col collapsed="false" customWidth="true" hidden="false" outlineLevel="0" max="5" min="5" style="0" width="16"/>
    <col collapsed="false" customWidth="true" hidden="false" outlineLevel="0" max="6" min="6" style="0" width="15"/>
  </cols>
  <sheetData>
    <row r="1" customFormat="false" ht="15.75" hidden="false" customHeight="true" outlineLevel="0" collapsed="false">
      <c r="A1" s="35" t="s">
        <v>592</v>
      </c>
      <c r="B1" s="35" t="s">
        <v>593</v>
      </c>
      <c r="C1" s="35" t="s">
        <v>594</v>
      </c>
      <c r="E1" s="35" t="n">
        <v>2025</v>
      </c>
      <c r="F1" s="35" t="n">
        <v>2024</v>
      </c>
    </row>
    <row r="2" customFormat="false" ht="15.75" hidden="false" customHeight="true" outlineLevel="0" collapsed="false">
      <c r="A2" s="36" t="s">
        <v>595</v>
      </c>
      <c r="B2" s="37" t="s">
        <v>596</v>
      </c>
      <c r="C2" s="36" t="s">
        <v>597</v>
      </c>
      <c r="E2" s="38" t="n">
        <f aca="false">'2025'!H3-'2025'!H71</f>
        <v>4767023</v>
      </c>
      <c r="F2" s="38" t="n">
        <f aca="false">'2024'!H3 - '2024'!H69</f>
        <v>4669102</v>
      </c>
    </row>
    <row r="3" customFormat="false" ht="15.75" hidden="false" customHeight="true" outlineLevel="0" collapsed="false">
      <c r="A3" s="36" t="s">
        <v>598</v>
      </c>
      <c r="B3" s="37" t="s">
        <v>599</v>
      </c>
      <c r="C3" s="36" t="s">
        <v>600</v>
      </c>
      <c r="E3" s="39" t="n">
        <f aca="false">'2025'!H3/'2025'!H71</f>
        <v>1.69421984308698</v>
      </c>
      <c r="F3" s="40" t="n">
        <f aca="false">'2024'!H3 / '2024'!H69</f>
        <v>1.61053510290933</v>
      </c>
    </row>
    <row r="4" customFormat="false" ht="15.75" hidden="false" customHeight="true" outlineLevel="0" collapsed="false">
      <c r="A4" s="36" t="s">
        <v>601</v>
      </c>
      <c r="B4" s="37" t="s">
        <v>602</v>
      </c>
      <c r="C4" s="36" t="s">
        <v>603</v>
      </c>
      <c r="E4" s="40" t="n">
        <f aca="false">(('2025'!H3-'2025'!H14-'2025'!H20)/'2025'!H71)</f>
        <v>1.4224897891778</v>
      </c>
      <c r="F4" s="40" t="n">
        <f aca="false">(('2024'!H3-'2024'!H14-'2024'!H18)/'2024'!H69)</f>
        <v>1.35817895832617</v>
      </c>
    </row>
    <row r="5" customFormat="false" ht="15.75" hidden="false" customHeight="true" outlineLevel="0" collapsed="false">
      <c r="A5" s="36" t="s">
        <v>604</v>
      </c>
      <c r="B5" s="37" t="s">
        <v>605</v>
      </c>
      <c r="C5" s="36" t="s">
        <v>606</v>
      </c>
      <c r="E5" s="41" t="n">
        <f aca="false">'2025'!H4/'2025'!H71</f>
        <v>0.14243539941987</v>
      </c>
      <c r="F5" s="41" t="n">
        <f aca="false">'2024'!H4/'2024'!H69</f>
        <v>0.251859515398185</v>
      </c>
    </row>
    <row r="6" customFormat="false" ht="15.75" hidden="false" customHeight="true" outlineLevel="0" collapsed="false">
      <c r="A6" s="36" t="s">
        <v>607</v>
      </c>
      <c r="B6" s="42" t="s">
        <v>608</v>
      </c>
      <c r="C6" s="36" t="s">
        <v>609</v>
      </c>
      <c r="E6" s="40" t="n">
        <f aca="false">('2025'!H3+'2025'!H29)/('2025'!H71+'2025'!H123)</f>
        <v>2.14030214141155</v>
      </c>
      <c r="F6" s="40" t="n">
        <f aca="false">('2024'!H3+'2024'!H27)/('2024'!H69+'2024'!H121)</f>
        <v>2.1231605985171</v>
      </c>
    </row>
    <row r="7" customFormat="false" ht="15.75" hidden="false" customHeight="true" outlineLevel="0" collapsed="false">
      <c r="B7" s="43"/>
    </row>
    <row r="8" customFormat="false" ht="15.75" hidden="false" customHeight="true" outlineLevel="0" collapsed="false">
      <c r="A8" s="44" t="s">
        <v>610</v>
      </c>
      <c r="B8" s="35" t="s">
        <v>593</v>
      </c>
      <c r="C8" s="35" t="s">
        <v>594</v>
      </c>
      <c r="E8" s="35" t="n">
        <v>2025</v>
      </c>
      <c r="F8" s="35" t="n">
        <v>2024</v>
      </c>
    </row>
    <row r="9" customFormat="false" ht="15.75" hidden="false" customHeight="true" outlineLevel="0" collapsed="false">
      <c r="A9" s="45" t="s">
        <v>611</v>
      </c>
      <c r="B9" s="46" t="s">
        <v>612</v>
      </c>
      <c r="C9" s="36" t="s">
        <v>613</v>
      </c>
      <c r="E9" s="47" t="n">
        <f aca="false">((('2024'!H14+'2025'!H14)/2)*360/ABS('2025'!H190))</f>
        <v>338.324552264525</v>
      </c>
      <c r="F9" s="47" t="n">
        <f aca="false">((('2023'!H14+'2024'!H14)/2)/ABS('2024'!H190))*360</f>
        <v>118.232557826116</v>
      </c>
    </row>
    <row r="10" customFormat="false" ht="15.75" hidden="false" customHeight="true" outlineLevel="0" collapsed="false">
      <c r="A10" s="48" t="s">
        <v>614</v>
      </c>
      <c r="B10" s="49" t="s">
        <v>615</v>
      </c>
      <c r="C10" s="50" t="s">
        <v>616</v>
      </c>
      <c r="E10" s="40" t="n">
        <f aca="false">360/E9</f>
        <v>1.06406702555399</v>
      </c>
      <c r="F10" s="40" t="n">
        <f aca="false">360/F9</f>
        <v>3.04484658556952</v>
      </c>
    </row>
    <row r="11" customFormat="false" ht="15.75" hidden="false" customHeight="true" outlineLevel="0" collapsed="false">
      <c r="A11" s="45" t="s">
        <v>617</v>
      </c>
      <c r="B11" s="46" t="s">
        <v>618</v>
      </c>
      <c r="C11" s="36" t="s">
        <v>619</v>
      </c>
      <c r="E11" s="40" t="n">
        <f aca="false">((('2024'!H12+'2025'!H12)/2)/'2025'!H188)*360</f>
        <v>160.085851317733</v>
      </c>
      <c r="F11" s="40" t="n">
        <f aca="false">((('2023'!H12+'2024'!H12)/2)/'2024'!H186)*360</f>
        <v>168.850095654266</v>
      </c>
    </row>
    <row r="12" customFormat="false" ht="15.75" hidden="false" customHeight="true" outlineLevel="0" collapsed="false">
      <c r="A12" s="45" t="s">
        <v>620</v>
      </c>
      <c r="B12" s="42" t="s">
        <v>621</v>
      </c>
      <c r="C12" s="51" t="s">
        <v>622</v>
      </c>
      <c r="E12" s="52" t="n">
        <f aca="false">ABS('2025'!H190)+'2025'!H14-'2024'!H14</f>
        <v>1955486</v>
      </c>
      <c r="F12" s="41" t="n">
        <f aca="false">ABS('2024'!H190)+'2024'!H14-'2023'!H14</f>
        <v>5794933</v>
      </c>
    </row>
    <row r="13" customFormat="false" ht="15.75" hidden="false" customHeight="true" outlineLevel="0" collapsed="false">
      <c r="A13" s="36" t="s">
        <v>569</v>
      </c>
      <c r="B13" s="37" t="s">
        <v>623</v>
      </c>
      <c r="C13" s="36" t="s">
        <v>624</v>
      </c>
      <c r="E13" s="53" t="n">
        <f aca="false">((('2024'!H75+'2025'!H75)/2)/(ABS('2025'!H190)+'2025'!H14-'2024'!H14))*360</f>
        <v>204.792956840397</v>
      </c>
      <c r="F13" s="53" t="n">
        <f aca="false">((('2023'!H75+'2024'!H75)/2)/(ABS('2024'!H190)+'2024'!H14-'2023'!H14))*360</f>
        <v>111.747342031392</v>
      </c>
    </row>
    <row r="14" customFormat="false" ht="15.75" hidden="false" customHeight="true" outlineLevel="0" collapsed="false">
      <c r="A14" s="36" t="s">
        <v>625</v>
      </c>
      <c r="B14" s="37" t="s">
        <v>626</v>
      </c>
      <c r="C14" s="36" t="s">
        <v>627</v>
      </c>
      <c r="E14" s="40" t="n">
        <f aca="false">E9+E11</f>
        <v>498.410403582258</v>
      </c>
      <c r="F14" s="40" t="n">
        <f aca="false">F9+F11</f>
        <v>287.082653480383</v>
      </c>
    </row>
    <row r="15" customFormat="false" ht="15.75" hidden="false" customHeight="true" outlineLevel="0" collapsed="false">
      <c r="A15" s="51" t="s">
        <v>571</v>
      </c>
      <c r="B15" s="54" t="s">
        <v>628</v>
      </c>
      <c r="C15" s="51" t="s">
        <v>612</v>
      </c>
      <c r="E15" s="40" t="n">
        <f aca="false">E9</f>
        <v>338.324552264525</v>
      </c>
      <c r="F15" s="40" t="n">
        <f aca="false">F9</f>
        <v>118.232557826116</v>
      </c>
    </row>
    <row r="16" customFormat="false" ht="15.75" hidden="false" customHeight="true" outlineLevel="0" collapsed="false">
      <c r="B16" s="43"/>
    </row>
    <row r="17" customFormat="false" ht="15.75" hidden="false" customHeight="true" outlineLevel="0" collapsed="false">
      <c r="A17" s="44" t="s">
        <v>629</v>
      </c>
      <c r="B17" s="35" t="s">
        <v>593</v>
      </c>
      <c r="C17" s="35" t="s">
        <v>594</v>
      </c>
      <c r="E17" s="35" t="n">
        <v>2025</v>
      </c>
      <c r="F17" s="35" t="n">
        <v>2024</v>
      </c>
    </row>
    <row r="18" customFormat="false" ht="15.75" hidden="false" customHeight="true" outlineLevel="0" collapsed="false">
      <c r="A18" s="36" t="s">
        <v>630</v>
      </c>
      <c r="B18" s="37" t="s">
        <v>631</v>
      </c>
      <c r="C18" s="36" t="s">
        <v>632</v>
      </c>
      <c r="E18" s="38" t="n">
        <f aca="false">'2025'!H3-'2025'!H71</f>
        <v>4767023</v>
      </c>
      <c r="F18" s="38" t="n">
        <f aca="false">'2024'!H3-'2024'!H69</f>
        <v>4669102</v>
      </c>
    </row>
    <row r="19" customFormat="false" ht="15.75" hidden="false" customHeight="true" outlineLevel="0" collapsed="false">
      <c r="A19" s="36" t="s">
        <v>633</v>
      </c>
      <c r="B19" s="37" t="s">
        <v>634</v>
      </c>
      <c r="C19" s="36" t="s">
        <v>635</v>
      </c>
      <c r="E19" s="55" t="n">
        <f aca="false">('2025'!H4+'2025'!H5)-'2025'!H75</f>
        <v>1485291</v>
      </c>
      <c r="F19" s="55" t="n">
        <f aca="false">('2024'!H4+'2024'!H5)-'2024'!H73</f>
        <v>2397187</v>
      </c>
    </row>
    <row r="20" customFormat="false" ht="15.75" hidden="false" customHeight="true" outlineLevel="0" collapsed="false">
      <c r="A20" s="36" t="s">
        <v>636</v>
      </c>
      <c r="B20" s="37" t="s">
        <v>637</v>
      </c>
      <c r="C20" s="36" t="s">
        <v>638</v>
      </c>
      <c r="E20" s="55" t="n">
        <f aca="false">('2025'!H20+'2025'!H14)-'2025'!H75</f>
        <v>1448378</v>
      </c>
      <c r="F20" s="55" t="n">
        <f aca="false">('2024'!H18+'2024'!H14)-'2024'!H73</f>
        <v>1555788</v>
      </c>
    </row>
    <row r="21" customFormat="false" ht="15.75" hidden="false" customHeight="true" outlineLevel="0" collapsed="false">
      <c r="B21" s="43"/>
    </row>
    <row r="22" customFormat="false" ht="15.75" hidden="false" customHeight="true" outlineLevel="0" collapsed="false">
      <c r="A22" s="44" t="s">
        <v>639</v>
      </c>
      <c r="B22" s="35" t="s">
        <v>593</v>
      </c>
      <c r="C22" s="35" t="s">
        <v>594</v>
      </c>
      <c r="E22" s="35" t="n">
        <v>2025</v>
      </c>
      <c r="F22" s="35" t="n">
        <v>2024</v>
      </c>
    </row>
    <row r="23" customFormat="false" ht="15.75" hidden="false" customHeight="true" outlineLevel="0" collapsed="false">
      <c r="A23" s="36" t="s">
        <v>640</v>
      </c>
      <c r="B23" s="37" t="s">
        <v>641</v>
      </c>
      <c r="C23" s="36" t="s">
        <v>642</v>
      </c>
      <c r="E23" s="56" t="n">
        <f aca="false">'2025'!H126/'2025'!H123</f>
        <v>0.155790764442391</v>
      </c>
      <c r="F23" s="56" t="n">
        <f aca="false">'2024'!H124/'2024'!H121</f>
        <v>0.00706760311550645</v>
      </c>
    </row>
    <row r="24" customFormat="false" ht="15.75" hidden="false" customHeight="true" outlineLevel="0" collapsed="false">
      <c r="A24" s="36" t="s">
        <v>643</v>
      </c>
      <c r="B24" s="37" t="s">
        <v>644</v>
      </c>
      <c r="C24" s="36" t="s">
        <v>645</v>
      </c>
      <c r="E24" s="57" t="n">
        <f aca="false">'2025'!H126/'2025'!H194</f>
        <v>0.0367314019559204</v>
      </c>
      <c r="F24" s="53" t="n">
        <f aca="false">'2024'!H124/'2024'!H192</f>
        <v>0.00157173188724848</v>
      </c>
    </row>
    <row r="25" customFormat="false" ht="15.75" hidden="false" customHeight="true" outlineLevel="0" collapsed="false">
      <c r="A25" s="36" t="s">
        <v>646</v>
      </c>
      <c r="B25" s="37" t="s">
        <v>647</v>
      </c>
      <c r="C25" s="36" t="s">
        <v>648</v>
      </c>
      <c r="E25" s="40" t="n">
        <f aca="false">'2025'!H194/'2025'!H126</f>
        <v>27.2246619173439</v>
      </c>
      <c r="F25" s="40" t="n">
        <f aca="false">'2024'!H192/'2024'!H124</f>
        <v>636.240829694323</v>
      </c>
    </row>
    <row r="26" customFormat="false" ht="15.75" hidden="false" customHeight="true" outlineLevel="0" collapsed="false">
      <c r="A26" s="36" t="s">
        <v>649</v>
      </c>
      <c r="B26" s="37" t="s">
        <v>628</v>
      </c>
      <c r="C26" s="36" t="s">
        <v>650</v>
      </c>
      <c r="E26" s="41" t="n">
        <f aca="false">'2025'!H71/'2025'!H126</f>
        <v>19.1386947166572</v>
      </c>
      <c r="F26" s="41" t="n">
        <f aca="false">'2024'!H69/'2024'!H124</f>
        <v>556.590756914119</v>
      </c>
    </row>
    <row r="27" customFormat="false" ht="15.75" hidden="false" customHeight="true" outlineLevel="0" collapsed="false">
      <c r="A27" s="36" t="s">
        <v>651</v>
      </c>
      <c r="B27" s="37" t="s">
        <v>652</v>
      </c>
      <c r="C27" s="36" t="s">
        <v>653</v>
      </c>
      <c r="E27" s="40" t="n">
        <f aca="false">'2025'!H60/'2025'!H126</f>
        <v>13.9519270432679</v>
      </c>
      <c r="F27" s="40" t="n">
        <f aca="false">'2024'!H60/'2024'!H124</f>
        <v>163.940538573508</v>
      </c>
    </row>
    <row r="28" customFormat="false" ht="15.75" hidden="false" customHeight="true" outlineLevel="0" collapsed="false">
      <c r="A28" s="36" t="s">
        <v>654</v>
      </c>
      <c r="B28" s="58" t="s">
        <v>655</v>
      </c>
      <c r="C28" s="59" t="s">
        <v>656</v>
      </c>
      <c r="E28" s="53" t="n">
        <f aca="false">'2025'!H123</f>
        <v>2303012</v>
      </c>
      <c r="F28" s="53" t="n">
        <f aca="false">'2024'!H121</f>
        <v>1944082</v>
      </c>
    </row>
    <row r="29" customFormat="false" ht="15.75" hidden="false" customHeight="true" outlineLevel="0" collapsed="false">
      <c r="A29" s="36" t="s">
        <v>657</v>
      </c>
      <c r="B29" s="37" t="s">
        <v>658</v>
      </c>
      <c r="C29" s="36" t="s">
        <v>659</v>
      </c>
      <c r="E29" s="53" t="n">
        <f aca="false">'2025'!H123-('2025'!H4+'2025'!H5)</f>
        <v>400201</v>
      </c>
      <c r="F29" s="53" t="n">
        <f aca="false">'2024'!H121-('2024'!H4+'2024'!H5)</f>
        <v>-827225</v>
      </c>
    </row>
    <row r="30" customFormat="false" ht="15.75" hidden="false" customHeight="true" outlineLevel="0" collapsed="false">
      <c r="A30" s="50" t="s">
        <v>660</v>
      </c>
      <c r="B30" s="60" t="s">
        <v>661</v>
      </c>
      <c r="C30" s="50" t="s">
        <v>662</v>
      </c>
      <c r="E30" s="53" t="n">
        <f aca="false">'2025'!H123+'2025'!H128</f>
        <v>2303012</v>
      </c>
      <c r="F30" s="53" t="n">
        <f aca="false">'2024'!H121+'2024'!H126</f>
        <v>1944082</v>
      </c>
    </row>
    <row r="31" customFormat="false" ht="15.75" hidden="false" customHeight="true" outlineLevel="0" collapsed="false">
      <c r="A31" s="36" t="s">
        <v>663</v>
      </c>
      <c r="B31" s="37" t="s">
        <v>623</v>
      </c>
      <c r="C31" s="36" t="s">
        <v>664</v>
      </c>
      <c r="E31" s="53" t="n">
        <f aca="false">E29+'2025'!H126</f>
        <v>758989</v>
      </c>
      <c r="F31" s="53" t="n">
        <f aca="false">F29+'2024'!H124</f>
        <v>-813485</v>
      </c>
    </row>
    <row r="32" customFormat="false" ht="15.75" hidden="false" customHeight="true" outlineLevel="0" collapsed="false">
      <c r="A32" s="36" t="s">
        <v>665</v>
      </c>
      <c r="B32" s="61" t="s">
        <v>666</v>
      </c>
      <c r="C32" s="59" t="s">
        <v>667</v>
      </c>
      <c r="E32" s="40" t="n">
        <f aca="false">E29/'2025'!H126</f>
        <v>1.11542470762679</v>
      </c>
      <c r="F32" s="40" t="n">
        <f aca="false">F29/'2024'!H124</f>
        <v>-60.2056040756914</v>
      </c>
    </row>
    <row r="33" customFormat="false" ht="15.75" hidden="false" customHeight="true" outlineLevel="0" collapsed="false">
      <c r="A33" s="36" t="s">
        <v>668</v>
      </c>
      <c r="B33" s="61" t="s">
        <v>666</v>
      </c>
      <c r="C33" s="36" t="s">
        <v>669</v>
      </c>
      <c r="E33" s="40" t="n">
        <f aca="false">E29/E31</f>
        <v>0.527281686559357</v>
      </c>
      <c r="F33" s="40" t="n">
        <f aca="false">F29/F31</f>
        <v>1.01689029299864</v>
      </c>
    </row>
    <row r="34" customFormat="false" ht="15.75" hidden="false" customHeight="true" outlineLevel="0" collapsed="false">
      <c r="B34" s="43"/>
    </row>
    <row r="35" customFormat="false" ht="15.75" hidden="false" customHeight="true" outlineLevel="0" collapsed="false">
      <c r="A35" s="62" t="s">
        <v>670</v>
      </c>
      <c r="B35" s="35" t="s">
        <v>593</v>
      </c>
      <c r="C35" s="35" t="s">
        <v>594</v>
      </c>
      <c r="E35" s="35" t="n">
        <v>2025</v>
      </c>
      <c r="F35" s="35" t="n">
        <v>2024</v>
      </c>
    </row>
    <row r="36" customFormat="false" ht="15.75" hidden="false" customHeight="true" outlineLevel="0" collapsed="false">
      <c r="A36" s="36" t="s">
        <v>671</v>
      </c>
      <c r="B36" s="37" t="s">
        <v>672</v>
      </c>
      <c r="C36" s="36" t="s">
        <v>673</v>
      </c>
      <c r="E36" s="56"/>
      <c r="F36" s="56"/>
    </row>
    <row r="37" customFormat="false" ht="15.75" hidden="false" customHeight="true" outlineLevel="0" collapsed="false">
      <c r="A37" s="36" t="s">
        <v>674</v>
      </c>
      <c r="B37" s="37" t="s">
        <v>675</v>
      </c>
      <c r="C37" s="36" t="s">
        <v>676</v>
      </c>
      <c r="E37" s="53"/>
      <c r="F37" s="53"/>
    </row>
    <row r="38" customFormat="false" ht="15.75" hidden="false" customHeight="true" outlineLevel="0" collapsed="false">
      <c r="A38" s="36" t="s">
        <v>677</v>
      </c>
      <c r="B38" s="37" t="s">
        <v>678</v>
      </c>
      <c r="C38" s="36" t="s">
        <v>679</v>
      </c>
      <c r="E38" s="53"/>
      <c r="F38" s="53"/>
    </row>
    <row r="39" customFormat="false" ht="15.75" hidden="false" customHeight="true" outlineLevel="0" collapsed="false">
      <c r="A39" s="36" t="s">
        <v>680</v>
      </c>
      <c r="B39" s="37" t="s">
        <v>681</v>
      </c>
      <c r="C39" s="36" t="s">
        <v>682</v>
      </c>
      <c r="E39" s="63"/>
      <c r="F39" s="63"/>
    </row>
    <row r="40" customFormat="false" ht="15.75" hidden="false" customHeight="true" outlineLevel="0" collapsed="false">
      <c r="A40" s="51" t="s">
        <v>683</v>
      </c>
      <c r="B40" s="54" t="s">
        <v>684</v>
      </c>
      <c r="C40" s="51" t="s">
        <v>685</v>
      </c>
      <c r="E40" s="53"/>
      <c r="F40" s="53"/>
    </row>
    <row r="41" customFormat="false" ht="15.75" hidden="false" customHeight="true" outlineLevel="0" collapsed="false">
      <c r="A41" s="50" t="s">
        <v>686</v>
      </c>
      <c r="B41" s="60" t="s">
        <v>687</v>
      </c>
      <c r="C41" s="50" t="s">
        <v>688</v>
      </c>
      <c r="E41" s="53"/>
      <c r="F41" s="53"/>
    </row>
    <row r="42" customFormat="false" ht="15.75" hidden="false" customHeight="true" outlineLevel="0" collapsed="false">
      <c r="A42" s="36" t="s">
        <v>689</v>
      </c>
      <c r="B42" s="37" t="s">
        <v>690</v>
      </c>
      <c r="C42" s="36" t="s">
        <v>691</v>
      </c>
      <c r="E42" s="0" t="n">
        <v>0.2049</v>
      </c>
      <c r="F42" s="53"/>
    </row>
    <row r="43" customFormat="false" ht="15.75" hidden="false" customHeight="true" outlineLevel="0" collapsed="false">
      <c r="B43" s="43"/>
    </row>
    <row r="44" customFormat="false" ht="15.75" hidden="false" customHeight="true" outlineLevel="0" collapsed="false">
      <c r="A44" s="64" t="s">
        <v>692</v>
      </c>
      <c r="B44" s="35" t="s">
        <v>593</v>
      </c>
      <c r="C44" s="35" t="s">
        <v>594</v>
      </c>
      <c r="E44" s="35" t="n">
        <v>2025</v>
      </c>
      <c r="F44" s="35" t="n">
        <v>2024</v>
      </c>
    </row>
    <row r="45" customFormat="false" ht="15.75" hidden="false" customHeight="true" outlineLevel="0" collapsed="false">
      <c r="A45" s="36" t="s">
        <v>693</v>
      </c>
      <c r="B45" s="37" t="s">
        <v>694</v>
      </c>
      <c r="C45" s="36" t="s">
        <v>695</v>
      </c>
      <c r="E45" s="65" t="n">
        <f aca="false">'2025'!H194/DRE!B2</f>
        <v>0.617069817921774</v>
      </c>
      <c r="F45" s="65" t="n">
        <f aca="false">'2024'!H192/DRE!C2</f>
        <v>0.605550524280141</v>
      </c>
    </row>
    <row r="46" customFormat="false" ht="15.75" hidden="false" customHeight="true" outlineLevel="0" collapsed="false">
      <c r="A46" s="36" t="s">
        <v>696</v>
      </c>
      <c r="B46" s="37" t="s">
        <v>696</v>
      </c>
      <c r="C46" s="36" t="s">
        <v>697</v>
      </c>
      <c r="E46" s="66" t="n">
        <f aca="false">E48+'2025'!H225</f>
        <v>2439774</v>
      </c>
      <c r="F46" s="66" t="n">
        <f aca="false">F48+'2024'!H223</f>
        <v>2323248</v>
      </c>
    </row>
    <row r="47" customFormat="false" ht="15.75" hidden="false" customHeight="true" outlineLevel="0" collapsed="false">
      <c r="A47" s="36" t="s">
        <v>698</v>
      </c>
      <c r="B47" s="37" t="s">
        <v>699</v>
      </c>
      <c r="C47" s="36" t="s">
        <v>700</v>
      </c>
      <c r="E47" s="66" t="n">
        <f aca="false">E46/DRE!B2</f>
        <v>0.154128694219512</v>
      </c>
      <c r="F47" s="66" t="n">
        <f aca="false">F46/DRE!C2</f>
        <v>0.160930250729304</v>
      </c>
    </row>
    <row r="48" customFormat="false" ht="15.75" hidden="false" customHeight="true" outlineLevel="0" collapsed="false">
      <c r="A48" s="36" t="s">
        <v>701</v>
      </c>
      <c r="B48" s="37" t="s">
        <v>701</v>
      </c>
      <c r="C48" s="36" t="s">
        <v>702</v>
      </c>
      <c r="E48" s="67" t="n">
        <f aca="false">'2025'!H172</f>
        <v>1148816</v>
      </c>
      <c r="F48" s="67" t="n">
        <f aca="false">'2024'!H170</f>
        <v>1078994</v>
      </c>
    </row>
    <row r="49" customFormat="false" ht="15.75" hidden="false" customHeight="true" outlineLevel="0" collapsed="false">
      <c r="A49" s="36" t="s">
        <v>703</v>
      </c>
      <c r="B49" s="37" t="s">
        <v>704</v>
      </c>
      <c r="C49" s="36" t="s">
        <v>705</v>
      </c>
      <c r="E49" s="53" t="n">
        <f aca="false">E48/DRE!B2</f>
        <v>0.0725745540277432</v>
      </c>
      <c r="F49" s="53" t="n">
        <f aca="false">F48/DRE!C2</f>
        <v>0.0747413857476321</v>
      </c>
    </row>
    <row r="50" customFormat="false" ht="15.75" hidden="false" customHeight="true" outlineLevel="0" collapsed="false">
      <c r="A50" s="36" t="s">
        <v>706</v>
      </c>
      <c r="B50" s="37" t="s">
        <v>706</v>
      </c>
      <c r="C50" s="36" t="s">
        <v>707</v>
      </c>
      <c r="E50" s="66" t="n">
        <f aca="false">DRE!B6</f>
        <v>1148816</v>
      </c>
      <c r="F50" s="66" t="n">
        <f aca="false">DRE!C6</f>
        <v>1078994</v>
      </c>
    </row>
    <row r="51" customFormat="false" ht="15.75" hidden="false" customHeight="true" outlineLevel="0" collapsed="false">
      <c r="A51" s="36" t="s">
        <v>708</v>
      </c>
      <c r="B51" s="37" t="s">
        <v>709</v>
      </c>
      <c r="C51" s="36" t="s">
        <v>710</v>
      </c>
      <c r="E51" s="53" t="n">
        <f aca="false">E50/DRE!B2</f>
        <v>0.0725745540277432</v>
      </c>
      <c r="F51" s="53" t="n">
        <f aca="false">F50/DRE!C2</f>
        <v>0.0747413857476321</v>
      </c>
    </row>
    <row r="52" customFormat="false" ht="15.75" hidden="false" customHeight="true" outlineLevel="0" collapsed="false">
      <c r="A52" s="36" t="s">
        <v>711</v>
      </c>
      <c r="B52" s="37" t="s">
        <v>712</v>
      </c>
      <c r="C52" s="36" t="s">
        <v>713</v>
      </c>
      <c r="E52" s="66" t="n">
        <f aca="false">'2025'!H214/DRE!B2</f>
        <v>0.0920793255107881</v>
      </c>
      <c r="F52" s="66" t="n">
        <f aca="false">'2024'!H212/DRE!C2</f>
        <v>0.0828926060755179</v>
      </c>
    </row>
    <row r="53" customFormat="false" ht="15.75" hidden="false" customHeight="true" outlineLevel="0" collapsed="false">
      <c r="A53" s="36" t="s">
        <v>714</v>
      </c>
      <c r="B53" s="37" t="s">
        <v>715</v>
      </c>
      <c r="C53" s="36" t="s">
        <v>716</v>
      </c>
      <c r="E53" s="66" t="n">
        <f aca="false">DRE!B6/E30</f>
        <v>0.498831964401401</v>
      </c>
      <c r="F53" s="66" t="n">
        <f aca="false">DRE!C6/Indicadores!F30</f>
        <v>0.555014654731642</v>
      </c>
    </row>
    <row r="54" customFormat="false" ht="15.75" hidden="false" customHeight="true" outlineLevel="0" collapsed="false">
      <c r="A54" s="36" t="s">
        <v>717</v>
      </c>
      <c r="B54" s="37" t="s">
        <v>718</v>
      </c>
      <c r="C54" s="36" t="s">
        <v>719</v>
      </c>
      <c r="E54" s="53"/>
      <c r="F54" s="53"/>
    </row>
    <row r="55" customFormat="false" ht="15.75" hidden="false" customHeight="true" outlineLevel="0" collapsed="false">
      <c r="A55" s="36" t="s">
        <v>720</v>
      </c>
      <c r="B55" s="37" t="s">
        <v>721</v>
      </c>
      <c r="C55" s="36" t="s">
        <v>722</v>
      </c>
      <c r="E55" s="53"/>
      <c r="F55" s="53"/>
    </row>
    <row r="56" customFormat="false" ht="15.75" hidden="false" customHeight="true" outlineLevel="0" collapsed="false"/>
    <row r="57" customFormat="false" ht="15.75" hidden="false" customHeight="true" outlineLevel="0" collapsed="false">
      <c r="A57" s="64" t="s">
        <v>723</v>
      </c>
      <c r="B57" s="35" t="s">
        <v>593</v>
      </c>
      <c r="C57" s="35" t="s">
        <v>594</v>
      </c>
      <c r="E57" s="35" t="n">
        <v>2025</v>
      </c>
      <c r="F57" s="35" t="n">
        <v>2024</v>
      </c>
    </row>
    <row r="58" customFormat="false" ht="15.75" hidden="false" customHeight="true" outlineLevel="0" collapsed="false">
      <c r="A58" s="50" t="s">
        <v>724</v>
      </c>
      <c r="B58" s="58" t="s">
        <v>725</v>
      </c>
      <c r="C58" s="59" t="s">
        <v>726</v>
      </c>
      <c r="E58" s="56"/>
      <c r="F58" s="56"/>
    </row>
    <row r="59" customFormat="false" ht="15.75" hidden="false" customHeight="true" outlineLevel="0" collapsed="false">
      <c r="A59" s="36" t="s">
        <v>727</v>
      </c>
      <c r="B59" s="37" t="s">
        <v>728</v>
      </c>
      <c r="C59" s="36" t="s">
        <v>729</v>
      </c>
      <c r="E59" s="53"/>
      <c r="F59" s="53"/>
    </row>
    <row r="60" customFormat="false" ht="15.75" hidden="false" customHeight="true" outlineLevel="0" collapsed="false">
      <c r="A60" s="51" t="s">
        <v>129</v>
      </c>
      <c r="B60" s="68" t="s">
        <v>666</v>
      </c>
      <c r="C60" s="51" t="s">
        <v>730</v>
      </c>
      <c r="E60" s="53"/>
      <c r="F60" s="53"/>
    </row>
    <row r="61" customFormat="false" ht="15.75" hidden="false" customHeight="true" outlineLevel="0" collapsed="false">
      <c r="A61" s="69"/>
    </row>
    <row r="62" customFormat="false" ht="15.75" hidden="false" customHeight="true" outlineLevel="0" collapsed="false">
      <c r="A62" s="64" t="s">
        <v>731</v>
      </c>
      <c r="B62" s="35" t="s">
        <v>593</v>
      </c>
      <c r="C62" s="35" t="s">
        <v>594</v>
      </c>
      <c r="E62" s="70" t="n">
        <v>2025</v>
      </c>
    </row>
    <row r="63" customFormat="false" ht="15.75" hidden="false" customHeight="true" outlineLevel="0" collapsed="false">
      <c r="A63" s="71" t="s">
        <v>732</v>
      </c>
      <c r="B63" s="72" t="s">
        <v>666</v>
      </c>
      <c r="C63" s="73" t="s">
        <v>733</v>
      </c>
      <c r="E63" s="73" t="n">
        <v>1006845</v>
      </c>
    </row>
    <row r="64" customFormat="false" ht="15.75" hidden="false" customHeight="true" outlineLevel="0" collapsed="false">
      <c r="A64" s="36" t="s">
        <v>734</v>
      </c>
      <c r="B64" s="53" t="s">
        <v>735</v>
      </c>
      <c r="C64" s="36" t="s">
        <v>736</v>
      </c>
      <c r="E64" s="74" t="n">
        <f aca="false">'2025'!H162/Indicadores!E63</f>
        <v>10.3851943447105</v>
      </c>
    </row>
    <row r="65" customFormat="false" ht="15.75" hidden="false" customHeight="true" outlineLevel="0" collapsed="false">
      <c r="A65" s="48" t="s">
        <v>737</v>
      </c>
      <c r="B65" s="75" t="s">
        <v>738</v>
      </c>
      <c r="C65" s="36" t="s">
        <v>739</v>
      </c>
      <c r="E65" s="23" t="n">
        <v>13.55</v>
      </c>
    </row>
    <row r="66" customFormat="false" ht="15.75" hidden="false" customHeight="true" outlineLevel="0" collapsed="false">
      <c r="A66" s="36" t="s">
        <v>740</v>
      </c>
      <c r="B66" s="53" t="s">
        <v>741</v>
      </c>
      <c r="C66" s="51" t="s">
        <v>742</v>
      </c>
      <c r="E66" s="66" t="n">
        <f aca="false">E65/E64</f>
        <v>1.30474207320939</v>
      </c>
    </row>
    <row r="67" customFormat="false" ht="15.75" hidden="false" customHeight="true" outlineLevel="0" collapsed="false">
      <c r="A67" s="36" t="s">
        <v>743</v>
      </c>
      <c r="B67" s="76" t="s">
        <v>744</v>
      </c>
      <c r="C67" s="36" t="s">
        <v>745</v>
      </c>
      <c r="E67" s="55" t="n">
        <f aca="false">E63/'2025'!H126</f>
        <v>2.80623933910833</v>
      </c>
    </row>
    <row r="68" customFormat="false" ht="15.75" hidden="false" customHeight="true" outlineLevel="0" collapsed="false">
      <c r="A68" s="45" t="s">
        <v>746</v>
      </c>
      <c r="B68" s="77" t="s">
        <v>747</v>
      </c>
      <c r="C68" s="36" t="s">
        <v>748</v>
      </c>
      <c r="E68" s="55" t="n">
        <f aca="false">'2025'!H214/E63</f>
        <v>1.4476567892774</v>
      </c>
    </row>
    <row r="69" customFormat="false" ht="15.75" hidden="false" customHeight="true" outlineLevel="0" collapsed="false">
      <c r="A69" s="36" t="s">
        <v>749</v>
      </c>
      <c r="B69" s="53" t="s">
        <v>750</v>
      </c>
      <c r="C69" s="36" t="s">
        <v>751</v>
      </c>
      <c r="E69" s="55" t="n">
        <f aca="false">E65/E68</f>
        <v>9.35995334002028</v>
      </c>
    </row>
    <row r="70" customFormat="false" ht="15.75" hidden="false" customHeight="true" outlineLevel="0" collapsed="false">
      <c r="A70" s="36" t="s">
        <v>752</v>
      </c>
      <c r="B70" s="53" t="s">
        <v>753</v>
      </c>
      <c r="C70" s="36" t="s">
        <v>754</v>
      </c>
      <c r="E70" s="66" t="n">
        <f aca="false">E63*E65</f>
        <v>13642749.75</v>
      </c>
    </row>
    <row r="71" customFormat="false" ht="15.75" hidden="false" customHeight="true" outlineLevel="0" collapsed="false">
      <c r="A71" s="36" t="s">
        <v>755</v>
      </c>
      <c r="B71" s="53" t="s">
        <v>756</v>
      </c>
      <c r="C71" s="36" t="s">
        <v>757</v>
      </c>
      <c r="E71" s="55" t="n">
        <f aca="false">'2025'!H256</f>
        <v>-686478</v>
      </c>
    </row>
    <row r="72" customFormat="false" ht="16.5" hidden="false" customHeight="true" outlineLevel="0" collapsed="false">
      <c r="A72" s="36" t="s">
        <v>758</v>
      </c>
      <c r="B72" s="53" t="s">
        <v>759</v>
      </c>
      <c r="C72" s="36" t="s">
        <v>760</v>
      </c>
      <c r="E72" s="78" t="n">
        <f aca="false">E71/E63</f>
        <v>-0.681811003679812</v>
      </c>
    </row>
    <row r="73" customFormat="false" ht="16.5" hidden="false" customHeight="true" outlineLevel="0" collapsed="false">
      <c r="A73" s="36" t="s">
        <v>761</v>
      </c>
      <c r="B73" s="53" t="s">
        <v>762</v>
      </c>
      <c r="C73" s="36" t="s">
        <v>763</v>
      </c>
      <c r="E73" s="78" t="n">
        <f aca="false">E72/E65</f>
        <v>-0.0503181552531226</v>
      </c>
    </row>
    <row r="74" customFormat="false" ht="16.5" hidden="false" customHeight="true" outlineLevel="0" collapsed="false">
      <c r="A74" s="36" t="s">
        <v>764</v>
      </c>
      <c r="B74" s="53" t="s">
        <v>764</v>
      </c>
      <c r="C74" s="36" t="s">
        <v>765</v>
      </c>
      <c r="E74" s="79" t="n">
        <f aca="false">E72/E68</f>
        <v>-0.470975585325124</v>
      </c>
    </row>
    <row r="75" customFormat="false" ht="15.75" hidden="false" customHeight="true" outlineLevel="0" collapsed="false">
      <c r="A75" s="50" t="s">
        <v>766</v>
      </c>
      <c r="B75" s="63" t="s">
        <v>767</v>
      </c>
      <c r="C75" s="50" t="s">
        <v>768</v>
      </c>
      <c r="E75" s="80"/>
    </row>
    <row r="76" customFormat="false" ht="15.75" hidden="false" customHeight="true" outlineLevel="0" collapsed="false">
      <c r="A76" s="36" t="s">
        <v>769</v>
      </c>
      <c r="B76" s="76" t="s">
        <v>666</v>
      </c>
      <c r="C76" s="36" t="s">
        <v>770</v>
      </c>
      <c r="E76" s="53"/>
    </row>
    <row r="77" customFormat="false" ht="15.75" hidden="false" customHeight="true" outlineLevel="0" collapsed="false">
      <c r="A77" s="36" t="s">
        <v>771</v>
      </c>
      <c r="B77" s="53" t="s">
        <v>772</v>
      </c>
      <c r="C77" s="36" t="s">
        <v>773</v>
      </c>
      <c r="E77" s="53"/>
    </row>
    <row r="78" customFormat="false" ht="15.75" hidden="false" customHeight="true" outlineLevel="0" collapsed="false">
      <c r="A78" s="51" t="s">
        <v>774</v>
      </c>
      <c r="B78" s="80" t="s">
        <v>775</v>
      </c>
      <c r="C78" s="51" t="s">
        <v>776</v>
      </c>
      <c r="E78" s="53"/>
    </row>
    <row r="79" customFormat="false" ht="15.75" hidden="false" customHeight="true" outlineLevel="0" collapsed="false">
      <c r="A79" s="59" t="s">
        <v>777</v>
      </c>
      <c r="B79" s="76" t="s">
        <v>666</v>
      </c>
      <c r="C79" s="59" t="s">
        <v>777</v>
      </c>
      <c r="E79" s="53"/>
    </row>
    <row r="80" customFormat="false" ht="15.75" hidden="false" customHeight="true" outlineLevel="0" collapsed="false">
      <c r="A80" s="36" t="s">
        <v>778</v>
      </c>
      <c r="B80" s="76" t="s">
        <v>666</v>
      </c>
      <c r="C80" s="36" t="s">
        <v>778</v>
      </c>
      <c r="E80" s="53"/>
    </row>
    <row r="81" customFormat="false" ht="15.75" hidden="false" customHeight="true" outlineLevel="0" collapsed="false">
      <c r="A81" s="51" t="s">
        <v>779</v>
      </c>
      <c r="B81" s="81" t="s">
        <v>780</v>
      </c>
      <c r="C81" s="51" t="s">
        <v>781</v>
      </c>
      <c r="E81" s="53"/>
    </row>
    <row r="82" customFormat="false" ht="15" hidden="false" customHeight="false" outlineLevel="0" collapsed="false">
      <c r="B82" s="43"/>
    </row>
    <row r="83" customFormat="false" ht="15" hidden="false" customHeight="false" outlineLevel="0" collapsed="false">
      <c r="A83" s="82" t="s">
        <v>782</v>
      </c>
      <c r="B83" s="4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26" zoomScaleNormal="126" zoomScalePageLayoutView="100" workbookViewId="0">
      <selection pane="topLeft" activeCell="B6" activeCellId="0" sqref="B6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21.83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83" t="s">
        <v>783</v>
      </c>
      <c r="B1" s="21" t="n">
        <v>2025</v>
      </c>
      <c r="C1" s="21" t="n">
        <v>2024</v>
      </c>
    </row>
    <row r="2" customFormat="false" ht="15" hidden="false" customHeight="false" outlineLevel="0" collapsed="false">
      <c r="A2" s="22" t="s">
        <v>784</v>
      </c>
      <c r="B2" s="23" t="n">
        <f aca="false">'2025'!H188</f>
        <v>15829460</v>
      </c>
      <c r="C2" s="23" t="n">
        <f aca="false">'2024'!H186</f>
        <v>14436366</v>
      </c>
    </row>
    <row r="3" customFormat="false" ht="15" hidden="false" customHeight="false" outlineLevel="0" collapsed="false">
      <c r="A3" s="22" t="s">
        <v>785</v>
      </c>
      <c r="B3" s="23" t="n">
        <f aca="false">'2025'!H164</f>
        <v>-334173</v>
      </c>
      <c r="C3" s="23" t="n">
        <f aca="false">'2024'!H162</f>
        <v>12054</v>
      </c>
    </row>
    <row r="4" customFormat="false" ht="15" hidden="false" customHeight="false" outlineLevel="0" collapsed="false">
      <c r="A4" s="22" t="s">
        <v>786</v>
      </c>
      <c r="B4" s="23" t="n">
        <f aca="false">'2025'!H172</f>
        <v>1148816</v>
      </c>
      <c r="C4" s="23" t="n">
        <f aca="false">'2024'!H170</f>
        <v>1078994</v>
      </c>
    </row>
    <row r="5" customFormat="false" ht="15" hidden="false" customHeight="false" outlineLevel="0" collapsed="false">
      <c r="A5" s="22" t="s">
        <v>787</v>
      </c>
      <c r="B5" s="23" t="n">
        <f aca="false">B4+'2025'!H225</f>
        <v>2439774</v>
      </c>
      <c r="C5" s="23" t="n">
        <f aca="false">C4+'2024'!H223</f>
        <v>2323248</v>
      </c>
    </row>
    <row r="6" customFormat="false" ht="15" hidden="false" customHeight="false" outlineLevel="0" collapsed="false">
      <c r="A6" s="22" t="s">
        <v>788</v>
      </c>
      <c r="B6" s="30" t="n">
        <f aca="false">B4-ABS('2025'!H178)</f>
        <v>1148816</v>
      </c>
      <c r="C6" s="23" t="n">
        <f aca="false">C4-ABS('2024'!H176)</f>
        <v>1078994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2026-03-25T11:17:36Z</dcterms:created>
  <dc:creator>openpyxl</dc:creator>
  <dc:description/>
  <dc:language>en-US</dc:language>
  <cp:lastModifiedBy>LUNA ARAUJO MEDEIROS NOGUEIRA</cp:lastModifiedBy>
  <dcterms:modified xsi:type="dcterms:W3CDTF">2026-06-11T00:48:35Z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