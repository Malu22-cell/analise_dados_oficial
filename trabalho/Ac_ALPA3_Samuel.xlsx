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7b3bc6c61f3a29/Documentos/IBMEC/Contabilidade Financeira/Contabilidade AC ALPA3/"/>
    </mc:Choice>
  </mc:AlternateContent>
  <xr:revisionPtr revIDLastSave="441" documentId="8_{7A43759A-0125-4C18-85D8-1D37C4094798}" xr6:coauthVersionLast="47" xr6:coauthVersionMax="47" xr10:uidLastSave="{E5691E61-E003-4432-BB1B-4A8F820C5C8E}"/>
  <bookViews>
    <workbookView xWindow="-110" yWindow="-110" windowWidth="19420" windowHeight="11500" activeTab="4" xr2:uid="{4B1C2979-A015-4FF8-8148-1673FAB6C649}"/>
  </bookViews>
  <sheets>
    <sheet name="2023" sheetId="1" r:id="rId1"/>
    <sheet name="2024" sheetId="2" r:id="rId2"/>
    <sheet name="2025" sheetId="3" r:id="rId3"/>
    <sheet name="indicadores" sheetId="4" r:id="rId4"/>
    <sheet name="DR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C6" i="6"/>
  <c r="B6" i="6"/>
  <c r="D5" i="6"/>
  <c r="D4" i="6"/>
  <c r="D3" i="6"/>
  <c r="D2" i="6"/>
  <c r="C5" i="6"/>
  <c r="C4" i="6"/>
  <c r="C3" i="6"/>
  <c r="C2" i="6"/>
  <c r="B5" i="6"/>
  <c r="B4" i="6"/>
  <c r="B3" i="6"/>
  <c r="B2" i="6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<sst xmlns="http://schemas.openxmlformats.org/spreadsheetml/2006/main" count="4877" uniqueCount="685">
  <si>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</si>
  <si>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</si>
  <si>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</si>
  <si>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</si>
  <si>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</si>
  <si>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</si>
  <si>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</si>
  <si>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</si>
  <si>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</si>
  <si>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ALPA</t>
  </si>
  <si>
    <t>20234T</t>
  </si>
  <si>
    <t>1</t>
  </si>
  <si>
    <t>Ativo Total</t>
  </si>
  <si>
    <t>DFs Consolidadas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</si>
  <si>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</si>
  <si>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</si>
  <si>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</si>
  <si>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</si>
  <si>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</si>
  <si>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</si>
  <si>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</si>
  <si>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</si>
  <si>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</si>
  <si>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</si>
  <si>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</si>
  <si>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</si>
  <si>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</si>
  <si>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</si>
  <si>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</si>
  <si>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</si>
  <si>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</si>
  <si>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</si>
  <si>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</si>
  <si>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</si>
  <si>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</si>
  <si>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</si>
  <si>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</si>
  <si>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</si>
  <si>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</si>
  <si>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</si>
  <si>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</si>
  <si>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</si>
  <si>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</si>
  <si>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</si>
  <si>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1.01.07</t>
  </si>
  <si>
    <t>Despesas Antecipadas</t>
  </si>
  <si>
    <t>1.01.07.01</t>
  </si>
  <si>
    <t>1.01.07.02</t>
  </si>
  <si>
    <t>Despesas Antecipadas com Propaganda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</si>
  <si>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</si>
  <si>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</si>
  <si>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</si>
  <si>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</si>
  <si>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</si>
  <si>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</si>
  <si>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</si>
  <si>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</si>
  <si>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</si>
  <si>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Adiantamento Fornecedores</t>
  </si>
  <si>
    <t>1.01.08.03.02</t>
  </si>
  <si>
    <t>Contas a Receber Funcionários</t>
  </si>
  <si>
    <t>1.01.08.03.03</t>
  </si>
  <si>
    <t>Ganhos não Realizados em Operações com Derivativos</t>
  </si>
  <si>
    <t>1.01.08.03.04</t>
  </si>
  <si>
    <t>Contas a Receber de Venda de Controlada</t>
  </si>
  <si>
    <t>1.01.08.03.05</t>
  </si>
  <si>
    <t>Outros Ativos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</si>
  <si>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</si>
  <si>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</si>
  <si>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</si>
  <si>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</si>
  <si>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</si>
  <si>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</si>
  <si>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</si>
  <si>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</si>
  <si>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</si>
  <si>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</si>
  <si>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</si>
  <si>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</si>
  <si>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</si>
  <si>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</si>
  <si>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</si>
  <si>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</si>
  <si>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</si>
  <si>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</si>
  <si>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</si>
  <si>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</si>
  <si>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</si>
  <si>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</si>
  <si>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</si>
  <si>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</si>
  <si>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</si>
  <si>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</si>
  <si>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</si>
  <si>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</si>
  <si>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</si>
  <si>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</si>
  <si>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</si>
  <si>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 e Cauções</t>
  </si>
  <si>
    <t>1.02.01.10.04</t>
  </si>
  <si>
    <t>1.02.01.10.05</t>
  </si>
  <si>
    <t>1.02.01.10.06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</si>
  <si>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</si>
  <si>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</si>
  <si>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</si>
  <si>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</si>
  <si>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</si>
  <si>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</si>
  <si>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</si>
  <si>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</si>
  <si>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</si>
  <si>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</si>
  <si>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</si>
  <si>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</si>
  <si>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1.02.02.02.01</t>
  </si>
  <si>
    <t>Outras Participações Societárias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</si>
  <si>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</si>
  <si>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</si>
  <si>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</si>
  <si>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</si>
  <si>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</si>
  <si>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</si>
  <si>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1.02.03.02.01</t>
  </si>
  <si>
    <t>Direito de Uso IFRS 16</t>
  </si>
  <si>
    <t>1.02.03.02.02</t>
  </si>
  <si>
    <t>Depreciação Direito de Uso IFRS 16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</si>
  <si>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</si>
  <si>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</si>
  <si>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</si>
  <si>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</si>
  <si>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</si>
  <si>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</si>
  <si>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</si>
  <si>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</si>
  <si>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1.02.04.01.02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</si>
  <si>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</si>
  <si>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</si>
  <si>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</si>
  <si>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</si>
  <si>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</si>
  <si>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</si>
  <si>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</si>
  <si>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</si>
  <si>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</si>
  <si>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</si>
  <si>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</si>
  <si>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</si>
  <si>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</si>
  <si>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</si>
  <si>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</si>
  <si>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</si>
  <si>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2.01.02.02</t>
  </si>
  <si>
    <t>Fornecedores 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</si>
  <si>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</si>
  <si>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</si>
  <si>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</si>
  <si>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</si>
  <si>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</si>
  <si>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</si>
  <si>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</si>
  <si>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Outras Obrigações Fiscais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</si>
  <si>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</si>
  <si>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</si>
  <si>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</si>
  <si>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</si>
  <si>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</si>
  <si>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</si>
  <si>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</si>
  <si>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</si>
  <si>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</si>
  <si>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</si>
  <si>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</si>
  <si>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</si>
  <si>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</si>
  <si>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</si>
  <si>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</si>
  <si>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</si>
  <si>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</si>
  <si>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</si>
  <si>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</si>
  <si>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</si>
  <si>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</si>
  <si>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</si>
  <si>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</si>
  <si>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</si>
  <si>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</si>
  <si>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</si>
  <si>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</si>
  <si>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</si>
  <si>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</si>
  <si>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</si>
  <si>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</si>
  <si>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</si>
  <si>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</si>
  <si>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Obrigações Negociadas de Controladas</t>
  </si>
  <si>
    <t>2.01.05.02.05</t>
  </si>
  <si>
    <t>Perdas não Realizadas em Operações com Derivativos</t>
  </si>
  <si>
    <t>2.01.05.02.06</t>
  </si>
  <si>
    <t>Provisões e Outras Obrigações</t>
  </si>
  <si>
    <t>2.01.05.02.07</t>
  </si>
  <si>
    <t>Passivo de Arrendamento IFRS 16</t>
  </si>
  <si>
    <t>2.01.05.02.08</t>
  </si>
  <si>
    <t>Risco Sacado</t>
  </si>
  <si>
    <t>2.01.05.02.09</t>
  </si>
  <si>
    <t>Plano de Incentivo de Longo Prazo</t>
  </si>
  <si>
    <t>2.01.05.02.10</t>
  </si>
  <si>
    <t>Contas a Pagar pela Aquisição de Controlada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</si>
  <si>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</si>
  <si>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</si>
  <si>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</si>
  <si>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</si>
  <si>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</si>
  <si>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</si>
  <si>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</si>
  <si>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</si>
  <si>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</si>
  <si>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</si>
  <si>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</si>
  <si>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</si>
  <si>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</si>
  <si>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</si>
  <si>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</si>
  <si>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</si>
  <si>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</si>
  <si>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</si>
  <si>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</si>
  <si>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</si>
  <si>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</si>
  <si>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</si>
  <si>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</si>
  <si>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</si>
  <si>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</si>
  <si>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</si>
  <si>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</si>
  <si>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</si>
  <si>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</si>
  <si>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</si>
  <si>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</si>
  <si>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</si>
  <si>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</si>
  <si>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</si>
  <si>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</si>
  <si>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</si>
  <si>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</si>
  <si>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</si>
  <si>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</si>
  <si>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</si>
  <si>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</si>
  <si>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</si>
  <si>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</si>
  <si>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</si>
  <si>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2.02.02.02.04</t>
  </si>
  <si>
    <t>Impostos a Pagar</t>
  </si>
  <si>
    <t>2.02.02.02.05</t>
  </si>
  <si>
    <t>2.02.02.02.06</t>
  </si>
  <si>
    <t>Parcelamento Tributário - Lei 11.941/09</t>
  </si>
  <si>
    <t>2.02.02.02.07</t>
  </si>
  <si>
    <t>2.02.02.02.08</t>
  </si>
  <si>
    <t>2.02.02.02.09</t>
  </si>
  <si>
    <t>2.02.02.02.10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</si>
  <si>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</si>
  <si>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</si>
  <si>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</si>
  <si>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</si>
  <si>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</si>
  <si>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</si>
  <si>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</si>
  <si>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</si>
  <si>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</si>
  <si>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</si>
  <si>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</si>
  <si>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</si>
  <si>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</si>
  <si>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</si>
  <si>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</si>
  <si>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</si>
  <si>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</si>
  <si>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</si>
  <si>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</si>
  <si>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</si>
  <si>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</si>
  <si>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</si>
  <si>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</si>
  <si>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</si>
  <si>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</si>
  <si>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</si>
  <si>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</si>
  <si>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</si>
  <si>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</si>
  <si>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</si>
  <si>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</si>
  <si>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</si>
  <si>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</si>
  <si>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</si>
  <si>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</si>
  <si>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</si>
  <si>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</si>
  <si>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</si>
  <si>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</si>
  <si>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</si>
  <si>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</si>
  <si>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Outras Reservas de Capital</t>
  </si>
  <si>
    <t>2.03.02.08</t>
  </si>
  <si>
    <t>Ágio na venda de ações em tesouraria</t>
  </si>
  <si>
    <t>2.03.02.09</t>
  </si>
  <si>
    <t>Opções Outorgadas Reconhecidas</t>
  </si>
  <si>
    <t>2.03.02.10</t>
  </si>
  <si>
    <t>Gastos com Emissão de Ações de Coligadas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</si>
  <si>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</si>
  <si>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</si>
  <si>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</si>
  <si>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</si>
  <si>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</si>
  <si>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</si>
  <si>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</si>
  <si>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</si>
  <si>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</si>
  <si>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</si>
  <si>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</si>
  <si>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</si>
  <si>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</si>
  <si>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</si>
  <si>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</si>
  <si>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</si>
  <si>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</si>
  <si>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</si>
  <si>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</si>
  <si>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</si>
  <si>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</si>
  <si>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</si>
  <si>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</si>
  <si>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</si>
  <si>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</si>
  <si>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</si>
  <si>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</si>
  <si>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</si>
  <si>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</si>
  <si>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2.03.08.01</t>
  </si>
  <si>
    <t>Resultado a Realizar em Operações de Hedge</t>
  </si>
  <si>
    <t>2.03.08.02</t>
  </si>
  <si>
    <t>Resultado a Realizar em Operações de Hedge-Controladas</t>
  </si>
  <si>
    <t>2.03.08.03</t>
  </si>
  <si>
    <t>Efeito da Aplicação da IAS 29 (Hiperinflação)</t>
  </si>
  <si>
    <t>2.03.08.04</t>
  </si>
  <si>
    <t>2.03.09</t>
  </si>
  <si>
    <t>Participação dos Acionistas Não Controladores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</si>
  <si>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</si>
  <si>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</si>
  <si>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</si>
  <si>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</si>
  <si>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</si>
  <si>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</si>
  <si>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</si>
  <si>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</si>
  <si>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</si>
  <si>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</si>
  <si>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</si>
  <si>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</si>
  <si>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3.04.03</t>
  </si>
  <si>
    <t>Perdas pela Não Recuperabilidade de Ativos</t>
  </si>
  <si>
    <t>3.04.04</t>
  </si>
  <si>
    <t>Outras Receitas Operacionais</t>
  </si>
  <si>
    <t>3.04.05</t>
  </si>
  <si>
    <t>Outras Despesas Operacionais</t>
  </si>
  <si>
    <t>3.04.05.01</t>
  </si>
  <si>
    <t>Amortização do Intangível</t>
  </si>
  <si>
    <t>3.04.05.02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</si>
  <si>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</si>
  <si>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</si>
  <si>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</si>
  <si>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</si>
  <si>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</si>
  <si>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</si>
  <si>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</si>
  <si>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</si>
  <si>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</si>
  <si>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Variação Cambial</t>
  </si>
  <si>
    <t>3.06.01.02</t>
  </si>
  <si>
    <t>Ganhos em Operações com Derivativos</t>
  </si>
  <si>
    <t>3.06.01.03</t>
  </si>
  <si>
    <t>Outras Receitas Financeiras</t>
  </si>
  <si>
    <t>3.06.02</t>
  </si>
  <si>
    <t>Despesas Financeiras</t>
  </si>
  <si>
    <t>3.06.02.01</t>
  </si>
  <si>
    <t>3.06.02.02</t>
  </si>
  <si>
    <t>Perdas em Operações com Derivativos</t>
  </si>
  <si>
    <t>3.06.02.03</t>
  </si>
  <si>
    <t>Outras Despesas Financeiras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</si>
  <si>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</si>
  <si>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</si>
  <si>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</si>
  <si>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</si>
  <si>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</si>
  <si>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</si>
  <si>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</si>
  <si>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</si>
  <si>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</si>
  <si>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</si>
  <si>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</si>
  <si>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</si>
  <si>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</si>
  <si>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</si>
  <si>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</si>
  <si>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</si>
  <si>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3.10.02.01</t>
  </si>
  <si>
    <t>Lucro/Prejuizo Liquido das Operações Descontinuadas Não Controladores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</si>
  <si>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</si>
  <si>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</si>
  <si>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</si>
  <si>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</si>
  <si>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</si>
  <si>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</si>
  <si>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</si>
  <si>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</si>
  <si>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</si>
  <si>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</si>
  <si>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3.99.02</t>
  </si>
  <si>
    <t>Lucro Diluído por Ação</t>
  </si>
  <si>
    <t>6.01</t>
  </si>
  <si>
    <t>Caixa Líquido Atividades Operacionais</t>
  </si>
  <si>
    <t>6.01.01</t>
  </si>
  <si>
    <t>Caixa Gerado nas Operações</t>
  </si>
  <si>
    <t>6.01.01.01</t>
  </si>
  <si>
    <t>Lucro Líquido do Período Proveniente das Operações Continuadas</t>
  </si>
  <si>
    <t>6.01.01.02</t>
  </si>
  <si>
    <t>Depreciação e Amortização</t>
  </si>
  <si>
    <t>6.01.01.03</t>
  </si>
  <si>
    <t>Resultado na Venda/baixa do imobilizado</t>
  </si>
  <si>
    <t>6.01.01.04</t>
  </si>
  <si>
    <t>Juros, Variações Monetárias e Cambiais e AVJ</t>
  </si>
  <si>
    <t>6.01.01.05</t>
  </si>
  <si>
    <t>Provisão para contingências trabalhistas, cíveis e tributárias</t>
  </si>
  <si>
    <t>6.01.01.06</t>
  </si>
  <si>
    <t>Imposto de Renda e Contribuição Social Correntes e Diferidos</t>
  </si>
  <si>
    <t>6.01.01.07</t>
  </si>
  <si>
    <t>Provisão para Perda Esperada (impairment) do Contas a Receber</t>
  </si>
  <si>
    <t>6.01.01.08</t>
  </si>
  <si>
    <t>Perdas nos Estoques - Provisão e Ajuste de Inventário</t>
  </si>
  <si>
    <t>6.01.01.09</t>
  </si>
  <si>
    <t>Prov. p/ Perda no Imobilizado/Intangível (Impairment)</t>
  </si>
  <si>
    <t>6.01.01.10</t>
  </si>
  <si>
    <t>Atualização Monet de Depósitos Judiciais, Créditos Tributários</t>
  </si>
  <si>
    <t>6.01.01.11</t>
  </si>
  <si>
    <t>6.01.01.12</t>
  </si>
  <si>
    <t>Provisão para Perda de Contas a Receber pela Venda de Controlada</t>
  </si>
  <si>
    <t>6.01.01.13</t>
  </si>
  <si>
    <t>Ganho / Perda com Valor Justo de Instrumentos Financeiros Derivativos</t>
  </si>
  <si>
    <t>6.01.01.14</t>
  </si>
  <si>
    <t>Prov. p/ Impairment - Ágio</t>
  </si>
  <si>
    <t>6.01.01.15</t>
  </si>
  <si>
    <t>Provisão de Juros - IFRS 16</t>
  </si>
  <si>
    <t>6.01.01.16</t>
  </si>
  <si>
    <t>Depreciação Direito de Uso - IFRS 16</t>
  </si>
  <si>
    <t>6.01.01.17</t>
  </si>
  <si>
    <t>Resultado na Baixa de Direito de Uso - IFRS 16</t>
  </si>
  <si>
    <t>6.01.01.18</t>
  </si>
  <si>
    <t>Provisão para Plano de Incentivo de Longo Prazo</t>
  </si>
  <si>
    <t>6.01.01.19</t>
  </si>
  <si>
    <t>Resultado da Equivalência Patrimonial</t>
  </si>
  <si>
    <t>6.01.02</t>
  </si>
  <si>
    <t>Variações nos Ativos e Passivos</t>
  </si>
  <si>
    <t>6.01.02.01</t>
  </si>
  <si>
    <t>Contas a Receber de Clientes</t>
  </si>
  <si>
    <t>6.01.02.02</t>
  </si>
  <si>
    <t>6.01.02.03</t>
  </si>
  <si>
    <t>6.01.02.04</t>
  </si>
  <si>
    <t>Impostos a Recuperar</t>
  </si>
  <si>
    <t>6.01.02.05</t>
  </si>
  <si>
    <t>6.01.02.06</t>
  </si>
  <si>
    <t>Obrigações Tributárias</t>
  </si>
  <si>
    <t>6.01.02.07</t>
  </si>
  <si>
    <t>Obrigações Trabalhistas e Previdenciárias</t>
  </si>
  <si>
    <t>6.01.02.08</t>
  </si>
  <si>
    <t>Pagamentos de imposto de renda e contribuição social</t>
  </si>
  <si>
    <t>6.01.02.09</t>
  </si>
  <si>
    <t>Pagamento de derivativos</t>
  </si>
  <si>
    <t>6.01.02.10</t>
  </si>
  <si>
    <t>Pagamento de Encargos de Empréstimos e Financiamentos</t>
  </si>
  <si>
    <t>6.01.02.11</t>
  </si>
  <si>
    <t>Contingências</t>
  </si>
  <si>
    <t>6.01.02.12</t>
  </si>
  <si>
    <t>6.01.02.13</t>
  </si>
  <si>
    <t>Caixa final de Ativo mantido para Venda</t>
  </si>
  <si>
    <t>6.01.02.14</t>
  </si>
  <si>
    <t>Caixa líquido Gerado / (Consumido) nas Operações Descontinuadas</t>
  </si>
  <si>
    <t>6.01.02.15</t>
  </si>
  <si>
    <t>Pagamento de Juros Arrendamento Mercantil IFRS 16</t>
  </si>
  <si>
    <t>6.01.02.16</t>
  </si>
  <si>
    <t>Outros Créditos</t>
  </si>
  <si>
    <t>6.01.03</t>
  </si>
  <si>
    <t>6.02</t>
  </si>
  <si>
    <t>Caixa Líquido Atividades de Investimento</t>
  </si>
  <si>
    <t>6.02.01</t>
  </si>
  <si>
    <t>Aquisição de Imobilizado e Intangível</t>
  </si>
  <si>
    <t>6.02.02</t>
  </si>
  <si>
    <t>Aplicações Financeiras Líquidas</t>
  </si>
  <si>
    <t>6.02.04</t>
  </si>
  <si>
    <t>Caixa líquido Gerado / (Consumido) pelas Operações Descontinuadas</t>
  </si>
  <si>
    <t>6.02.06</t>
  </si>
  <si>
    <t>Aumento de capital e aquisição de Investimentos</t>
  </si>
  <si>
    <t>6.02.08</t>
  </si>
  <si>
    <t>Pagamento pela Aquisição de Empresa (Rothy's e Ioasys)</t>
  </si>
  <si>
    <t>6.02.10</t>
  </si>
  <si>
    <t>Caixa assumido na aquisição de Controlada (Ioasys)</t>
  </si>
  <si>
    <t>6.02.11</t>
  </si>
  <si>
    <t>Recebimento pela venda de Controlada</t>
  </si>
  <si>
    <t>6.03</t>
  </si>
  <si>
    <t>Caixa Líquido Atividades de Financiamento</t>
  </si>
  <si>
    <t>6.03.01</t>
  </si>
  <si>
    <t>Captações de Empréstimos e Financiamentos</t>
  </si>
  <si>
    <t>6.03.02</t>
  </si>
  <si>
    <t>Pagamento de Empréstimos e Financiamentos - Principal</t>
  </si>
  <si>
    <t>6.03.03</t>
  </si>
  <si>
    <t>Pagamento de Juros sobre o Capital Próprio e Dividendos</t>
  </si>
  <si>
    <t>6.03.04</t>
  </si>
  <si>
    <t>Pagamento de Principal Arrendamento Mercantil IFRS 16</t>
  </si>
  <si>
    <t>6.03.06</t>
  </si>
  <si>
    <t>Oferta Restrita de Ações, Líquida dos Custos da Oferta</t>
  </si>
  <si>
    <t>6.03.07</t>
  </si>
  <si>
    <t>Venda de Ações em Tesouraria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</si>
  <si>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</si>
  <si>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</si>
  <si>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</si>
  <si>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</si>
  <si>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</si>
  <si>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</si>
  <si>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</si>
  <si>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</si>
  <si>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</si>
  <si>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</si>
  <si>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</si>
  <si>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</si>
  <si>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</si>
  <si>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</si>
  <si>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7.01.02.01</t>
  </si>
  <si>
    <t>Receita na Venda de Controlada</t>
  </si>
  <si>
    <t>7.01.02.02</t>
  </si>
  <si>
    <t>7.01.02.03</t>
  </si>
  <si>
    <t>Receitas refs. à Construção de Ativos Próprios</t>
  </si>
  <si>
    <t>7.01.03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</si>
  <si>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</si>
  <si>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</si>
  <si>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</si>
  <si>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</si>
  <si>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</si>
  <si>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</si>
  <si>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</si>
  <si>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</si>
  <si>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</si>
  <si>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</si>
  <si>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</si>
  <si>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7.02.04.01</t>
  </si>
  <si>
    <t>7.02.04.02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</si>
  <si>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</si>
  <si>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</si>
  <si>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</si>
  <si>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</si>
  <si>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</si>
  <si>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</si>
  <si>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</si>
  <si>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</si>
  <si>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</si>
  <si>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</si>
  <si>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</si>
  <si>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</si>
  <si>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</si>
  <si>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</si>
  <si>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</si>
  <si>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7.06.03.01</t>
  </si>
  <si>
    <t>7.06.03.02</t>
  </si>
  <si>
    <t>Resultado de Operações Descontinuadas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</si>
  <si>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</si>
  <si>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</si>
  <si>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</si>
  <si>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</si>
  <si>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</si>
  <si>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</si>
  <si>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</si>
  <si>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</si>
  <si>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</si>
  <si>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</si>
  <si>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</si>
  <si>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</si>
  <si>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</si>
  <si>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</si>
  <si>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</si>
  <si>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</si>
  <si>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</si>
  <si>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</si>
  <si>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</si>
  <si>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</si>
  <si>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</si>
  <si>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</si>
  <si>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</si>
  <si>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</si>
  <si>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</si>
  <si>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</si>
  <si>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</si>
  <si>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</si>
  <si>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</si>
  <si>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</si>
  <si>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</si>
  <si>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</si>
  <si>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</si>
  <si>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</si>
  <si>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</si>
  <si>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</si>
  <si>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</si>
  <si>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</si>
  <si>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</si>
  <si>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20244T</t>
  </si>
  <si>
    <t>Outros créditos</t>
  </si>
  <si>
    <t>Tributos a recuperar</t>
  </si>
  <si>
    <t>Passivo de Arrendamento</t>
  </si>
  <si>
    <t>Outros passivos</t>
  </si>
  <si>
    <t>Tributos com exigibilidade suspensa</t>
  </si>
  <si>
    <t>2.02.02.02.11</t>
  </si>
  <si>
    <t>Passivo a descoberto de controladas</t>
  </si>
  <si>
    <t>2.03.04.10</t>
  </si>
  <si>
    <t>Proposta de juros sobre capital próprio adicionais</t>
  </si>
  <si>
    <t>3.04.04.01</t>
  </si>
  <si>
    <t>Outras Receitas (Despesas) Operacionais, Líquidas</t>
  </si>
  <si>
    <t>Variação Cambial Líquida</t>
  </si>
  <si>
    <t>3.99.01.01</t>
  </si>
  <si>
    <t>ON</t>
  </si>
  <si>
    <t>3.99.01.02</t>
  </si>
  <si>
    <t>PN</t>
  </si>
  <si>
    <t>3.99.02.01</t>
  </si>
  <si>
    <t>3.99.02.02</t>
  </si>
  <si>
    <t>Provisões p/ Riscos Trabalhistas, Cíveis e Tributários</t>
  </si>
  <si>
    <t>Provisão / (Reversão) para Perda Esperada (Impairment) do contas a receber</t>
  </si>
  <si>
    <t>Provisão para perda no imobilizado/intangível</t>
  </si>
  <si>
    <t>Atualização Monet. de Depósitos Judiciais, Créditos Tributários e Outros</t>
  </si>
  <si>
    <t>Depreciação Direito de Uso - IFRS16</t>
  </si>
  <si>
    <t>Provisão para Impairment - Ágio</t>
  </si>
  <si>
    <t>Pagamento IR/CSLL</t>
  </si>
  <si>
    <t>Pagamento (Recebimento) de Derivativos</t>
  </si>
  <si>
    <t>Aumento de Capital de Controladas e Aquisição de Investimentos</t>
  </si>
  <si>
    <t>6.02.03</t>
  </si>
  <si>
    <t>Resgate Aplicações Financeiras</t>
  </si>
  <si>
    <t>6.02.05</t>
  </si>
  <si>
    <t>Caixa líquido Consumido pelas Operações Descontinuadas</t>
  </si>
  <si>
    <t>Dividendos/Juros s/ Capital Próprio Recebidos</t>
  </si>
  <si>
    <t>6.02.07</t>
  </si>
  <si>
    <t>Pagamento pela Aquisição de Empresa (Rothy´s e Ioasys)</t>
  </si>
  <si>
    <t>Recebimento pela venda de controlada</t>
  </si>
  <si>
    <t>6.03.05</t>
  </si>
  <si>
    <t>20254T</t>
  </si>
  <si>
    <t>Pagamento restituição de Capital aos acionistas</t>
  </si>
  <si>
    <t>Indicadores</t>
  </si>
  <si>
    <t>Capital Circulante Líquido (AC-PC)</t>
  </si>
  <si>
    <t>Liquidez Corrente (AC/PC)</t>
  </si>
  <si>
    <t>Liquidez Seca ((AC-Est-DA)/PC</t>
  </si>
  <si>
    <t>Liquidez Absoluta (Caixa e Equiv/PC)</t>
  </si>
  <si>
    <t>Liquidez Geral ((AC + ARLP)/(PC + PNC))</t>
  </si>
  <si>
    <t>PME (((EstInic + EstFin)/2)/CMV)x360</t>
  </si>
  <si>
    <t>Giro de Estoque (360/PME)</t>
  </si>
  <si>
    <t>PMRV (((ClientesInic + ClientesFin)/2)/Receita)x360</t>
  </si>
  <si>
    <t>Compras</t>
  </si>
  <si>
    <t>PMPF (((FornecedorInic + FornecedorFin)/2)/Compras)x360</t>
  </si>
  <si>
    <t>Ciclo Operacional (PME + PMRV)</t>
  </si>
  <si>
    <t>Ciclo Financeiro (CO - PMPF)</t>
  </si>
  <si>
    <t>Ciclo Econômico (PME)</t>
  </si>
  <si>
    <t>Ativo Circulante Financeiro - ACF</t>
  </si>
  <si>
    <t>Ativo Circulante Operacional - ACO</t>
  </si>
  <si>
    <t>Passivo Circulante Financeiro - PCF</t>
  </si>
  <si>
    <t>Passivo Circulante Operacional - PCO</t>
  </si>
  <si>
    <t>Saldo em Tesouraria - ST (ACF-PCF)</t>
  </si>
  <si>
    <t>Necessidade de Capital de Giro - NCG (ACO-PCO)</t>
  </si>
  <si>
    <t>Capital de Giro Líquido - CGL (AC-PC)</t>
  </si>
  <si>
    <t>Relação de Capitais (Passivo/PL)</t>
  </si>
  <si>
    <t>Endividamento Geral (Passivo/(Passivo + PL))</t>
  </si>
  <si>
    <t>Solvência Geral (Ativo/Passivo)</t>
  </si>
  <si>
    <t>Composição do Endividamento (PC/Passivo)</t>
  </si>
  <si>
    <t>Imobilização do PL (Ativos Fixos/PL)</t>
  </si>
  <si>
    <t>2025</t>
  </si>
  <si>
    <t>2024</t>
  </si>
  <si>
    <t>receita líquida</t>
  </si>
  <si>
    <t>Lucro Bruto</t>
  </si>
  <si>
    <t>EBITDA = EBIT + Dep/Amort</t>
  </si>
  <si>
    <t>EBIT</t>
  </si>
  <si>
    <t>NOPAT = EBIT - IR/CSLL corrente</t>
  </si>
  <si>
    <t>Número de ações</t>
  </si>
  <si>
    <t>2023</t>
  </si>
  <si>
    <t>indicadores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</si>
</sst>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"/>
    <numFmt numFmtId="165" formatCode="_(&quot;R$&quot;* #,##0.00_);_(&quot;R$&quot;* \(#,##0.00\);_(&quot;R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3627A-5545-4F50-B4B7-252445896301}" name="Tabela1" displayName="Tabela1" ref="A1:C28" totalsRowShown="0">
  <autoFilter ref="A1:C28" xr:uid="{8503627A-5545-4F50-B4B7-252445896301}">
    <filterColumn colId="0" hiddenButton="1"/>
    <filterColumn colId="1" hiddenButton="1"/>
    <filterColumn colId="2" hiddenButton="1"/>
  </autoFilter>
  <tableColumns count="3">
    <tableColumn id="1" xr3:uid="{D44ADC22-D61A-4186-B7B6-376800685F30}" name="Indicadores"/>
    <tableColumn id="2" xr3:uid="{4DDB233E-5308-47D7-B2F2-11EC901F708E}" name="2025" dataDxfId="1"/>
    <tableColumn id="3" xr3:uid="{B2EAD49A-E8E5-401C-B546-9A5399056182}" name="2024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91566-DD61-4347-BF1F-11D3A400D48C}" name="Tabela2" displayName="Tabela2" ref="A1:D6" totalsRowShown="0">
  <autoFilter ref="A1:D6" xr:uid="{82391566-DD61-4347-BF1F-11D3A400D48C}">
    <filterColumn colId="0" hiddenButton="1"/>
    <filterColumn colId="1" hiddenButton="1"/>
    <filterColumn colId="2" hiddenButton="1"/>
    <filterColumn colId="3" hiddenButton="1"/>
  </autoFilter>
  <tableColumns count="4">
    <tableColumn id="1" xr3:uid="{41E63E5E-5542-40FF-9FAC-081368B9A165}" name="indicadores"/>
    <tableColumn id="2" xr3:uid="{F16BA0FE-7072-4533-A4D4-516C2C78033C}" name="2025"/>
    <tableColumn id="3" xr3:uid="{3F4B7CD1-F29F-4996-BCBE-B8723FA2D658}" name="2024"/>
    <tableColumn id="4" xr3:uid="{C5B31088-A869-4FB9-B16D-DFA324C6057B}" name="202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E2B10C-9602-47B2-8B7D-8524257656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3a85ab8-33af-48df-b635-e8a80e8756c9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D851-C19A-4ED3-8C34-B824EC548FE8}">
  <dimension ref="A1:I338"/>
  <sheetViews>
    <sheetView workbookViewId="0">
      <selection activeCell="E14" sqref="E14"/>
    </sheetView>
  </sheetViews>
  <sheetFormatPr defaultRowHeight="14.5" x14ac:dyDescent="0.35"/>
  <cols>
    <col min="4" max="5" width="10.08984375" bestFit="1" customWidth="1"/>
    <col min="6" max="6" width="12" bestFit="1" customWidth="1"/>
    <col min="7" max="7" width="7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5625085</v>
      </c>
      <c r="B2" t="s">
        <v>9</v>
      </c>
      <c r="C2" t="s">
        <v>10</v>
      </c>
      <c r="D2" s="2">
        <v>45291</v>
      </c>
      <c r="E2" s="2">
        <v>45291</v>
      </c>
      <c r="F2" t="s">
        <v>11</v>
      </c>
      <c r="G2" t="s">
        <v>12</v>
      </c>
      <c r="H2">
        <v>6327389</v>
      </c>
      <c r="I2" t="s">
        <v>13</v>
      </c>
    </row>
    <row r="3" spans="1:9" x14ac:dyDescent="0.35">
      <c r="A3" s="3">
        <v>5625086</v>
      </c>
      <c r="B3" s="3" t="s">
        <v>9</v>
      </c>
      <c r="C3" s="3" t="s">
        <v>10</v>
      </c>
      <c r="D3" s="4">
        <v>45291</v>
      </c>
      <c r="E3" s="4">
        <v>45291</v>
      </c>
      <c r="F3" s="3" t="s">
        <v>14</v>
      </c>
      <c r="G3" s="3" t="s">
        <v>15</v>
      </c>
      <c r="H3">
        <v>3199595</v>
      </c>
      <c r="I3" t="s">
        <v>13</v>
      </c>
    </row>
    <row r="4" spans="1:9" x14ac:dyDescent="0.35">
      <c r="A4" s="3">
        <v>5625087</v>
      </c>
      <c r="B4" s="3" t="s">
        <v>9</v>
      </c>
      <c r="C4" s="3" t="s">
        <v>10</v>
      </c>
      <c r="D4" s="4">
        <v>45291</v>
      </c>
      <c r="E4" s="4">
        <v>45291</v>
      </c>
      <c r="F4" s="3" t="s">
        <v>16</v>
      </c>
      <c r="G4" s="3" t="s">
        <v>17</v>
      </c>
      <c r="H4">
        <v>922525</v>
      </c>
      <c r="I4" t="s">
        <v>13</v>
      </c>
    </row>
    <row r="5" spans="1:9" x14ac:dyDescent="0.35">
      <c r="A5" s="3">
        <v>5625088</v>
      </c>
      <c r="B5" s="3" t="s">
        <v>9</v>
      </c>
      <c r="C5" s="3" t="s">
        <v>10</v>
      </c>
      <c r="D5" s="4">
        <v>45291</v>
      </c>
      <c r="E5" s="4">
        <v>45291</v>
      </c>
      <c r="F5" s="3" t="s">
        <v>18</v>
      </c>
      <c r="G5" s="3" t="s">
        <v>19</v>
      </c>
      <c r="H5">
        <v>0</v>
      </c>
      <c r="I5" t="s">
        <v>13</v>
      </c>
    </row>
    <row r="6" spans="1:9" x14ac:dyDescent="0.35">
      <c r="A6" s="3">
        <v>5625089</v>
      </c>
      <c r="B6" s="3" t="s">
        <v>9</v>
      </c>
      <c r="C6" s="3" t="s">
        <v>10</v>
      </c>
      <c r="D6" s="4">
        <v>45291</v>
      </c>
      <c r="E6" s="4">
        <v>45291</v>
      </c>
      <c r="F6" s="3" t="s">
        <v>20</v>
      </c>
      <c r="G6" s="3" t="s">
        <v>21</v>
      </c>
      <c r="H6">
        <v>0</v>
      </c>
      <c r="I6" t="s">
        <v>13</v>
      </c>
    </row>
    <row r="7" spans="1:9" x14ac:dyDescent="0.35">
      <c r="A7" s="3">
        <v>5625090</v>
      </c>
      <c r="B7" s="3" t="s">
        <v>9</v>
      </c>
      <c r="C7" s="3" t="s">
        <v>10</v>
      </c>
      <c r="D7" s="4">
        <v>45291</v>
      </c>
      <c r="E7" s="4">
        <v>45291</v>
      </c>
      <c r="F7" s="3" t="s">
        <v>22</v>
      </c>
      <c r="G7" s="3" t="s">
        <v>23</v>
      </c>
      <c r="H7">
        <v>0</v>
      </c>
      <c r="I7" t="s">
        <v>13</v>
      </c>
    </row>
    <row r="8" spans="1:9" x14ac:dyDescent="0.35">
      <c r="A8" s="3">
        <v>5625091</v>
      </c>
      <c r="B8" s="3" t="s">
        <v>9</v>
      </c>
      <c r="C8" s="3" t="s">
        <v>10</v>
      </c>
      <c r="D8" s="4">
        <v>45291</v>
      </c>
      <c r="E8" s="4">
        <v>45291</v>
      </c>
      <c r="F8" s="3" t="s">
        <v>24</v>
      </c>
      <c r="G8" s="3" t="s">
        <v>25</v>
      </c>
      <c r="H8">
        <v>0</v>
      </c>
      <c r="I8" t="s">
        <v>13</v>
      </c>
    </row>
    <row r="9" spans="1:9" x14ac:dyDescent="0.35">
      <c r="A9" s="3">
        <v>5625092</v>
      </c>
      <c r="B9" s="3" t="s">
        <v>9</v>
      </c>
      <c r="C9" s="3" t="s">
        <v>10</v>
      </c>
      <c r="D9" s="4">
        <v>45291</v>
      </c>
      <c r="E9" s="4">
        <v>45291</v>
      </c>
      <c r="F9" s="3" t="s">
        <v>26</v>
      </c>
      <c r="G9" s="3" t="s">
        <v>27</v>
      </c>
      <c r="H9">
        <v>0</v>
      </c>
      <c r="I9" t="s">
        <v>13</v>
      </c>
    </row>
    <row r="10" spans="1:9" x14ac:dyDescent="0.35">
      <c r="A10" s="3">
        <v>5625093</v>
      </c>
      <c r="B10" s="3" t="s">
        <v>9</v>
      </c>
      <c r="C10" s="3" t="s">
        <v>10</v>
      </c>
      <c r="D10" s="4">
        <v>45291</v>
      </c>
      <c r="E10" s="4">
        <v>45291</v>
      </c>
      <c r="F10" s="3" t="s">
        <v>28</v>
      </c>
      <c r="G10" s="3" t="s">
        <v>29</v>
      </c>
      <c r="H10">
        <v>0</v>
      </c>
      <c r="I10" t="s">
        <v>13</v>
      </c>
    </row>
    <row r="11" spans="1:9" x14ac:dyDescent="0.35">
      <c r="A11" s="3">
        <v>5625094</v>
      </c>
      <c r="B11" s="3" t="s">
        <v>9</v>
      </c>
      <c r="C11" s="3" t="s">
        <v>10</v>
      </c>
      <c r="D11" s="4">
        <v>45291</v>
      </c>
      <c r="E11" s="4">
        <v>45291</v>
      </c>
      <c r="F11" s="3" t="s">
        <v>30</v>
      </c>
      <c r="G11" s="3" t="s">
        <v>31</v>
      </c>
      <c r="H11">
        <v>883735</v>
      </c>
      <c r="I11" t="s">
        <v>13</v>
      </c>
    </row>
    <row r="12" spans="1:9" x14ac:dyDescent="0.35">
      <c r="A12" s="3">
        <v>5625095</v>
      </c>
      <c r="B12" s="3" t="s">
        <v>9</v>
      </c>
      <c r="C12" s="3" t="s">
        <v>10</v>
      </c>
      <c r="D12" s="4">
        <v>45291</v>
      </c>
      <c r="E12" s="4">
        <v>45291</v>
      </c>
      <c r="F12" s="3" t="s">
        <v>32</v>
      </c>
      <c r="G12" s="3" t="s">
        <v>33</v>
      </c>
      <c r="H12">
        <v>883735</v>
      </c>
      <c r="I12" t="s">
        <v>13</v>
      </c>
    </row>
    <row r="13" spans="1:9" x14ac:dyDescent="0.35">
      <c r="A13" s="3">
        <v>5625096</v>
      </c>
      <c r="B13" s="3" t="s">
        <v>9</v>
      </c>
      <c r="C13" s="3" t="s">
        <v>10</v>
      </c>
      <c r="D13" s="4">
        <v>45291</v>
      </c>
      <c r="E13" s="4">
        <v>45291</v>
      </c>
      <c r="F13" s="3" t="s">
        <v>34</v>
      </c>
      <c r="G13" s="3" t="s">
        <v>35</v>
      </c>
      <c r="H13">
        <v>0</v>
      </c>
      <c r="I13" t="s">
        <v>13</v>
      </c>
    </row>
    <row r="14" spans="1:9" x14ac:dyDescent="0.35">
      <c r="A14" s="3">
        <v>5625097</v>
      </c>
      <c r="B14" s="3" t="s">
        <v>9</v>
      </c>
      <c r="C14" s="3" t="s">
        <v>10</v>
      </c>
      <c r="D14" s="4">
        <v>45291</v>
      </c>
      <c r="E14" s="4">
        <v>45291</v>
      </c>
      <c r="F14" s="3" t="s">
        <v>36</v>
      </c>
      <c r="G14" s="3" t="s">
        <v>37</v>
      </c>
      <c r="H14">
        <v>997680</v>
      </c>
      <c r="I14" t="s">
        <v>13</v>
      </c>
    </row>
    <row r="15" spans="1:9" x14ac:dyDescent="0.35">
      <c r="A15" s="3">
        <v>5625098</v>
      </c>
      <c r="B15" s="3" t="s">
        <v>9</v>
      </c>
      <c r="C15" s="3" t="s">
        <v>10</v>
      </c>
      <c r="D15" s="4">
        <v>45291</v>
      </c>
      <c r="E15" s="4">
        <v>45291</v>
      </c>
      <c r="F15" s="3" t="s">
        <v>38</v>
      </c>
      <c r="G15" s="3" t="s">
        <v>39</v>
      </c>
      <c r="H15">
        <v>0</v>
      </c>
      <c r="I15" t="s">
        <v>13</v>
      </c>
    </row>
    <row r="16" spans="1:9" x14ac:dyDescent="0.35">
      <c r="A16" s="3">
        <v>5625099</v>
      </c>
      <c r="B16" s="3" t="s">
        <v>9</v>
      </c>
      <c r="C16" s="3" t="s">
        <v>10</v>
      </c>
      <c r="D16" s="4">
        <v>45291</v>
      </c>
      <c r="E16" s="4">
        <v>45291</v>
      </c>
      <c r="F16" s="3" t="s">
        <v>40</v>
      </c>
      <c r="G16" s="3" t="s">
        <v>41</v>
      </c>
      <c r="H16">
        <v>227725</v>
      </c>
      <c r="I16" t="s">
        <v>13</v>
      </c>
    </row>
    <row r="17" spans="1:9" x14ac:dyDescent="0.35">
      <c r="A17" s="3">
        <v>5625100</v>
      </c>
      <c r="B17" s="3" t="s">
        <v>9</v>
      </c>
      <c r="C17" s="3" t="s">
        <v>10</v>
      </c>
      <c r="D17" s="4">
        <v>45291</v>
      </c>
      <c r="E17" s="4">
        <v>45291</v>
      </c>
      <c r="F17" s="3" t="s">
        <v>42</v>
      </c>
      <c r="G17" s="3" t="s">
        <v>43</v>
      </c>
      <c r="H17">
        <v>227725</v>
      </c>
      <c r="I17" t="s">
        <v>13</v>
      </c>
    </row>
    <row r="18" spans="1:9" x14ac:dyDescent="0.35">
      <c r="A18" s="3">
        <v>5625101</v>
      </c>
      <c r="B18" s="3" t="s">
        <v>9</v>
      </c>
      <c r="C18" s="3" t="s">
        <v>10</v>
      </c>
      <c r="D18" s="4">
        <v>45291</v>
      </c>
      <c r="E18" s="4">
        <v>45291</v>
      </c>
      <c r="F18" s="3" t="s">
        <v>44</v>
      </c>
      <c r="G18" s="3" t="s">
        <v>45</v>
      </c>
      <c r="H18">
        <v>39515</v>
      </c>
      <c r="I18" t="s">
        <v>13</v>
      </c>
    </row>
    <row r="19" spans="1:9" x14ac:dyDescent="0.35">
      <c r="A19" s="3">
        <v>5625102</v>
      </c>
      <c r="B19" s="3" t="s">
        <v>9</v>
      </c>
      <c r="C19" s="3" t="s">
        <v>10</v>
      </c>
      <c r="D19" s="4">
        <v>45291</v>
      </c>
      <c r="E19" s="4">
        <v>45291</v>
      </c>
      <c r="F19" s="3" t="s">
        <v>46</v>
      </c>
      <c r="G19" s="3" t="s">
        <v>45</v>
      </c>
      <c r="H19">
        <v>39515</v>
      </c>
      <c r="I19" t="s">
        <v>13</v>
      </c>
    </row>
    <row r="20" spans="1:9" x14ac:dyDescent="0.35">
      <c r="A20" s="3">
        <v>5625103</v>
      </c>
      <c r="B20" s="3" t="s">
        <v>9</v>
      </c>
      <c r="C20" s="3" t="s">
        <v>10</v>
      </c>
      <c r="D20" s="4">
        <v>45291</v>
      </c>
      <c r="E20" s="4">
        <v>45291</v>
      </c>
      <c r="F20" s="3" t="s">
        <v>47</v>
      </c>
      <c r="G20" s="3" t="s">
        <v>48</v>
      </c>
      <c r="H20">
        <v>0</v>
      </c>
      <c r="I20" t="s">
        <v>13</v>
      </c>
    </row>
    <row r="21" spans="1:9" x14ac:dyDescent="0.35">
      <c r="A21" s="3">
        <v>5625104</v>
      </c>
      <c r="B21" s="3" t="s">
        <v>9</v>
      </c>
      <c r="C21" s="3" t="s">
        <v>10</v>
      </c>
      <c r="D21" s="4">
        <v>45291</v>
      </c>
      <c r="E21" s="4">
        <v>45291</v>
      </c>
      <c r="F21" s="3" t="s">
        <v>49</v>
      </c>
      <c r="G21" s="3" t="s">
        <v>50</v>
      </c>
      <c r="H21">
        <v>128415</v>
      </c>
      <c r="I21" t="s">
        <v>13</v>
      </c>
    </row>
    <row r="22" spans="1:9" x14ac:dyDescent="0.35">
      <c r="A22" s="3">
        <v>5625105</v>
      </c>
      <c r="B22" s="3" t="s">
        <v>9</v>
      </c>
      <c r="C22" s="3" t="s">
        <v>10</v>
      </c>
      <c r="D22" s="4">
        <v>45291</v>
      </c>
      <c r="E22" s="4">
        <v>45291</v>
      </c>
      <c r="F22" s="3" t="s">
        <v>51</v>
      </c>
      <c r="G22" s="3" t="s">
        <v>52</v>
      </c>
      <c r="H22">
        <v>0</v>
      </c>
      <c r="I22" t="s">
        <v>13</v>
      </c>
    </row>
    <row r="23" spans="1:9" x14ac:dyDescent="0.35">
      <c r="A23" s="3">
        <v>5625106</v>
      </c>
      <c r="B23" s="3" t="s">
        <v>9</v>
      </c>
      <c r="C23" s="3" t="s">
        <v>10</v>
      </c>
      <c r="D23" s="4">
        <v>45291</v>
      </c>
      <c r="E23" s="4">
        <v>45291</v>
      </c>
      <c r="F23" s="3" t="s">
        <v>53</v>
      </c>
      <c r="G23" s="3" t="s">
        <v>54</v>
      </c>
      <c r="H23">
        <v>0</v>
      </c>
      <c r="I23" t="s">
        <v>13</v>
      </c>
    </row>
    <row r="24" spans="1:9" x14ac:dyDescent="0.35">
      <c r="A24" s="3">
        <v>5625107</v>
      </c>
      <c r="B24" s="3" t="s">
        <v>9</v>
      </c>
      <c r="C24" s="3" t="s">
        <v>10</v>
      </c>
      <c r="D24" s="4">
        <v>45291</v>
      </c>
      <c r="E24" s="4">
        <v>45291</v>
      </c>
      <c r="F24" s="3" t="s">
        <v>55</v>
      </c>
      <c r="G24" s="3" t="s">
        <v>56</v>
      </c>
      <c r="H24">
        <v>128415</v>
      </c>
      <c r="I24" t="s">
        <v>13</v>
      </c>
    </row>
    <row r="25" spans="1:9" x14ac:dyDescent="0.35">
      <c r="A25">
        <v>5625108</v>
      </c>
      <c r="B25" t="s">
        <v>9</v>
      </c>
      <c r="C25" t="s">
        <v>10</v>
      </c>
      <c r="D25" s="2">
        <v>45291</v>
      </c>
      <c r="E25" s="2">
        <v>45291</v>
      </c>
      <c r="F25" t="s">
        <v>57</v>
      </c>
      <c r="G25" t="s">
        <v>58</v>
      </c>
      <c r="H25">
        <v>7393</v>
      </c>
      <c r="I25" t="s">
        <v>13</v>
      </c>
    </row>
    <row r="26" spans="1:9" x14ac:dyDescent="0.35">
      <c r="A26">
        <v>5625109</v>
      </c>
      <c r="B26" t="s">
        <v>9</v>
      </c>
      <c r="C26" t="s">
        <v>10</v>
      </c>
      <c r="D26" s="2">
        <v>45291</v>
      </c>
      <c r="E26" s="2">
        <v>45291</v>
      </c>
      <c r="F26" t="s">
        <v>59</v>
      </c>
      <c r="G26" t="s">
        <v>60</v>
      </c>
      <c r="H26">
        <v>12503</v>
      </c>
      <c r="I26" t="s">
        <v>13</v>
      </c>
    </row>
    <row r="27" spans="1:9" x14ac:dyDescent="0.35">
      <c r="A27">
        <v>5625110</v>
      </c>
      <c r="B27" t="s">
        <v>9</v>
      </c>
      <c r="C27" t="s">
        <v>10</v>
      </c>
      <c r="D27" s="2">
        <v>45291</v>
      </c>
      <c r="E27" s="2">
        <v>45291</v>
      </c>
      <c r="F27" t="s">
        <v>61</v>
      </c>
      <c r="G27" t="s">
        <v>62</v>
      </c>
      <c r="H27">
        <v>0</v>
      </c>
      <c r="I27" t="s">
        <v>13</v>
      </c>
    </row>
    <row r="28" spans="1:9" x14ac:dyDescent="0.35">
      <c r="A28">
        <v>5625111</v>
      </c>
      <c r="B28" t="s">
        <v>9</v>
      </c>
      <c r="C28" t="s">
        <v>10</v>
      </c>
      <c r="D28" s="2">
        <v>45291</v>
      </c>
      <c r="E28" s="2">
        <v>45291</v>
      </c>
      <c r="F28" t="s">
        <v>63</v>
      </c>
      <c r="G28" t="s">
        <v>64</v>
      </c>
      <c r="H28">
        <v>48527</v>
      </c>
      <c r="I28" t="s">
        <v>13</v>
      </c>
    </row>
    <row r="29" spans="1:9" x14ac:dyDescent="0.35">
      <c r="A29">
        <v>5625112</v>
      </c>
      <c r="B29" t="s">
        <v>9</v>
      </c>
      <c r="C29" t="s">
        <v>10</v>
      </c>
      <c r="D29" s="2">
        <v>45291</v>
      </c>
      <c r="E29" s="2">
        <v>45291</v>
      </c>
      <c r="F29" t="s">
        <v>65</v>
      </c>
      <c r="G29" t="s">
        <v>66</v>
      </c>
      <c r="H29">
        <v>59992</v>
      </c>
      <c r="I29" t="s">
        <v>13</v>
      </c>
    </row>
    <row r="30" spans="1:9" x14ac:dyDescent="0.35">
      <c r="A30">
        <v>5625113</v>
      </c>
      <c r="B30" t="s">
        <v>9</v>
      </c>
      <c r="C30" t="s">
        <v>10</v>
      </c>
      <c r="D30" s="2">
        <v>45291</v>
      </c>
      <c r="E30" s="2">
        <v>45291</v>
      </c>
      <c r="F30" t="s">
        <v>67</v>
      </c>
      <c r="G30" t="s">
        <v>68</v>
      </c>
      <c r="H30">
        <v>3127794</v>
      </c>
      <c r="I30" t="s">
        <v>13</v>
      </c>
    </row>
    <row r="31" spans="1:9" x14ac:dyDescent="0.35">
      <c r="A31">
        <v>5625114</v>
      </c>
      <c r="B31" t="s">
        <v>9</v>
      </c>
      <c r="C31" t="s">
        <v>10</v>
      </c>
      <c r="D31" s="2">
        <v>45291</v>
      </c>
      <c r="E31" s="2">
        <v>45291</v>
      </c>
      <c r="F31" t="s">
        <v>69</v>
      </c>
      <c r="G31" t="s">
        <v>70</v>
      </c>
      <c r="H31">
        <v>416800</v>
      </c>
      <c r="I31" t="s">
        <v>13</v>
      </c>
    </row>
    <row r="32" spans="1:9" x14ac:dyDescent="0.35">
      <c r="A32">
        <v>5625115</v>
      </c>
      <c r="B32" t="s">
        <v>9</v>
      </c>
      <c r="C32" t="s">
        <v>10</v>
      </c>
      <c r="D32" s="2">
        <v>45291</v>
      </c>
      <c r="E32" s="2">
        <v>45291</v>
      </c>
      <c r="F32" t="s">
        <v>71</v>
      </c>
      <c r="G32" t="s">
        <v>21</v>
      </c>
      <c r="H32">
        <v>11898</v>
      </c>
      <c r="I32" t="s">
        <v>13</v>
      </c>
    </row>
    <row r="33" spans="1:9" x14ac:dyDescent="0.35">
      <c r="A33">
        <v>5625116</v>
      </c>
      <c r="B33" t="s">
        <v>9</v>
      </c>
      <c r="C33" t="s">
        <v>10</v>
      </c>
      <c r="D33" s="2">
        <v>45291</v>
      </c>
      <c r="E33" s="2">
        <v>45291</v>
      </c>
      <c r="F33" t="s">
        <v>72</v>
      </c>
      <c r="G33" t="s">
        <v>25</v>
      </c>
      <c r="H33">
        <v>11898</v>
      </c>
      <c r="I33" t="s">
        <v>13</v>
      </c>
    </row>
    <row r="34" spans="1:9" x14ac:dyDescent="0.35">
      <c r="A34">
        <v>5625117</v>
      </c>
      <c r="B34" t="s">
        <v>9</v>
      </c>
      <c r="C34" t="s">
        <v>10</v>
      </c>
      <c r="D34" s="2">
        <v>45291</v>
      </c>
      <c r="E34" s="2">
        <v>45291</v>
      </c>
      <c r="F34" t="s">
        <v>73</v>
      </c>
      <c r="G34" t="s">
        <v>27</v>
      </c>
      <c r="H34">
        <v>0</v>
      </c>
      <c r="I34" t="s">
        <v>13</v>
      </c>
    </row>
    <row r="35" spans="1:9" x14ac:dyDescent="0.35">
      <c r="A35">
        <v>5625118</v>
      </c>
      <c r="B35" t="s">
        <v>9</v>
      </c>
      <c r="C35" t="s">
        <v>10</v>
      </c>
      <c r="D35" s="2">
        <v>45291</v>
      </c>
      <c r="E35" s="2">
        <v>45291</v>
      </c>
      <c r="F35" t="s">
        <v>74</v>
      </c>
      <c r="G35" t="s">
        <v>29</v>
      </c>
      <c r="H35">
        <v>0</v>
      </c>
      <c r="I35" t="s">
        <v>13</v>
      </c>
    </row>
    <row r="36" spans="1:9" x14ac:dyDescent="0.35">
      <c r="A36">
        <v>5625119</v>
      </c>
      <c r="B36" t="s">
        <v>9</v>
      </c>
      <c r="C36" t="s">
        <v>10</v>
      </c>
      <c r="D36" s="2">
        <v>45291</v>
      </c>
      <c r="E36" s="2">
        <v>45291</v>
      </c>
      <c r="F36" t="s">
        <v>75</v>
      </c>
      <c r="G36" t="s">
        <v>31</v>
      </c>
      <c r="H36">
        <v>0</v>
      </c>
      <c r="I36" t="s">
        <v>13</v>
      </c>
    </row>
    <row r="37" spans="1:9" x14ac:dyDescent="0.35">
      <c r="A37">
        <v>5625120</v>
      </c>
      <c r="B37" t="s">
        <v>9</v>
      </c>
      <c r="C37" t="s">
        <v>10</v>
      </c>
      <c r="D37" s="2">
        <v>45291</v>
      </c>
      <c r="E37" s="2">
        <v>45291</v>
      </c>
      <c r="F37" t="s">
        <v>76</v>
      </c>
      <c r="G37" t="s">
        <v>33</v>
      </c>
      <c r="H37">
        <v>0</v>
      </c>
      <c r="I37" t="s">
        <v>13</v>
      </c>
    </row>
    <row r="38" spans="1:9" x14ac:dyDescent="0.35">
      <c r="A38">
        <v>5625121</v>
      </c>
      <c r="B38" t="s">
        <v>9</v>
      </c>
      <c r="C38" t="s">
        <v>10</v>
      </c>
      <c r="D38" s="2">
        <v>45291</v>
      </c>
      <c r="E38" s="2">
        <v>45291</v>
      </c>
      <c r="F38" t="s">
        <v>77</v>
      </c>
      <c r="G38" t="s">
        <v>35</v>
      </c>
      <c r="H38">
        <v>0</v>
      </c>
      <c r="I38" t="s">
        <v>13</v>
      </c>
    </row>
    <row r="39" spans="1:9" x14ac:dyDescent="0.35">
      <c r="A39">
        <v>5625122</v>
      </c>
      <c r="B39" t="s">
        <v>9</v>
      </c>
      <c r="C39" t="s">
        <v>10</v>
      </c>
      <c r="D39" s="2">
        <v>45291</v>
      </c>
      <c r="E39" s="2">
        <v>45291</v>
      </c>
      <c r="F39" t="s">
        <v>78</v>
      </c>
      <c r="G39" t="s">
        <v>37</v>
      </c>
      <c r="H39">
        <v>0</v>
      </c>
      <c r="I39" t="s">
        <v>13</v>
      </c>
    </row>
    <row r="40" spans="1:9" x14ac:dyDescent="0.35">
      <c r="A40">
        <v>5625123</v>
      </c>
      <c r="B40" t="s">
        <v>9</v>
      </c>
      <c r="C40" t="s">
        <v>10</v>
      </c>
      <c r="D40" s="2">
        <v>45291</v>
      </c>
      <c r="E40" s="2">
        <v>45291</v>
      </c>
      <c r="F40" t="s">
        <v>79</v>
      </c>
      <c r="G40" t="s">
        <v>39</v>
      </c>
      <c r="H40">
        <v>0</v>
      </c>
      <c r="I40" t="s">
        <v>13</v>
      </c>
    </row>
    <row r="41" spans="1:9" x14ac:dyDescent="0.35">
      <c r="A41">
        <v>5625124</v>
      </c>
      <c r="B41" t="s">
        <v>9</v>
      </c>
      <c r="C41" t="s">
        <v>10</v>
      </c>
      <c r="D41" s="2">
        <v>45291</v>
      </c>
      <c r="E41" s="2">
        <v>45291</v>
      </c>
      <c r="F41" t="s">
        <v>80</v>
      </c>
      <c r="G41" t="s">
        <v>81</v>
      </c>
      <c r="H41">
        <v>259202</v>
      </c>
      <c r="I41" t="s">
        <v>13</v>
      </c>
    </row>
    <row r="42" spans="1:9" x14ac:dyDescent="0.35">
      <c r="A42">
        <v>5625125</v>
      </c>
      <c r="B42" t="s">
        <v>9</v>
      </c>
      <c r="C42" t="s">
        <v>10</v>
      </c>
      <c r="D42" s="2">
        <v>45291</v>
      </c>
      <c r="E42" s="2">
        <v>45291</v>
      </c>
      <c r="F42" t="s">
        <v>82</v>
      </c>
      <c r="G42" t="s">
        <v>83</v>
      </c>
      <c r="H42">
        <v>259202</v>
      </c>
      <c r="I42" t="s">
        <v>13</v>
      </c>
    </row>
    <row r="43" spans="1:9" x14ac:dyDescent="0.35">
      <c r="A43">
        <v>5625126</v>
      </c>
      <c r="B43" t="s">
        <v>9</v>
      </c>
      <c r="C43" t="s">
        <v>10</v>
      </c>
      <c r="D43" s="2">
        <v>45291</v>
      </c>
      <c r="E43" s="2">
        <v>45291</v>
      </c>
      <c r="F43" t="s">
        <v>84</v>
      </c>
      <c r="G43" t="s">
        <v>45</v>
      </c>
      <c r="H43">
        <v>0</v>
      </c>
      <c r="I43" t="s">
        <v>13</v>
      </c>
    </row>
    <row r="44" spans="1:9" x14ac:dyDescent="0.35">
      <c r="A44">
        <v>5625127</v>
      </c>
      <c r="B44" t="s">
        <v>9</v>
      </c>
      <c r="C44" t="s">
        <v>10</v>
      </c>
      <c r="D44" s="2">
        <v>45291</v>
      </c>
      <c r="E44" s="2">
        <v>45291</v>
      </c>
      <c r="F44" t="s">
        <v>85</v>
      </c>
      <c r="G44" t="s">
        <v>86</v>
      </c>
      <c r="H44">
        <v>0</v>
      </c>
      <c r="I44" t="s">
        <v>13</v>
      </c>
    </row>
    <row r="45" spans="1:9" x14ac:dyDescent="0.35">
      <c r="A45">
        <v>5625128</v>
      </c>
      <c r="B45" t="s">
        <v>9</v>
      </c>
      <c r="C45" t="s">
        <v>10</v>
      </c>
      <c r="D45" s="2">
        <v>45291</v>
      </c>
      <c r="E45" s="2">
        <v>45291</v>
      </c>
      <c r="F45" t="s">
        <v>87</v>
      </c>
      <c r="G45" t="s">
        <v>88</v>
      </c>
      <c r="H45">
        <v>0</v>
      </c>
      <c r="I45" t="s">
        <v>13</v>
      </c>
    </row>
    <row r="46" spans="1:9" x14ac:dyDescent="0.35">
      <c r="A46">
        <v>5625129</v>
      </c>
      <c r="B46" t="s">
        <v>9</v>
      </c>
      <c r="C46" t="s">
        <v>10</v>
      </c>
      <c r="D46" s="2">
        <v>45291</v>
      </c>
      <c r="E46" s="2">
        <v>45291</v>
      </c>
      <c r="F46" t="s">
        <v>89</v>
      </c>
      <c r="G46" t="s">
        <v>90</v>
      </c>
      <c r="H46">
        <v>0</v>
      </c>
      <c r="I46" t="s">
        <v>13</v>
      </c>
    </row>
    <row r="47" spans="1:9" x14ac:dyDescent="0.35">
      <c r="A47">
        <v>5625130</v>
      </c>
      <c r="B47" t="s">
        <v>9</v>
      </c>
      <c r="C47" t="s">
        <v>10</v>
      </c>
      <c r="D47" s="2">
        <v>45291</v>
      </c>
      <c r="E47" s="2">
        <v>45291</v>
      </c>
      <c r="F47" t="s">
        <v>91</v>
      </c>
      <c r="G47" t="s">
        <v>92</v>
      </c>
      <c r="H47">
        <v>0</v>
      </c>
      <c r="I47" t="s">
        <v>13</v>
      </c>
    </row>
    <row r="48" spans="1:9" x14ac:dyDescent="0.35">
      <c r="A48">
        <v>5625131</v>
      </c>
      <c r="B48" t="s">
        <v>9</v>
      </c>
      <c r="C48" t="s">
        <v>10</v>
      </c>
      <c r="D48" s="2">
        <v>45291</v>
      </c>
      <c r="E48" s="2">
        <v>45291</v>
      </c>
      <c r="F48" t="s">
        <v>93</v>
      </c>
      <c r="G48" t="s">
        <v>94</v>
      </c>
      <c r="H48">
        <v>145700</v>
      </c>
      <c r="I48" t="s">
        <v>13</v>
      </c>
    </row>
    <row r="49" spans="1:9" x14ac:dyDescent="0.35">
      <c r="A49">
        <v>5625132</v>
      </c>
      <c r="B49" t="s">
        <v>9</v>
      </c>
      <c r="C49" t="s">
        <v>10</v>
      </c>
      <c r="D49" s="2">
        <v>45291</v>
      </c>
      <c r="E49" s="2">
        <v>45291</v>
      </c>
      <c r="F49" t="s">
        <v>95</v>
      </c>
      <c r="G49" t="s">
        <v>52</v>
      </c>
      <c r="H49">
        <v>0</v>
      </c>
      <c r="I49" t="s">
        <v>13</v>
      </c>
    </row>
    <row r="50" spans="1:9" x14ac:dyDescent="0.35">
      <c r="A50">
        <v>5625133</v>
      </c>
      <c r="B50" t="s">
        <v>9</v>
      </c>
      <c r="C50" t="s">
        <v>10</v>
      </c>
      <c r="D50" s="2">
        <v>45291</v>
      </c>
      <c r="E50" s="2">
        <v>45291</v>
      </c>
      <c r="F50" t="s">
        <v>96</v>
      </c>
      <c r="G50" t="s">
        <v>54</v>
      </c>
      <c r="H50">
        <v>0</v>
      </c>
      <c r="I50" t="s">
        <v>13</v>
      </c>
    </row>
    <row r="51" spans="1:9" x14ac:dyDescent="0.35">
      <c r="A51">
        <v>5625134</v>
      </c>
      <c r="B51" t="s">
        <v>9</v>
      </c>
      <c r="C51" t="s">
        <v>10</v>
      </c>
      <c r="D51" s="2">
        <v>45291</v>
      </c>
      <c r="E51" s="2">
        <v>45291</v>
      </c>
      <c r="F51" t="s">
        <v>97</v>
      </c>
      <c r="G51" t="s">
        <v>98</v>
      </c>
      <c r="H51">
        <v>31336</v>
      </c>
      <c r="I51" t="s">
        <v>13</v>
      </c>
    </row>
    <row r="52" spans="1:9" x14ac:dyDescent="0.35">
      <c r="A52">
        <v>5625135</v>
      </c>
      <c r="B52" t="s">
        <v>9</v>
      </c>
      <c r="C52" t="s">
        <v>10</v>
      </c>
      <c r="D52" s="2">
        <v>45291</v>
      </c>
      <c r="E52" s="2">
        <v>45291</v>
      </c>
      <c r="F52" t="s">
        <v>99</v>
      </c>
      <c r="G52" t="s">
        <v>41</v>
      </c>
      <c r="H52">
        <v>97561</v>
      </c>
      <c r="I52" t="s">
        <v>13</v>
      </c>
    </row>
    <row r="53" spans="1:9" x14ac:dyDescent="0.35">
      <c r="A53">
        <v>5625136</v>
      </c>
      <c r="B53" t="s">
        <v>9</v>
      </c>
      <c r="C53" t="s">
        <v>10</v>
      </c>
      <c r="D53" s="2">
        <v>45291</v>
      </c>
      <c r="E53" s="2">
        <v>45291</v>
      </c>
      <c r="F53" t="s">
        <v>100</v>
      </c>
      <c r="G53" t="s">
        <v>64</v>
      </c>
      <c r="H53">
        <v>0</v>
      </c>
      <c r="I53" t="s">
        <v>13</v>
      </c>
    </row>
    <row r="54" spans="1:9" x14ac:dyDescent="0.35">
      <c r="A54">
        <v>5625137</v>
      </c>
      <c r="B54" t="s">
        <v>9</v>
      </c>
      <c r="C54" t="s">
        <v>10</v>
      </c>
      <c r="D54" s="2">
        <v>45291</v>
      </c>
      <c r="E54" s="2">
        <v>45291</v>
      </c>
      <c r="F54" t="s">
        <v>101</v>
      </c>
      <c r="G54" t="s">
        <v>35</v>
      </c>
      <c r="H54">
        <v>16803</v>
      </c>
      <c r="I54" t="s">
        <v>13</v>
      </c>
    </row>
    <row r="55" spans="1:9" x14ac:dyDescent="0.35">
      <c r="A55">
        <v>5625138</v>
      </c>
      <c r="B55" t="s">
        <v>9</v>
      </c>
      <c r="C55" t="s">
        <v>10</v>
      </c>
      <c r="D55" s="2">
        <v>45291</v>
      </c>
      <c r="E55" s="2">
        <v>45291</v>
      </c>
      <c r="F55" t="s">
        <v>102</v>
      </c>
      <c r="G55" t="s">
        <v>103</v>
      </c>
      <c r="H55">
        <v>627905</v>
      </c>
      <c r="I55" t="s">
        <v>13</v>
      </c>
    </row>
    <row r="56" spans="1:9" x14ac:dyDescent="0.35">
      <c r="A56">
        <v>5625139</v>
      </c>
      <c r="B56" t="s">
        <v>9</v>
      </c>
      <c r="C56" t="s">
        <v>10</v>
      </c>
      <c r="D56" s="2">
        <v>45291</v>
      </c>
      <c r="E56" s="2">
        <v>45291</v>
      </c>
      <c r="F56" t="s">
        <v>104</v>
      </c>
      <c r="G56" t="s">
        <v>105</v>
      </c>
      <c r="H56">
        <v>627905</v>
      </c>
      <c r="I56" t="s">
        <v>13</v>
      </c>
    </row>
    <row r="57" spans="1:9" x14ac:dyDescent="0.35">
      <c r="A57">
        <v>5625140</v>
      </c>
      <c r="B57" t="s">
        <v>9</v>
      </c>
      <c r="C57" t="s">
        <v>10</v>
      </c>
      <c r="D57" s="2">
        <v>45291</v>
      </c>
      <c r="E57" s="2">
        <v>45291</v>
      </c>
      <c r="F57" t="s">
        <v>106</v>
      </c>
      <c r="G57" t="s">
        <v>107</v>
      </c>
      <c r="H57">
        <v>627905</v>
      </c>
      <c r="I57" t="s">
        <v>13</v>
      </c>
    </row>
    <row r="58" spans="1:9" x14ac:dyDescent="0.35">
      <c r="A58">
        <v>5625141</v>
      </c>
      <c r="B58" t="s">
        <v>9</v>
      </c>
      <c r="C58" t="s">
        <v>10</v>
      </c>
      <c r="D58" s="2">
        <v>45291</v>
      </c>
      <c r="E58" s="2">
        <v>45291</v>
      </c>
      <c r="F58" t="s">
        <v>108</v>
      </c>
      <c r="G58" t="s">
        <v>109</v>
      </c>
      <c r="H58">
        <v>0</v>
      </c>
      <c r="I58" t="s">
        <v>13</v>
      </c>
    </row>
    <row r="59" spans="1:9" x14ac:dyDescent="0.35">
      <c r="A59">
        <v>5625142</v>
      </c>
      <c r="B59" t="s">
        <v>9</v>
      </c>
      <c r="C59" t="s">
        <v>10</v>
      </c>
      <c r="D59" s="2">
        <v>45291</v>
      </c>
      <c r="E59" s="2">
        <v>45291</v>
      </c>
      <c r="F59" t="s">
        <v>110</v>
      </c>
      <c r="G59" t="s">
        <v>111</v>
      </c>
      <c r="H59">
        <v>0</v>
      </c>
      <c r="I59" t="s">
        <v>13</v>
      </c>
    </row>
    <row r="60" spans="1:9" x14ac:dyDescent="0.35">
      <c r="A60">
        <v>5625143</v>
      </c>
      <c r="B60" t="s">
        <v>9</v>
      </c>
      <c r="C60" t="s">
        <v>10</v>
      </c>
      <c r="D60" s="2">
        <v>45291</v>
      </c>
      <c r="E60" s="2">
        <v>45291</v>
      </c>
      <c r="F60" t="s">
        <v>112</v>
      </c>
      <c r="G60" t="s">
        <v>113</v>
      </c>
      <c r="H60">
        <v>0</v>
      </c>
      <c r="I60" t="s">
        <v>13</v>
      </c>
    </row>
    <row r="61" spans="1:9" x14ac:dyDescent="0.35">
      <c r="A61">
        <v>5625144</v>
      </c>
      <c r="B61" t="s">
        <v>9</v>
      </c>
      <c r="C61" t="s">
        <v>10</v>
      </c>
      <c r="D61" s="2">
        <v>45291</v>
      </c>
      <c r="E61" s="2">
        <v>45291</v>
      </c>
      <c r="F61" t="s">
        <v>114</v>
      </c>
      <c r="G61" t="s">
        <v>115</v>
      </c>
      <c r="H61">
        <v>0</v>
      </c>
      <c r="I61" t="s">
        <v>13</v>
      </c>
    </row>
    <row r="62" spans="1:9" x14ac:dyDescent="0.35">
      <c r="A62">
        <v>5625145</v>
      </c>
      <c r="B62" t="s">
        <v>9</v>
      </c>
      <c r="C62" t="s">
        <v>10</v>
      </c>
      <c r="D62" s="2">
        <v>45291</v>
      </c>
      <c r="E62" s="2">
        <v>45291</v>
      </c>
      <c r="F62" t="s">
        <v>116</v>
      </c>
      <c r="G62" t="s">
        <v>117</v>
      </c>
      <c r="H62">
        <v>1585384</v>
      </c>
      <c r="I62" t="s">
        <v>13</v>
      </c>
    </row>
    <row r="63" spans="1:9" x14ac:dyDescent="0.35">
      <c r="A63">
        <v>5625146</v>
      </c>
      <c r="B63" t="s">
        <v>9</v>
      </c>
      <c r="C63" t="s">
        <v>10</v>
      </c>
      <c r="D63" s="2">
        <v>45291</v>
      </c>
      <c r="E63" s="2">
        <v>45291</v>
      </c>
      <c r="F63" t="s">
        <v>118</v>
      </c>
      <c r="G63" t="s">
        <v>119</v>
      </c>
      <c r="H63">
        <v>1014796</v>
      </c>
      <c r="I63" t="s">
        <v>13</v>
      </c>
    </row>
    <row r="64" spans="1:9" x14ac:dyDescent="0.35">
      <c r="A64">
        <v>5625147</v>
      </c>
      <c r="B64" t="s">
        <v>9</v>
      </c>
      <c r="C64" t="s">
        <v>10</v>
      </c>
      <c r="D64" s="2">
        <v>45291</v>
      </c>
      <c r="E64" s="2">
        <v>45291</v>
      </c>
      <c r="F64" t="s">
        <v>120</v>
      </c>
      <c r="G64" t="s">
        <v>121</v>
      </c>
      <c r="H64">
        <v>173190</v>
      </c>
      <c r="I64" t="s">
        <v>13</v>
      </c>
    </row>
    <row r="65" spans="1:9" x14ac:dyDescent="0.35">
      <c r="A65">
        <v>5625148</v>
      </c>
      <c r="B65" t="s">
        <v>9</v>
      </c>
      <c r="C65" t="s">
        <v>10</v>
      </c>
      <c r="D65" s="2">
        <v>45291</v>
      </c>
      <c r="E65" s="2">
        <v>45291</v>
      </c>
      <c r="F65" t="s">
        <v>122</v>
      </c>
      <c r="G65" t="s">
        <v>123</v>
      </c>
      <c r="H65">
        <v>340266</v>
      </c>
      <c r="I65" t="s">
        <v>13</v>
      </c>
    </row>
    <row r="66" spans="1:9" x14ac:dyDescent="0.35">
      <c r="A66">
        <v>5625149</v>
      </c>
      <c r="B66" t="s">
        <v>9</v>
      </c>
      <c r="C66" t="s">
        <v>10</v>
      </c>
      <c r="D66" s="2">
        <v>45291</v>
      </c>
      <c r="E66" s="2">
        <v>45291</v>
      </c>
      <c r="F66" t="s">
        <v>124</v>
      </c>
      <c r="G66" t="s">
        <v>125</v>
      </c>
      <c r="H66">
        <v>-167076</v>
      </c>
      <c r="I66" t="s">
        <v>13</v>
      </c>
    </row>
    <row r="67" spans="1:9" x14ac:dyDescent="0.35">
      <c r="A67">
        <v>5625150</v>
      </c>
      <c r="B67" t="s">
        <v>9</v>
      </c>
      <c r="C67" t="s">
        <v>10</v>
      </c>
      <c r="D67" s="2">
        <v>45291</v>
      </c>
      <c r="E67" s="2">
        <v>45291</v>
      </c>
      <c r="F67" t="s">
        <v>126</v>
      </c>
      <c r="G67" t="s">
        <v>127</v>
      </c>
      <c r="H67">
        <v>397398</v>
      </c>
      <c r="I67" t="s">
        <v>13</v>
      </c>
    </row>
    <row r="68" spans="1:9" x14ac:dyDescent="0.35">
      <c r="A68">
        <v>5625151</v>
      </c>
      <c r="B68" t="s">
        <v>9</v>
      </c>
      <c r="C68" t="s">
        <v>10</v>
      </c>
      <c r="D68" s="2">
        <v>45291</v>
      </c>
      <c r="E68" s="2">
        <v>45291</v>
      </c>
      <c r="F68" t="s">
        <v>128</v>
      </c>
      <c r="G68" t="s">
        <v>129</v>
      </c>
      <c r="H68">
        <v>497705</v>
      </c>
      <c r="I68" t="s">
        <v>13</v>
      </c>
    </row>
    <row r="69" spans="1:9" x14ac:dyDescent="0.35">
      <c r="A69">
        <v>5625152</v>
      </c>
      <c r="B69" t="s">
        <v>9</v>
      </c>
      <c r="C69" t="s">
        <v>10</v>
      </c>
      <c r="D69" s="2">
        <v>45291</v>
      </c>
      <c r="E69" s="2">
        <v>45291</v>
      </c>
      <c r="F69" t="s">
        <v>130</v>
      </c>
      <c r="G69" t="s">
        <v>131</v>
      </c>
      <c r="H69">
        <v>497705</v>
      </c>
      <c r="I69" t="s">
        <v>13</v>
      </c>
    </row>
    <row r="70" spans="1:9" x14ac:dyDescent="0.35">
      <c r="A70">
        <v>5625153</v>
      </c>
      <c r="B70" t="s">
        <v>9</v>
      </c>
      <c r="C70" t="s">
        <v>10</v>
      </c>
      <c r="D70" s="2">
        <v>45291</v>
      </c>
      <c r="E70" s="2">
        <v>45291</v>
      </c>
      <c r="F70" t="s">
        <v>132</v>
      </c>
      <c r="G70" t="s">
        <v>133</v>
      </c>
      <c r="H70">
        <v>0</v>
      </c>
      <c r="I70" t="s">
        <v>13</v>
      </c>
    </row>
    <row r="71" spans="1:9" x14ac:dyDescent="0.35">
      <c r="A71">
        <v>5625154</v>
      </c>
      <c r="B71" t="s">
        <v>9</v>
      </c>
      <c r="C71" t="s">
        <v>10</v>
      </c>
      <c r="D71" s="2">
        <v>45291</v>
      </c>
      <c r="E71" s="2">
        <v>45291</v>
      </c>
      <c r="F71" t="s">
        <v>134</v>
      </c>
      <c r="G71" t="s">
        <v>131</v>
      </c>
      <c r="H71">
        <v>497705</v>
      </c>
      <c r="I71" t="s">
        <v>13</v>
      </c>
    </row>
    <row r="72" spans="1:9" x14ac:dyDescent="0.35">
      <c r="A72">
        <v>5625155</v>
      </c>
      <c r="B72" t="s">
        <v>9</v>
      </c>
      <c r="C72" t="s">
        <v>10</v>
      </c>
      <c r="D72" s="2">
        <v>45291</v>
      </c>
      <c r="E72" s="2">
        <v>45291</v>
      </c>
      <c r="F72" t="s">
        <v>135</v>
      </c>
      <c r="G72" t="s">
        <v>136</v>
      </c>
      <c r="H72">
        <v>0</v>
      </c>
      <c r="I72" t="s">
        <v>13</v>
      </c>
    </row>
    <row r="73" spans="1:9" x14ac:dyDescent="0.35">
      <c r="A73">
        <v>5625156</v>
      </c>
      <c r="B73" t="s">
        <v>9</v>
      </c>
      <c r="C73" t="s">
        <v>10</v>
      </c>
      <c r="D73" s="2">
        <v>45291</v>
      </c>
      <c r="E73" s="2">
        <v>45291</v>
      </c>
      <c r="F73" t="s">
        <v>137</v>
      </c>
      <c r="G73" t="s">
        <v>138</v>
      </c>
      <c r="H73">
        <v>6327389</v>
      </c>
      <c r="I73" t="s">
        <v>13</v>
      </c>
    </row>
    <row r="74" spans="1:9" x14ac:dyDescent="0.35">
      <c r="A74" s="5">
        <v>5625157</v>
      </c>
      <c r="B74" s="5" t="s">
        <v>9</v>
      </c>
      <c r="C74" s="5" t="s">
        <v>10</v>
      </c>
      <c r="D74" s="6">
        <v>45291</v>
      </c>
      <c r="E74" s="6">
        <v>45291</v>
      </c>
      <c r="F74" s="5" t="s">
        <v>139</v>
      </c>
      <c r="G74" s="5" t="s">
        <v>140</v>
      </c>
      <c r="H74">
        <v>985107</v>
      </c>
      <c r="I74" t="s">
        <v>13</v>
      </c>
    </row>
    <row r="75" spans="1:9" x14ac:dyDescent="0.35">
      <c r="A75" s="5">
        <v>5625158</v>
      </c>
      <c r="B75" s="5" t="s">
        <v>9</v>
      </c>
      <c r="C75" s="5" t="s">
        <v>10</v>
      </c>
      <c r="D75" s="6">
        <v>45291</v>
      </c>
      <c r="E75" s="6">
        <v>45291</v>
      </c>
      <c r="F75" s="5" t="s">
        <v>141</v>
      </c>
      <c r="G75" s="5" t="s">
        <v>142</v>
      </c>
      <c r="H75">
        <v>73901</v>
      </c>
      <c r="I75" t="s">
        <v>13</v>
      </c>
    </row>
    <row r="76" spans="1:9" x14ac:dyDescent="0.35">
      <c r="A76" s="5">
        <v>5625159</v>
      </c>
      <c r="B76" s="5" t="s">
        <v>9</v>
      </c>
      <c r="C76" s="5" t="s">
        <v>10</v>
      </c>
      <c r="D76" s="6">
        <v>45291</v>
      </c>
      <c r="E76" s="6">
        <v>45291</v>
      </c>
      <c r="F76" s="5" t="s">
        <v>143</v>
      </c>
      <c r="G76" s="5" t="s">
        <v>144</v>
      </c>
      <c r="H76">
        <v>13011</v>
      </c>
      <c r="I76" t="s">
        <v>13</v>
      </c>
    </row>
    <row r="77" spans="1:9" x14ac:dyDescent="0.35">
      <c r="A77" s="5">
        <v>5625160</v>
      </c>
      <c r="B77" s="5" t="s">
        <v>9</v>
      </c>
      <c r="C77" s="5" t="s">
        <v>10</v>
      </c>
      <c r="D77" s="6">
        <v>45291</v>
      </c>
      <c r="E77" s="6">
        <v>45291</v>
      </c>
      <c r="F77" s="5" t="s">
        <v>145</v>
      </c>
      <c r="G77" s="5" t="s">
        <v>146</v>
      </c>
      <c r="H77">
        <v>60890</v>
      </c>
      <c r="I77" t="s">
        <v>13</v>
      </c>
    </row>
    <row r="78" spans="1:9" x14ac:dyDescent="0.35">
      <c r="A78" s="5">
        <v>5625161</v>
      </c>
      <c r="B78" s="5" t="s">
        <v>9</v>
      </c>
      <c r="C78" s="5" t="s">
        <v>10</v>
      </c>
      <c r="D78" s="6">
        <v>45291</v>
      </c>
      <c r="E78" s="6">
        <v>45291</v>
      </c>
      <c r="F78" s="5" t="s">
        <v>147</v>
      </c>
      <c r="G78" s="5" t="s">
        <v>148</v>
      </c>
      <c r="H78">
        <v>395067</v>
      </c>
      <c r="I78" t="s">
        <v>13</v>
      </c>
    </row>
    <row r="79" spans="1:9" x14ac:dyDescent="0.35">
      <c r="A79" s="5">
        <v>5625162</v>
      </c>
      <c r="B79" s="5" t="s">
        <v>9</v>
      </c>
      <c r="C79" s="5" t="s">
        <v>10</v>
      </c>
      <c r="D79" s="6">
        <v>45291</v>
      </c>
      <c r="E79" s="6">
        <v>45291</v>
      </c>
      <c r="F79" s="5" t="s">
        <v>149</v>
      </c>
      <c r="G79" s="5" t="s">
        <v>150</v>
      </c>
      <c r="H79">
        <v>327885</v>
      </c>
      <c r="I79" t="s">
        <v>13</v>
      </c>
    </row>
    <row r="80" spans="1:9" x14ac:dyDescent="0.35">
      <c r="A80" s="5">
        <v>5625163</v>
      </c>
      <c r="B80" s="5" t="s">
        <v>9</v>
      </c>
      <c r="C80" s="5" t="s">
        <v>10</v>
      </c>
      <c r="D80" s="6">
        <v>45291</v>
      </c>
      <c r="E80" s="6">
        <v>45291</v>
      </c>
      <c r="F80" s="5" t="s">
        <v>151</v>
      </c>
      <c r="G80" s="5" t="s">
        <v>152</v>
      </c>
      <c r="H80">
        <v>67182</v>
      </c>
      <c r="I80" t="s">
        <v>13</v>
      </c>
    </row>
    <row r="81" spans="1:9" x14ac:dyDescent="0.35">
      <c r="A81" s="5">
        <v>5625164</v>
      </c>
      <c r="B81" s="5" t="s">
        <v>9</v>
      </c>
      <c r="C81" s="5" t="s">
        <v>10</v>
      </c>
      <c r="D81" s="6">
        <v>45291</v>
      </c>
      <c r="E81" s="6">
        <v>45291</v>
      </c>
      <c r="F81" s="5" t="s">
        <v>153</v>
      </c>
      <c r="G81" s="5" t="s">
        <v>154</v>
      </c>
      <c r="H81">
        <v>35642</v>
      </c>
      <c r="I81" t="s">
        <v>13</v>
      </c>
    </row>
    <row r="82" spans="1:9" x14ac:dyDescent="0.35">
      <c r="A82" s="5">
        <v>5625165</v>
      </c>
      <c r="B82" s="5" t="s">
        <v>9</v>
      </c>
      <c r="C82" s="5" t="s">
        <v>10</v>
      </c>
      <c r="D82" s="6">
        <v>45291</v>
      </c>
      <c r="E82" s="6">
        <v>45291</v>
      </c>
      <c r="F82" s="5" t="s">
        <v>155</v>
      </c>
      <c r="G82" s="5" t="s">
        <v>156</v>
      </c>
      <c r="H82">
        <v>34871</v>
      </c>
      <c r="I82" t="s">
        <v>13</v>
      </c>
    </row>
    <row r="83" spans="1:9" x14ac:dyDescent="0.35">
      <c r="A83" s="5">
        <v>5625166</v>
      </c>
      <c r="B83" s="5" t="s">
        <v>9</v>
      </c>
      <c r="C83" s="5" t="s">
        <v>10</v>
      </c>
      <c r="D83" s="6">
        <v>45291</v>
      </c>
      <c r="E83" s="6">
        <v>45291</v>
      </c>
      <c r="F83" s="5" t="s">
        <v>157</v>
      </c>
      <c r="G83" s="5" t="s">
        <v>158</v>
      </c>
      <c r="H83">
        <v>69</v>
      </c>
      <c r="I83" t="s">
        <v>13</v>
      </c>
    </row>
    <row r="84" spans="1:9" x14ac:dyDescent="0.35">
      <c r="A84" s="5">
        <v>5625167</v>
      </c>
      <c r="B84" s="5" t="s">
        <v>9</v>
      </c>
      <c r="C84" s="5" t="s">
        <v>10</v>
      </c>
      <c r="D84" s="6">
        <v>45291</v>
      </c>
      <c r="E84" s="6">
        <v>45291</v>
      </c>
      <c r="F84" s="5" t="s">
        <v>159</v>
      </c>
      <c r="G84" s="5" t="s">
        <v>160</v>
      </c>
      <c r="H84">
        <v>34802</v>
      </c>
      <c r="I84" t="s">
        <v>13</v>
      </c>
    </row>
    <row r="85" spans="1:9" x14ac:dyDescent="0.35">
      <c r="A85" s="5">
        <v>5625168</v>
      </c>
      <c r="B85" s="5" t="s">
        <v>9</v>
      </c>
      <c r="C85" s="5" t="s">
        <v>10</v>
      </c>
      <c r="D85" s="6">
        <v>45291</v>
      </c>
      <c r="E85" s="6">
        <v>45291</v>
      </c>
      <c r="F85" s="5" t="s">
        <v>161</v>
      </c>
      <c r="G85" s="5" t="s">
        <v>162</v>
      </c>
      <c r="H85">
        <v>771</v>
      </c>
      <c r="I85" t="s">
        <v>13</v>
      </c>
    </row>
    <row r="86" spans="1:9" x14ac:dyDescent="0.35">
      <c r="A86" s="5">
        <v>5625169</v>
      </c>
      <c r="B86" s="5" t="s">
        <v>9</v>
      </c>
      <c r="C86" s="5" t="s">
        <v>10</v>
      </c>
      <c r="D86" s="6">
        <v>45291</v>
      </c>
      <c r="E86" s="6">
        <v>45291</v>
      </c>
      <c r="F86" s="5" t="s">
        <v>163</v>
      </c>
      <c r="G86" s="5" t="s">
        <v>164</v>
      </c>
      <c r="H86">
        <v>0</v>
      </c>
      <c r="I86" t="s">
        <v>13</v>
      </c>
    </row>
    <row r="87" spans="1:9" x14ac:dyDescent="0.35">
      <c r="A87" s="5">
        <v>5625170</v>
      </c>
      <c r="B87" s="5" t="s">
        <v>9</v>
      </c>
      <c r="C87" s="5" t="s">
        <v>10</v>
      </c>
      <c r="D87" s="6">
        <v>45291</v>
      </c>
      <c r="E87" s="6">
        <v>45291</v>
      </c>
      <c r="F87" s="5" t="s">
        <v>165</v>
      </c>
      <c r="G87" s="5" t="s">
        <v>166</v>
      </c>
      <c r="H87">
        <v>127437</v>
      </c>
      <c r="I87" t="s">
        <v>13</v>
      </c>
    </row>
    <row r="88" spans="1:9" x14ac:dyDescent="0.35">
      <c r="A88" s="5">
        <v>5625171</v>
      </c>
      <c r="B88" s="5" t="s">
        <v>9</v>
      </c>
      <c r="C88" s="5" t="s">
        <v>10</v>
      </c>
      <c r="D88" s="6">
        <v>45291</v>
      </c>
      <c r="E88" s="6">
        <v>45291</v>
      </c>
      <c r="F88" s="5" t="s">
        <v>167</v>
      </c>
      <c r="G88" s="5" t="s">
        <v>166</v>
      </c>
      <c r="H88">
        <v>127437</v>
      </c>
      <c r="I88" t="s">
        <v>13</v>
      </c>
    </row>
    <row r="89" spans="1:9" x14ac:dyDescent="0.35">
      <c r="A89" s="5">
        <v>5625172</v>
      </c>
      <c r="B89" s="5" t="s">
        <v>9</v>
      </c>
      <c r="C89" s="5" t="s">
        <v>10</v>
      </c>
      <c r="D89" s="6">
        <v>45291</v>
      </c>
      <c r="E89" s="6">
        <v>45291</v>
      </c>
      <c r="F89" s="5" t="s">
        <v>168</v>
      </c>
      <c r="G89" s="5" t="s">
        <v>169</v>
      </c>
      <c r="H89">
        <v>15082</v>
      </c>
      <c r="I89" t="s">
        <v>13</v>
      </c>
    </row>
    <row r="90" spans="1:9" x14ac:dyDescent="0.35">
      <c r="A90" s="5">
        <v>5625173</v>
      </c>
      <c r="B90" s="5" t="s">
        <v>9</v>
      </c>
      <c r="C90" s="5" t="s">
        <v>10</v>
      </c>
      <c r="D90" s="6">
        <v>45291</v>
      </c>
      <c r="E90" s="6">
        <v>45291</v>
      </c>
      <c r="F90" s="5" t="s">
        <v>170</v>
      </c>
      <c r="G90" s="5" t="s">
        <v>171</v>
      </c>
      <c r="H90">
        <v>112355</v>
      </c>
      <c r="I90" t="s">
        <v>13</v>
      </c>
    </row>
    <row r="91" spans="1:9" x14ac:dyDescent="0.35">
      <c r="A91" s="5">
        <v>5625174</v>
      </c>
      <c r="B91" s="5" t="s">
        <v>9</v>
      </c>
      <c r="C91" s="5" t="s">
        <v>10</v>
      </c>
      <c r="D91" s="6">
        <v>45291</v>
      </c>
      <c r="E91" s="6">
        <v>45291</v>
      </c>
      <c r="F91" s="5" t="s">
        <v>172</v>
      </c>
      <c r="G91" s="5" t="s">
        <v>173</v>
      </c>
      <c r="H91">
        <v>0</v>
      </c>
      <c r="I91" t="s">
        <v>13</v>
      </c>
    </row>
    <row r="92" spans="1:9" x14ac:dyDescent="0.35">
      <c r="A92" s="5">
        <v>5625175</v>
      </c>
      <c r="B92" s="5" t="s">
        <v>9</v>
      </c>
      <c r="C92" s="5" t="s">
        <v>10</v>
      </c>
      <c r="D92" s="6">
        <v>45291</v>
      </c>
      <c r="E92" s="6">
        <v>45291</v>
      </c>
      <c r="F92" s="5" t="s">
        <v>174</v>
      </c>
      <c r="G92" s="5" t="s">
        <v>175</v>
      </c>
      <c r="H92">
        <v>0</v>
      </c>
      <c r="I92" t="s">
        <v>13</v>
      </c>
    </row>
    <row r="93" spans="1:9" x14ac:dyDescent="0.35">
      <c r="A93" s="5">
        <v>5625176</v>
      </c>
      <c r="B93" s="5" t="s">
        <v>9</v>
      </c>
      <c r="C93" s="5" t="s">
        <v>10</v>
      </c>
      <c r="D93" s="6">
        <v>45291</v>
      </c>
      <c r="E93" s="6">
        <v>45291</v>
      </c>
      <c r="F93" s="5" t="s">
        <v>176</v>
      </c>
      <c r="G93" s="5" t="s">
        <v>177</v>
      </c>
      <c r="H93">
        <v>347322</v>
      </c>
      <c r="I93" t="s">
        <v>13</v>
      </c>
    </row>
    <row r="94" spans="1:9" x14ac:dyDescent="0.35">
      <c r="A94" s="5">
        <v>5625177</v>
      </c>
      <c r="B94" s="5" t="s">
        <v>9</v>
      </c>
      <c r="C94" s="5" t="s">
        <v>10</v>
      </c>
      <c r="D94" s="6">
        <v>45291</v>
      </c>
      <c r="E94" s="6">
        <v>45291</v>
      </c>
      <c r="F94" s="5" t="s">
        <v>178</v>
      </c>
      <c r="G94" s="5" t="s">
        <v>179</v>
      </c>
      <c r="H94">
        <v>0</v>
      </c>
      <c r="I94" t="s">
        <v>13</v>
      </c>
    </row>
    <row r="95" spans="1:9" x14ac:dyDescent="0.35">
      <c r="A95" s="5">
        <v>5625178</v>
      </c>
      <c r="B95" s="5" t="s">
        <v>9</v>
      </c>
      <c r="C95" s="5" t="s">
        <v>10</v>
      </c>
      <c r="D95" s="6">
        <v>45291</v>
      </c>
      <c r="E95" s="6">
        <v>45291</v>
      </c>
      <c r="F95" s="5" t="s">
        <v>180</v>
      </c>
      <c r="G95" s="5" t="s">
        <v>181</v>
      </c>
      <c r="H95">
        <v>0</v>
      </c>
      <c r="I95" t="s">
        <v>13</v>
      </c>
    </row>
    <row r="96" spans="1:9" x14ac:dyDescent="0.35">
      <c r="A96" s="5">
        <v>5625179</v>
      </c>
      <c r="B96" s="5" t="s">
        <v>9</v>
      </c>
      <c r="C96" s="5" t="s">
        <v>10</v>
      </c>
      <c r="D96" s="6">
        <v>45291</v>
      </c>
      <c r="E96" s="6">
        <v>45291</v>
      </c>
      <c r="F96" s="5" t="s">
        <v>182</v>
      </c>
      <c r="G96" s="5" t="s">
        <v>183</v>
      </c>
      <c r="H96">
        <v>0</v>
      </c>
      <c r="I96" t="s">
        <v>13</v>
      </c>
    </row>
    <row r="97" spans="1:9" x14ac:dyDescent="0.35">
      <c r="A97" s="5">
        <v>5625180</v>
      </c>
      <c r="B97" s="5" t="s">
        <v>9</v>
      </c>
      <c r="C97" s="5" t="s">
        <v>10</v>
      </c>
      <c r="D97" s="6">
        <v>45291</v>
      </c>
      <c r="E97" s="6">
        <v>45291</v>
      </c>
      <c r="F97" s="5" t="s">
        <v>184</v>
      </c>
      <c r="G97" s="5" t="s">
        <v>185</v>
      </c>
      <c r="H97">
        <v>0</v>
      </c>
      <c r="I97" t="s">
        <v>13</v>
      </c>
    </row>
    <row r="98" spans="1:9" x14ac:dyDescent="0.35">
      <c r="A98" s="5">
        <v>5625181</v>
      </c>
      <c r="B98" s="5" t="s">
        <v>9</v>
      </c>
      <c r="C98" s="5" t="s">
        <v>10</v>
      </c>
      <c r="D98" s="6">
        <v>45291</v>
      </c>
      <c r="E98" s="6">
        <v>45291</v>
      </c>
      <c r="F98" s="5" t="s">
        <v>186</v>
      </c>
      <c r="G98" s="5" t="s">
        <v>56</v>
      </c>
      <c r="H98">
        <v>347322</v>
      </c>
      <c r="I98" t="s">
        <v>13</v>
      </c>
    </row>
    <row r="99" spans="1:9" x14ac:dyDescent="0.35">
      <c r="A99">
        <v>5625182</v>
      </c>
      <c r="B99" t="s">
        <v>9</v>
      </c>
      <c r="C99" t="s">
        <v>10</v>
      </c>
      <c r="D99" s="2">
        <v>45291</v>
      </c>
      <c r="E99" s="2">
        <v>45291</v>
      </c>
      <c r="F99" t="s">
        <v>187</v>
      </c>
      <c r="G99" t="s">
        <v>188</v>
      </c>
      <c r="H99">
        <v>2185</v>
      </c>
      <c r="I99" t="s">
        <v>13</v>
      </c>
    </row>
    <row r="100" spans="1:9" x14ac:dyDescent="0.35">
      <c r="A100">
        <v>5625183</v>
      </c>
      <c r="B100" t="s">
        <v>9</v>
      </c>
      <c r="C100" t="s">
        <v>10</v>
      </c>
      <c r="D100" s="2">
        <v>45291</v>
      </c>
      <c r="E100" s="2">
        <v>45291</v>
      </c>
      <c r="F100" t="s">
        <v>189</v>
      </c>
      <c r="G100" t="s">
        <v>190</v>
      </c>
      <c r="H100">
        <v>0</v>
      </c>
      <c r="I100" t="s">
        <v>13</v>
      </c>
    </row>
    <row r="101" spans="1:9" x14ac:dyDescent="0.35">
      <c r="A101">
        <v>5625184</v>
      </c>
      <c r="B101" t="s">
        <v>9</v>
      </c>
      <c r="C101" t="s">
        <v>10</v>
      </c>
      <c r="D101" s="2">
        <v>45291</v>
      </c>
      <c r="E101" s="2">
        <v>45291</v>
      </c>
      <c r="F101" t="s">
        <v>191</v>
      </c>
      <c r="G101" t="s">
        <v>192</v>
      </c>
      <c r="H101">
        <v>0</v>
      </c>
      <c r="I101" t="s">
        <v>13</v>
      </c>
    </row>
    <row r="102" spans="1:9" x14ac:dyDescent="0.35">
      <c r="A102">
        <v>5625185</v>
      </c>
      <c r="B102" t="s">
        <v>9</v>
      </c>
      <c r="C102" t="s">
        <v>10</v>
      </c>
      <c r="D102" s="2">
        <v>45291</v>
      </c>
      <c r="E102" s="2">
        <v>45291</v>
      </c>
      <c r="F102" t="s">
        <v>193</v>
      </c>
      <c r="G102" t="s">
        <v>194</v>
      </c>
      <c r="H102">
        <v>0</v>
      </c>
      <c r="I102" t="s">
        <v>13</v>
      </c>
    </row>
    <row r="103" spans="1:9" x14ac:dyDescent="0.35">
      <c r="A103">
        <v>5625186</v>
      </c>
      <c r="B103" t="s">
        <v>9</v>
      </c>
      <c r="C103" t="s">
        <v>10</v>
      </c>
      <c r="D103" s="2">
        <v>45291</v>
      </c>
      <c r="E103" s="2">
        <v>45291</v>
      </c>
      <c r="F103" t="s">
        <v>195</v>
      </c>
      <c r="G103" t="s">
        <v>196</v>
      </c>
      <c r="H103">
        <v>0</v>
      </c>
      <c r="I103" t="s">
        <v>13</v>
      </c>
    </row>
    <row r="104" spans="1:9" x14ac:dyDescent="0.35">
      <c r="A104">
        <v>5625187</v>
      </c>
      <c r="B104" t="s">
        <v>9</v>
      </c>
      <c r="C104" t="s">
        <v>10</v>
      </c>
      <c r="D104" s="2">
        <v>45291</v>
      </c>
      <c r="E104" s="2">
        <v>45291</v>
      </c>
      <c r="F104" t="s">
        <v>197</v>
      </c>
      <c r="G104" t="s">
        <v>198</v>
      </c>
      <c r="H104">
        <v>147357</v>
      </c>
      <c r="I104" t="s">
        <v>13</v>
      </c>
    </row>
    <row r="105" spans="1:9" x14ac:dyDescent="0.35">
      <c r="A105">
        <v>5625188</v>
      </c>
      <c r="B105" t="s">
        <v>9</v>
      </c>
      <c r="C105" t="s">
        <v>10</v>
      </c>
      <c r="D105" s="2">
        <v>45291</v>
      </c>
      <c r="E105" s="2">
        <v>45291</v>
      </c>
      <c r="F105" t="s">
        <v>199</v>
      </c>
      <c r="G105" t="s">
        <v>200</v>
      </c>
      <c r="H105">
        <v>34859</v>
      </c>
      <c r="I105" t="s">
        <v>13</v>
      </c>
    </row>
    <row r="106" spans="1:9" x14ac:dyDescent="0.35">
      <c r="A106">
        <v>5625189</v>
      </c>
      <c r="B106" t="s">
        <v>9</v>
      </c>
      <c r="C106" t="s">
        <v>10</v>
      </c>
      <c r="D106" s="2">
        <v>45291</v>
      </c>
      <c r="E106" s="2">
        <v>45291</v>
      </c>
      <c r="F106" t="s">
        <v>201</v>
      </c>
      <c r="G106" t="s">
        <v>202</v>
      </c>
      <c r="H106">
        <v>159889</v>
      </c>
      <c r="I106" t="s">
        <v>13</v>
      </c>
    </row>
    <row r="107" spans="1:9" x14ac:dyDescent="0.35">
      <c r="A107">
        <v>5625190</v>
      </c>
      <c r="B107" t="s">
        <v>9</v>
      </c>
      <c r="C107" t="s">
        <v>10</v>
      </c>
      <c r="D107" s="2">
        <v>45291</v>
      </c>
      <c r="E107" s="2">
        <v>45291</v>
      </c>
      <c r="F107" t="s">
        <v>203</v>
      </c>
      <c r="G107" t="s">
        <v>204</v>
      </c>
      <c r="H107">
        <v>3032</v>
      </c>
      <c r="I107" t="s">
        <v>13</v>
      </c>
    </row>
    <row r="108" spans="1:9" x14ac:dyDescent="0.35">
      <c r="A108">
        <v>5625191</v>
      </c>
      <c r="B108" t="s">
        <v>9</v>
      </c>
      <c r="C108" t="s">
        <v>10</v>
      </c>
      <c r="D108" s="2">
        <v>45291</v>
      </c>
      <c r="E108" s="2">
        <v>45291</v>
      </c>
      <c r="F108" t="s">
        <v>205</v>
      </c>
      <c r="G108" t="s">
        <v>206</v>
      </c>
      <c r="H108">
        <v>0</v>
      </c>
      <c r="I108" t="s">
        <v>13</v>
      </c>
    </row>
    <row r="109" spans="1:9" x14ac:dyDescent="0.35">
      <c r="A109">
        <v>5625192</v>
      </c>
      <c r="B109" t="s">
        <v>9</v>
      </c>
      <c r="C109" t="s">
        <v>10</v>
      </c>
      <c r="D109" s="2">
        <v>45291</v>
      </c>
      <c r="E109" s="2">
        <v>45291</v>
      </c>
      <c r="F109" t="s">
        <v>207</v>
      </c>
      <c r="G109" t="s">
        <v>208</v>
      </c>
      <c r="H109">
        <v>5738</v>
      </c>
      <c r="I109" t="s">
        <v>13</v>
      </c>
    </row>
    <row r="110" spans="1:9" x14ac:dyDescent="0.35">
      <c r="A110">
        <v>5625193</v>
      </c>
      <c r="B110" t="s">
        <v>9</v>
      </c>
      <c r="C110" t="s">
        <v>10</v>
      </c>
      <c r="D110" s="2">
        <v>45291</v>
      </c>
      <c r="E110" s="2">
        <v>45291</v>
      </c>
      <c r="F110" t="s">
        <v>209</v>
      </c>
      <c r="G110" t="s">
        <v>210</v>
      </c>
      <c r="H110">
        <v>5738</v>
      </c>
      <c r="I110" t="s">
        <v>13</v>
      </c>
    </row>
    <row r="111" spans="1:9" x14ac:dyDescent="0.35">
      <c r="A111">
        <v>5625194</v>
      </c>
      <c r="B111" t="s">
        <v>9</v>
      </c>
      <c r="C111" t="s">
        <v>10</v>
      </c>
      <c r="D111" s="2">
        <v>45291</v>
      </c>
      <c r="E111" s="2">
        <v>45291</v>
      </c>
      <c r="F111" t="s">
        <v>211</v>
      </c>
      <c r="G111" t="s">
        <v>212</v>
      </c>
      <c r="H111">
        <v>0</v>
      </c>
      <c r="I111" t="s">
        <v>13</v>
      </c>
    </row>
    <row r="112" spans="1:9" x14ac:dyDescent="0.35">
      <c r="A112">
        <v>5625195</v>
      </c>
      <c r="B112" t="s">
        <v>9</v>
      </c>
      <c r="C112" t="s">
        <v>10</v>
      </c>
      <c r="D112" s="2">
        <v>45291</v>
      </c>
      <c r="E112" s="2">
        <v>45291</v>
      </c>
      <c r="F112" t="s">
        <v>213</v>
      </c>
      <c r="G112" t="s">
        <v>214</v>
      </c>
      <c r="H112">
        <v>5738</v>
      </c>
      <c r="I112" t="s">
        <v>13</v>
      </c>
    </row>
    <row r="113" spans="1:9" x14ac:dyDescent="0.35">
      <c r="A113">
        <v>5625196</v>
      </c>
      <c r="B113" t="s">
        <v>9</v>
      </c>
      <c r="C113" t="s">
        <v>10</v>
      </c>
      <c r="D113" s="2">
        <v>45291</v>
      </c>
      <c r="E113" s="2">
        <v>45291</v>
      </c>
      <c r="F113" t="s">
        <v>215</v>
      </c>
      <c r="G113" t="s">
        <v>216</v>
      </c>
      <c r="H113">
        <v>0</v>
      </c>
      <c r="I113" t="s">
        <v>13</v>
      </c>
    </row>
    <row r="114" spans="1:9" x14ac:dyDescent="0.35">
      <c r="A114">
        <v>5625197</v>
      </c>
      <c r="B114" t="s">
        <v>9</v>
      </c>
      <c r="C114" t="s">
        <v>10</v>
      </c>
      <c r="D114" s="2">
        <v>45291</v>
      </c>
      <c r="E114" s="2">
        <v>45291</v>
      </c>
      <c r="F114" t="s">
        <v>217</v>
      </c>
      <c r="G114" t="s">
        <v>218</v>
      </c>
      <c r="H114">
        <v>0</v>
      </c>
      <c r="I114" t="s">
        <v>13</v>
      </c>
    </row>
    <row r="115" spans="1:9" x14ac:dyDescent="0.35">
      <c r="A115">
        <v>5625198</v>
      </c>
      <c r="B115" t="s">
        <v>9</v>
      </c>
      <c r="C115" t="s">
        <v>10</v>
      </c>
      <c r="D115" s="2">
        <v>45291</v>
      </c>
      <c r="E115" s="2">
        <v>45291</v>
      </c>
      <c r="F115" t="s">
        <v>219</v>
      </c>
      <c r="G115" t="s">
        <v>220</v>
      </c>
      <c r="H115">
        <v>0</v>
      </c>
      <c r="I115" t="s">
        <v>13</v>
      </c>
    </row>
    <row r="116" spans="1:9" x14ac:dyDescent="0.35">
      <c r="A116">
        <v>5625199</v>
      </c>
      <c r="B116" t="s">
        <v>9</v>
      </c>
      <c r="C116" t="s">
        <v>10</v>
      </c>
      <c r="D116" s="2">
        <v>45291</v>
      </c>
      <c r="E116" s="2">
        <v>45291</v>
      </c>
      <c r="F116" t="s">
        <v>221</v>
      </c>
      <c r="G116" t="s">
        <v>222</v>
      </c>
      <c r="H116">
        <v>0</v>
      </c>
      <c r="I116" t="s">
        <v>13</v>
      </c>
    </row>
    <row r="117" spans="1:9" x14ac:dyDescent="0.35">
      <c r="A117">
        <v>5625200</v>
      </c>
      <c r="B117" t="s">
        <v>9</v>
      </c>
      <c r="C117" t="s">
        <v>10</v>
      </c>
      <c r="D117" s="2">
        <v>45291</v>
      </c>
      <c r="E117" s="2">
        <v>45291</v>
      </c>
      <c r="F117" t="s">
        <v>223</v>
      </c>
      <c r="G117" t="s">
        <v>224</v>
      </c>
      <c r="H117">
        <v>0</v>
      </c>
      <c r="I117" t="s">
        <v>13</v>
      </c>
    </row>
    <row r="118" spans="1:9" x14ac:dyDescent="0.35">
      <c r="A118">
        <v>5625201</v>
      </c>
      <c r="B118" t="s">
        <v>9</v>
      </c>
      <c r="C118" t="s">
        <v>10</v>
      </c>
      <c r="D118" s="2">
        <v>45291</v>
      </c>
      <c r="E118" s="2">
        <v>45291</v>
      </c>
      <c r="F118" t="s">
        <v>225</v>
      </c>
      <c r="G118" t="s">
        <v>226</v>
      </c>
      <c r="H118">
        <v>0</v>
      </c>
      <c r="I118" t="s">
        <v>13</v>
      </c>
    </row>
    <row r="119" spans="1:9" x14ac:dyDescent="0.35">
      <c r="A119">
        <v>5625202</v>
      </c>
      <c r="B119" t="s">
        <v>9</v>
      </c>
      <c r="C119" t="s">
        <v>10</v>
      </c>
      <c r="D119" s="2">
        <v>45291</v>
      </c>
      <c r="E119" s="2">
        <v>45291</v>
      </c>
      <c r="F119" t="s">
        <v>227</v>
      </c>
      <c r="G119" t="s">
        <v>228</v>
      </c>
      <c r="H119">
        <v>0</v>
      </c>
      <c r="I119" t="s">
        <v>13</v>
      </c>
    </row>
    <row r="120" spans="1:9" x14ac:dyDescent="0.35">
      <c r="A120">
        <v>5625203</v>
      </c>
      <c r="B120" t="s">
        <v>9</v>
      </c>
      <c r="C120" t="s">
        <v>10</v>
      </c>
      <c r="D120" s="2">
        <v>45291</v>
      </c>
      <c r="E120" s="2">
        <v>45291</v>
      </c>
      <c r="F120" t="s">
        <v>229</v>
      </c>
      <c r="G120" t="s">
        <v>230</v>
      </c>
      <c r="H120">
        <v>0</v>
      </c>
      <c r="I120" t="s">
        <v>13</v>
      </c>
    </row>
    <row r="121" spans="1:9" x14ac:dyDescent="0.35">
      <c r="A121">
        <v>5625204</v>
      </c>
      <c r="B121" t="s">
        <v>9</v>
      </c>
      <c r="C121" t="s">
        <v>10</v>
      </c>
      <c r="D121" s="2">
        <v>45291</v>
      </c>
      <c r="E121" s="2">
        <v>45291</v>
      </c>
      <c r="F121" t="s">
        <v>231</v>
      </c>
      <c r="G121" t="s">
        <v>232</v>
      </c>
      <c r="H121">
        <v>0</v>
      </c>
      <c r="I121" t="s">
        <v>13</v>
      </c>
    </row>
    <row r="122" spans="1:9" x14ac:dyDescent="0.35">
      <c r="A122">
        <v>5625205</v>
      </c>
      <c r="B122" t="s">
        <v>9</v>
      </c>
      <c r="C122" t="s">
        <v>10</v>
      </c>
      <c r="D122" s="2">
        <v>45291</v>
      </c>
      <c r="E122" s="2">
        <v>45291</v>
      </c>
      <c r="F122" t="s">
        <v>233</v>
      </c>
      <c r="G122" t="s">
        <v>234</v>
      </c>
      <c r="H122">
        <v>1614815</v>
      </c>
      <c r="I122" t="s">
        <v>13</v>
      </c>
    </row>
    <row r="123" spans="1:9" x14ac:dyDescent="0.35">
      <c r="A123">
        <v>5625206</v>
      </c>
      <c r="B123" t="s">
        <v>9</v>
      </c>
      <c r="C123" t="s">
        <v>10</v>
      </c>
      <c r="D123" s="2">
        <v>45291</v>
      </c>
      <c r="E123" s="2">
        <v>45291</v>
      </c>
      <c r="F123" t="s">
        <v>235</v>
      </c>
      <c r="G123" t="s">
        <v>166</v>
      </c>
      <c r="H123">
        <v>1358168</v>
      </c>
      <c r="I123" t="s">
        <v>13</v>
      </c>
    </row>
    <row r="124" spans="1:9" x14ac:dyDescent="0.35">
      <c r="A124">
        <v>5625207</v>
      </c>
      <c r="B124" t="s">
        <v>9</v>
      </c>
      <c r="C124" t="s">
        <v>10</v>
      </c>
      <c r="D124" s="2">
        <v>45291</v>
      </c>
      <c r="E124" s="2">
        <v>45291</v>
      </c>
      <c r="F124" t="s">
        <v>236</v>
      </c>
      <c r="G124" t="s">
        <v>166</v>
      </c>
      <c r="H124">
        <v>1358168</v>
      </c>
      <c r="I124" t="s">
        <v>13</v>
      </c>
    </row>
    <row r="125" spans="1:9" x14ac:dyDescent="0.35">
      <c r="A125">
        <v>5625208</v>
      </c>
      <c r="B125" t="s">
        <v>9</v>
      </c>
      <c r="C125" t="s">
        <v>10</v>
      </c>
      <c r="D125" s="2">
        <v>45291</v>
      </c>
      <c r="E125" s="2">
        <v>45291</v>
      </c>
      <c r="F125" t="s">
        <v>237</v>
      </c>
      <c r="G125" t="s">
        <v>169</v>
      </c>
      <c r="H125">
        <v>1009906</v>
      </c>
      <c r="I125" t="s">
        <v>13</v>
      </c>
    </row>
    <row r="126" spans="1:9" x14ac:dyDescent="0.35">
      <c r="A126">
        <v>5625209</v>
      </c>
      <c r="B126" t="s">
        <v>9</v>
      </c>
      <c r="C126" t="s">
        <v>10</v>
      </c>
      <c r="D126" s="2">
        <v>45291</v>
      </c>
      <c r="E126" s="2">
        <v>45291</v>
      </c>
      <c r="F126" t="s">
        <v>238</v>
      </c>
      <c r="G126" t="s">
        <v>171</v>
      </c>
      <c r="H126">
        <v>348262</v>
      </c>
      <c r="I126" t="s">
        <v>13</v>
      </c>
    </row>
    <row r="127" spans="1:9" x14ac:dyDescent="0.35">
      <c r="A127">
        <v>5625210</v>
      </c>
      <c r="B127" t="s">
        <v>9</v>
      </c>
      <c r="C127" t="s">
        <v>10</v>
      </c>
      <c r="D127" s="2">
        <v>45291</v>
      </c>
      <c r="E127" s="2">
        <v>45291</v>
      </c>
      <c r="F127" t="s">
        <v>239</v>
      </c>
      <c r="G127" t="s">
        <v>173</v>
      </c>
      <c r="H127">
        <v>0</v>
      </c>
      <c r="I127" t="s">
        <v>13</v>
      </c>
    </row>
    <row r="128" spans="1:9" x14ac:dyDescent="0.35">
      <c r="A128">
        <v>5625211</v>
      </c>
      <c r="B128" t="s">
        <v>9</v>
      </c>
      <c r="C128" t="s">
        <v>10</v>
      </c>
      <c r="D128" s="2">
        <v>45291</v>
      </c>
      <c r="E128" s="2">
        <v>45291</v>
      </c>
      <c r="F128" t="s">
        <v>240</v>
      </c>
      <c r="G128" t="s">
        <v>175</v>
      </c>
      <c r="H128">
        <v>0</v>
      </c>
      <c r="I128" t="s">
        <v>13</v>
      </c>
    </row>
    <row r="129" spans="1:9" x14ac:dyDescent="0.35">
      <c r="A129">
        <v>5625212</v>
      </c>
      <c r="B129" t="s">
        <v>9</v>
      </c>
      <c r="C129" t="s">
        <v>10</v>
      </c>
      <c r="D129" s="2">
        <v>45291</v>
      </c>
      <c r="E129" s="2">
        <v>45291</v>
      </c>
      <c r="F129" t="s">
        <v>241</v>
      </c>
      <c r="G129" t="s">
        <v>177</v>
      </c>
      <c r="H129">
        <v>251232</v>
      </c>
      <c r="I129" t="s">
        <v>13</v>
      </c>
    </row>
    <row r="130" spans="1:9" x14ac:dyDescent="0.35">
      <c r="A130">
        <v>5625213</v>
      </c>
      <c r="B130" t="s">
        <v>9</v>
      </c>
      <c r="C130" t="s">
        <v>10</v>
      </c>
      <c r="D130" s="2">
        <v>45291</v>
      </c>
      <c r="E130" s="2">
        <v>45291</v>
      </c>
      <c r="F130" t="s">
        <v>242</v>
      </c>
      <c r="G130" t="s">
        <v>179</v>
      </c>
      <c r="H130">
        <v>0</v>
      </c>
      <c r="I130" t="s">
        <v>13</v>
      </c>
    </row>
    <row r="131" spans="1:9" x14ac:dyDescent="0.35">
      <c r="A131">
        <v>5625214</v>
      </c>
      <c r="B131" t="s">
        <v>9</v>
      </c>
      <c r="C131" t="s">
        <v>10</v>
      </c>
      <c r="D131" s="2">
        <v>45291</v>
      </c>
      <c r="E131" s="2">
        <v>45291</v>
      </c>
      <c r="F131" t="s">
        <v>243</v>
      </c>
      <c r="G131" t="s">
        <v>181</v>
      </c>
      <c r="H131">
        <v>0</v>
      </c>
      <c r="I131" t="s">
        <v>13</v>
      </c>
    </row>
    <row r="132" spans="1:9" x14ac:dyDescent="0.35">
      <c r="A132">
        <v>5625215</v>
      </c>
      <c r="B132" t="s">
        <v>9</v>
      </c>
      <c r="C132" t="s">
        <v>10</v>
      </c>
      <c r="D132" s="2">
        <v>45291</v>
      </c>
      <c r="E132" s="2">
        <v>45291</v>
      </c>
      <c r="F132" t="s">
        <v>244</v>
      </c>
      <c r="G132" t="s">
        <v>183</v>
      </c>
      <c r="H132">
        <v>0</v>
      </c>
      <c r="I132" t="s">
        <v>13</v>
      </c>
    </row>
    <row r="133" spans="1:9" x14ac:dyDescent="0.35">
      <c r="A133">
        <v>5625216</v>
      </c>
      <c r="B133" t="s">
        <v>9</v>
      </c>
      <c r="C133" t="s">
        <v>10</v>
      </c>
      <c r="D133" s="2">
        <v>45291</v>
      </c>
      <c r="E133" s="2">
        <v>45291</v>
      </c>
      <c r="F133" t="s">
        <v>245</v>
      </c>
      <c r="G133" t="s">
        <v>185</v>
      </c>
      <c r="H133">
        <v>0</v>
      </c>
      <c r="I133" t="s">
        <v>13</v>
      </c>
    </row>
    <row r="134" spans="1:9" x14ac:dyDescent="0.35">
      <c r="A134">
        <v>5625217</v>
      </c>
      <c r="B134" t="s">
        <v>9</v>
      </c>
      <c r="C134" t="s">
        <v>10</v>
      </c>
      <c r="D134" s="2">
        <v>45291</v>
      </c>
      <c r="E134" s="2">
        <v>45291</v>
      </c>
      <c r="F134" t="s">
        <v>246</v>
      </c>
      <c r="G134" t="s">
        <v>56</v>
      </c>
      <c r="H134">
        <v>251232</v>
      </c>
      <c r="I134" t="s">
        <v>13</v>
      </c>
    </row>
    <row r="135" spans="1:9" x14ac:dyDescent="0.35">
      <c r="A135">
        <v>5625218</v>
      </c>
      <c r="B135" t="s">
        <v>9</v>
      </c>
      <c r="C135" t="s">
        <v>10</v>
      </c>
      <c r="D135" s="2">
        <v>45291</v>
      </c>
      <c r="E135" s="2">
        <v>45291</v>
      </c>
      <c r="F135" t="s">
        <v>247</v>
      </c>
      <c r="G135" t="s">
        <v>192</v>
      </c>
      <c r="H135">
        <v>0</v>
      </c>
      <c r="I135" t="s">
        <v>13</v>
      </c>
    </row>
    <row r="136" spans="1:9" x14ac:dyDescent="0.35">
      <c r="A136">
        <v>5625219</v>
      </c>
      <c r="B136" t="s">
        <v>9</v>
      </c>
      <c r="C136" t="s">
        <v>10</v>
      </c>
      <c r="D136" s="2">
        <v>45291</v>
      </c>
      <c r="E136" s="2">
        <v>45291</v>
      </c>
      <c r="F136" t="s">
        <v>248</v>
      </c>
      <c r="G136" t="s">
        <v>249</v>
      </c>
      <c r="H136">
        <v>0</v>
      </c>
      <c r="I136" t="s">
        <v>13</v>
      </c>
    </row>
    <row r="137" spans="1:9" x14ac:dyDescent="0.35">
      <c r="A137">
        <v>5625220</v>
      </c>
      <c r="B137" t="s">
        <v>9</v>
      </c>
      <c r="C137" t="s">
        <v>10</v>
      </c>
      <c r="D137" s="2">
        <v>45291</v>
      </c>
      <c r="E137" s="2">
        <v>45291</v>
      </c>
      <c r="F137" t="s">
        <v>250</v>
      </c>
      <c r="G137" t="s">
        <v>194</v>
      </c>
      <c r="H137">
        <v>0</v>
      </c>
      <c r="I137" t="s">
        <v>13</v>
      </c>
    </row>
    <row r="138" spans="1:9" x14ac:dyDescent="0.35">
      <c r="A138">
        <v>5625221</v>
      </c>
      <c r="B138" t="s">
        <v>9</v>
      </c>
      <c r="C138" t="s">
        <v>10</v>
      </c>
      <c r="D138" s="2">
        <v>45291</v>
      </c>
      <c r="E138" s="2">
        <v>45291</v>
      </c>
      <c r="F138" t="s">
        <v>251</v>
      </c>
      <c r="G138" t="s">
        <v>252</v>
      </c>
      <c r="H138">
        <v>1181</v>
      </c>
      <c r="I138" t="s">
        <v>13</v>
      </c>
    </row>
    <row r="139" spans="1:9" x14ac:dyDescent="0.35">
      <c r="A139">
        <v>5625222</v>
      </c>
      <c r="B139" t="s">
        <v>9</v>
      </c>
      <c r="C139" t="s">
        <v>10</v>
      </c>
      <c r="D139" s="2">
        <v>45291</v>
      </c>
      <c r="E139" s="2">
        <v>45291</v>
      </c>
      <c r="F139" t="s">
        <v>253</v>
      </c>
      <c r="G139" t="s">
        <v>216</v>
      </c>
      <c r="H139">
        <v>0</v>
      </c>
      <c r="I139" t="s">
        <v>13</v>
      </c>
    </row>
    <row r="140" spans="1:9" x14ac:dyDescent="0.35">
      <c r="A140">
        <v>5625223</v>
      </c>
      <c r="B140" t="s">
        <v>9</v>
      </c>
      <c r="C140" t="s">
        <v>10</v>
      </c>
      <c r="D140" s="2">
        <v>45291</v>
      </c>
      <c r="E140" s="2">
        <v>45291</v>
      </c>
      <c r="F140" t="s">
        <v>254</v>
      </c>
      <c r="G140" t="s">
        <v>255</v>
      </c>
      <c r="H140">
        <v>0</v>
      </c>
      <c r="I140" t="s">
        <v>13</v>
      </c>
    </row>
    <row r="141" spans="1:9" x14ac:dyDescent="0.35">
      <c r="A141">
        <v>5625224</v>
      </c>
      <c r="B141" t="s">
        <v>9</v>
      </c>
      <c r="C141" t="s">
        <v>10</v>
      </c>
      <c r="D141" s="2">
        <v>45291</v>
      </c>
      <c r="E141" s="2">
        <v>45291</v>
      </c>
      <c r="F141" t="s">
        <v>256</v>
      </c>
      <c r="G141" t="s">
        <v>177</v>
      </c>
      <c r="H141">
        <v>14500</v>
      </c>
      <c r="I141" t="s">
        <v>13</v>
      </c>
    </row>
    <row r="142" spans="1:9" x14ac:dyDescent="0.35">
      <c r="A142">
        <v>5625225</v>
      </c>
      <c r="B142" t="s">
        <v>9</v>
      </c>
      <c r="C142" t="s">
        <v>10</v>
      </c>
      <c r="D142" s="2">
        <v>45291</v>
      </c>
      <c r="E142" s="2">
        <v>45291</v>
      </c>
      <c r="F142" t="s">
        <v>257</v>
      </c>
      <c r="G142" t="s">
        <v>204</v>
      </c>
      <c r="H142">
        <v>6546</v>
      </c>
      <c r="I142" t="s">
        <v>13</v>
      </c>
    </row>
    <row r="143" spans="1:9" x14ac:dyDescent="0.35">
      <c r="A143">
        <v>5625226</v>
      </c>
      <c r="B143" t="s">
        <v>9</v>
      </c>
      <c r="C143" t="s">
        <v>10</v>
      </c>
      <c r="D143" s="2">
        <v>45291</v>
      </c>
      <c r="E143" s="2">
        <v>45291</v>
      </c>
      <c r="F143" t="s">
        <v>258</v>
      </c>
      <c r="G143" t="s">
        <v>200</v>
      </c>
      <c r="H143">
        <v>150126</v>
      </c>
      <c r="I143" t="s">
        <v>13</v>
      </c>
    </row>
    <row r="144" spans="1:9" x14ac:dyDescent="0.35">
      <c r="A144">
        <v>5625227</v>
      </c>
      <c r="B144" t="s">
        <v>9</v>
      </c>
      <c r="C144" t="s">
        <v>10</v>
      </c>
      <c r="D144" s="2">
        <v>45291</v>
      </c>
      <c r="E144" s="2">
        <v>45291</v>
      </c>
      <c r="F144" t="s">
        <v>259</v>
      </c>
      <c r="G144" t="s">
        <v>206</v>
      </c>
      <c r="H144">
        <v>78879</v>
      </c>
      <c r="I144" t="s">
        <v>13</v>
      </c>
    </row>
    <row r="145" spans="1:9" x14ac:dyDescent="0.35">
      <c r="A145">
        <v>5625228</v>
      </c>
      <c r="B145" t="s">
        <v>9</v>
      </c>
      <c r="C145" t="s">
        <v>10</v>
      </c>
      <c r="D145" s="2">
        <v>45291</v>
      </c>
      <c r="E145" s="2">
        <v>45291</v>
      </c>
      <c r="F145" t="s">
        <v>260</v>
      </c>
      <c r="G145" t="s">
        <v>81</v>
      </c>
      <c r="H145">
        <v>206</v>
      </c>
      <c r="I145" t="s">
        <v>13</v>
      </c>
    </row>
    <row r="146" spans="1:9" x14ac:dyDescent="0.35">
      <c r="A146">
        <v>5625229</v>
      </c>
      <c r="B146" t="s">
        <v>9</v>
      </c>
      <c r="C146" t="s">
        <v>10</v>
      </c>
      <c r="D146" s="2">
        <v>45291</v>
      </c>
      <c r="E146" s="2">
        <v>45291</v>
      </c>
      <c r="F146" t="s">
        <v>261</v>
      </c>
      <c r="G146" t="s">
        <v>83</v>
      </c>
      <c r="H146">
        <v>206</v>
      </c>
      <c r="I146" t="s">
        <v>13</v>
      </c>
    </row>
    <row r="147" spans="1:9" x14ac:dyDescent="0.35">
      <c r="A147">
        <v>5625230</v>
      </c>
      <c r="B147" t="s">
        <v>9</v>
      </c>
      <c r="C147" t="s">
        <v>10</v>
      </c>
      <c r="D147" s="2">
        <v>45291</v>
      </c>
      <c r="E147" s="2">
        <v>45291</v>
      </c>
      <c r="F147" t="s">
        <v>262</v>
      </c>
      <c r="G147" t="s">
        <v>208</v>
      </c>
      <c r="H147">
        <v>5209</v>
      </c>
      <c r="I147" t="s">
        <v>13</v>
      </c>
    </row>
    <row r="148" spans="1:9" x14ac:dyDescent="0.35">
      <c r="A148">
        <v>5625231</v>
      </c>
      <c r="B148" t="s">
        <v>9</v>
      </c>
      <c r="C148" t="s">
        <v>10</v>
      </c>
      <c r="D148" s="2">
        <v>45291</v>
      </c>
      <c r="E148" s="2">
        <v>45291</v>
      </c>
      <c r="F148" t="s">
        <v>263</v>
      </c>
      <c r="G148" t="s">
        <v>210</v>
      </c>
      <c r="H148">
        <v>5209</v>
      </c>
      <c r="I148" t="s">
        <v>13</v>
      </c>
    </row>
    <row r="149" spans="1:9" x14ac:dyDescent="0.35">
      <c r="A149">
        <v>5625232</v>
      </c>
      <c r="B149" t="s">
        <v>9</v>
      </c>
      <c r="C149" t="s">
        <v>10</v>
      </c>
      <c r="D149" s="2">
        <v>45291</v>
      </c>
      <c r="E149" s="2">
        <v>45291</v>
      </c>
      <c r="F149" t="s">
        <v>264</v>
      </c>
      <c r="G149" t="s">
        <v>212</v>
      </c>
      <c r="H149">
        <v>25</v>
      </c>
      <c r="I149" t="s">
        <v>13</v>
      </c>
    </row>
    <row r="150" spans="1:9" x14ac:dyDescent="0.35">
      <c r="A150">
        <v>5625233</v>
      </c>
      <c r="B150" t="s">
        <v>9</v>
      </c>
      <c r="C150" t="s">
        <v>10</v>
      </c>
      <c r="D150" s="2">
        <v>45291</v>
      </c>
      <c r="E150" s="2">
        <v>45291</v>
      </c>
      <c r="F150" t="s">
        <v>265</v>
      </c>
      <c r="G150" t="s">
        <v>214</v>
      </c>
      <c r="H150">
        <v>4615</v>
      </c>
      <c r="I150" t="s">
        <v>13</v>
      </c>
    </row>
    <row r="151" spans="1:9" x14ac:dyDescent="0.35">
      <c r="A151">
        <v>5625234</v>
      </c>
      <c r="B151" t="s">
        <v>9</v>
      </c>
      <c r="C151" t="s">
        <v>10</v>
      </c>
      <c r="D151" s="2">
        <v>45291</v>
      </c>
      <c r="E151" s="2">
        <v>45291</v>
      </c>
      <c r="F151" t="s">
        <v>266</v>
      </c>
      <c r="G151" t="s">
        <v>216</v>
      </c>
      <c r="H151">
        <v>0</v>
      </c>
      <c r="I151" t="s">
        <v>13</v>
      </c>
    </row>
    <row r="152" spans="1:9" x14ac:dyDescent="0.35">
      <c r="A152">
        <v>5625235</v>
      </c>
      <c r="B152" t="s">
        <v>9</v>
      </c>
      <c r="C152" t="s">
        <v>10</v>
      </c>
      <c r="D152" s="2">
        <v>45291</v>
      </c>
      <c r="E152" s="2">
        <v>45291</v>
      </c>
      <c r="F152" t="s">
        <v>267</v>
      </c>
      <c r="G152" t="s">
        <v>218</v>
      </c>
      <c r="H152">
        <v>569</v>
      </c>
      <c r="I152" t="s">
        <v>13</v>
      </c>
    </row>
    <row r="153" spans="1:9" x14ac:dyDescent="0.35">
      <c r="A153">
        <v>5625236</v>
      </c>
      <c r="B153" t="s">
        <v>9</v>
      </c>
      <c r="C153" t="s">
        <v>10</v>
      </c>
      <c r="D153" s="2">
        <v>45291</v>
      </c>
      <c r="E153" s="2">
        <v>45291</v>
      </c>
      <c r="F153" t="s">
        <v>268</v>
      </c>
      <c r="G153" t="s">
        <v>220</v>
      </c>
      <c r="H153">
        <v>0</v>
      </c>
      <c r="I153" t="s">
        <v>13</v>
      </c>
    </row>
    <row r="154" spans="1:9" x14ac:dyDescent="0.35">
      <c r="A154">
        <v>5625237</v>
      </c>
      <c r="B154" t="s">
        <v>9</v>
      </c>
      <c r="C154" t="s">
        <v>10</v>
      </c>
      <c r="D154" s="2">
        <v>45291</v>
      </c>
      <c r="E154" s="2">
        <v>45291</v>
      </c>
      <c r="F154" t="s">
        <v>269</v>
      </c>
      <c r="G154" t="s">
        <v>222</v>
      </c>
      <c r="H154">
        <v>0</v>
      </c>
      <c r="I154" t="s">
        <v>13</v>
      </c>
    </row>
    <row r="155" spans="1:9" x14ac:dyDescent="0.35">
      <c r="A155">
        <v>5625238</v>
      </c>
      <c r="B155" t="s">
        <v>9</v>
      </c>
      <c r="C155" t="s">
        <v>10</v>
      </c>
      <c r="D155" s="2">
        <v>45291</v>
      </c>
      <c r="E155" s="2">
        <v>45291</v>
      </c>
      <c r="F155" t="s">
        <v>270</v>
      </c>
      <c r="G155" t="s">
        <v>224</v>
      </c>
      <c r="H155">
        <v>0</v>
      </c>
      <c r="I155" t="s">
        <v>13</v>
      </c>
    </row>
    <row r="156" spans="1:9" x14ac:dyDescent="0.35">
      <c r="A156">
        <v>5625239</v>
      </c>
      <c r="B156" t="s">
        <v>9</v>
      </c>
      <c r="C156" t="s">
        <v>10</v>
      </c>
      <c r="D156" s="2">
        <v>45291</v>
      </c>
      <c r="E156" s="2">
        <v>45291</v>
      </c>
      <c r="F156" t="s">
        <v>271</v>
      </c>
      <c r="G156" t="s">
        <v>226</v>
      </c>
      <c r="H156">
        <v>0</v>
      </c>
      <c r="I156" t="s">
        <v>13</v>
      </c>
    </row>
    <row r="157" spans="1:9" x14ac:dyDescent="0.35">
      <c r="A157">
        <v>5625240</v>
      </c>
      <c r="B157" t="s">
        <v>9</v>
      </c>
      <c r="C157" t="s">
        <v>10</v>
      </c>
      <c r="D157" s="2">
        <v>45291</v>
      </c>
      <c r="E157" s="2">
        <v>45291</v>
      </c>
      <c r="F157" t="s">
        <v>272</v>
      </c>
      <c r="G157" t="s">
        <v>228</v>
      </c>
      <c r="H157">
        <v>0</v>
      </c>
      <c r="I157" t="s">
        <v>13</v>
      </c>
    </row>
    <row r="158" spans="1:9" x14ac:dyDescent="0.35">
      <c r="A158">
        <v>5625241</v>
      </c>
      <c r="B158" t="s">
        <v>9</v>
      </c>
      <c r="C158" t="s">
        <v>10</v>
      </c>
      <c r="D158" s="2">
        <v>45291</v>
      </c>
      <c r="E158" s="2">
        <v>45291</v>
      </c>
      <c r="F158" t="s">
        <v>273</v>
      </c>
      <c r="G158" t="s">
        <v>230</v>
      </c>
      <c r="H158">
        <v>0</v>
      </c>
      <c r="I158" t="s">
        <v>13</v>
      </c>
    </row>
    <row r="159" spans="1:9" x14ac:dyDescent="0.35">
      <c r="A159">
        <v>5625242</v>
      </c>
      <c r="B159" t="s">
        <v>9</v>
      </c>
      <c r="C159" t="s">
        <v>10</v>
      </c>
      <c r="D159" s="2">
        <v>45291</v>
      </c>
      <c r="E159" s="2">
        <v>45291</v>
      </c>
      <c r="F159" t="s">
        <v>274</v>
      </c>
      <c r="G159" t="s">
        <v>232</v>
      </c>
      <c r="H159">
        <v>0</v>
      </c>
      <c r="I159" t="s">
        <v>13</v>
      </c>
    </row>
    <row r="160" spans="1:9" x14ac:dyDescent="0.35">
      <c r="A160">
        <v>5625243</v>
      </c>
      <c r="B160" t="s">
        <v>9</v>
      </c>
      <c r="C160" t="s">
        <v>10</v>
      </c>
      <c r="D160" s="2">
        <v>45291</v>
      </c>
      <c r="E160" s="2">
        <v>45291</v>
      </c>
      <c r="F160" t="s">
        <v>275</v>
      </c>
      <c r="G160" t="s">
        <v>276</v>
      </c>
      <c r="H160">
        <v>0</v>
      </c>
      <c r="I160" t="s">
        <v>13</v>
      </c>
    </row>
    <row r="161" spans="1:9" x14ac:dyDescent="0.35">
      <c r="A161">
        <v>5625244</v>
      </c>
      <c r="B161" t="s">
        <v>9</v>
      </c>
      <c r="C161" t="s">
        <v>10</v>
      </c>
      <c r="D161" s="2">
        <v>45291</v>
      </c>
      <c r="E161" s="2">
        <v>45291</v>
      </c>
      <c r="F161" t="s">
        <v>277</v>
      </c>
      <c r="G161" t="s">
        <v>278</v>
      </c>
      <c r="H161">
        <v>0</v>
      </c>
      <c r="I161" t="s">
        <v>13</v>
      </c>
    </row>
    <row r="162" spans="1:9" x14ac:dyDescent="0.35">
      <c r="A162">
        <v>5625245</v>
      </c>
      <c r="B162" t="s">
        <v>9</v>
      </c>
      <c r="C162" t="s">
        <v>10</v>
      </c>
      <c r="D162" s="2">
        <v>45291</v>
      </c>
      <c r="E162" s="2">
        <v>45291</v>
      </c>
      <c r="F162" t="s">
        <v>279</v>
      </c>
      <c r="G162" t="s">
        <v>280</v>
      </c>
      <c r="H162">
        <v>0</v>
      </c>
      <c r="I162" t="s">
        <v>13</v>
      </c>
    </row>
    <row r="163" spans="1:9" x14ac:dyDescent="0.35">
      <c r="A163">
        <v>5625246</v>
      </c>
      <c r="B163" t="s">
        <v>9</v>
      </c>
      <c r="C163" t="s">
        <v>10</v>
      </c>
      <c r="D163" s="2">
        <v>45291</v>
      </c>
      <c r="E163" s="2">
        <v>45291</v>
      </c>
      <c r="F163" t="s">
        <v>281</v>
      </c>
      <c r="G163" t="s">
        <v>282</v>
      </c>
      <c r="H163">
        <v>0</v>
      </c>
      <c r="I163" t="s">
        <v>13</v>
      </c>
    </row>
    <row r="164" spans="1:9" x14ac:dyDescent="0.35">
      <c r="A164">
        <v>5625247</v>
      </c>
      <c r="B164" t="s">
        <v>9</v>
      </c>
      <c r="C164" t="s">
        <v>10</v>
      </c>
      <c r="D164" s="2">
        <v>45291</v>
      </c>
      <c r="E164" s="2">
        <v>45291</v>
      </c>
      <c r="F164" t="s">
        <v>283</v>
      </c>
      <c r="G164" t="s">
        <v>284</v>
      </c>
      <c r="H164">
        <v>3727467</v>
      </c>
      <c r="I164" t="s">
        <v>13</v>
      </c>
    </row>
    <row r="165" spans="1:9" x14ac:dyDescent="0.35">
      <c r="A165">
        <v>5625248</v>
      </c>
      <c r="B165" t="s">
        <v>9</v>
      </c>
      <c r="C165" t="s">
        <v>10</v>
      </c>
      <c r="D165" s="2">
        <v>45291</v>
      </c>
      <c r="E165" s="2">
        <v>45291</v>
      </c>
      <c r="F165" t="s">
        <v>285</v>
      </c>
      <c r="G165" t="s">
        <v>286</v>
      </c>
      <c r="H165">
        <v>3967128</v>
      </c>
      <c r="I165" t="s">
        <v>13</v>
      </c>
    </row>
    <row r="166" spans="1:9" x14ac:dyDescent="0.35">
      <c r="A166">
        <v>5625249</v>
      </c>
      <c r="B166" t="s">
        <v>9</v>
      </c>
      <c r="C166" t="s">
        <v>10</v>
      </c>
      <c r="D166" s="2">
        <v>45291</v>
      </c>
      <c r="E166" s="2">
        <v>45291</v>
      </c>
      <c r="F166" t="s">
        <v>287</v>
      </c>
      <c r="G166" t="s">
        <v>288</v>
      </c>
      <c r="H166">
        <v>153466</v>
      </c>
      <c r="I166" t="s">
        <v>13</v>
      </c>
    </row>
    <row r="167" spans="1:9" x14ac:dyDescent="0.35">
      <c r="A167">
        <v>5625250</v>
      </c>
      <c r="B167" t="s">
        <v>9</v>
      </c>
      <c r="C167" t="s">
        <v>10</v>
      </c>
      <c r="D167" s="2">
        <v>45291</v>
      </c>
      <c r="E167" s="2">
        <v>45291</v>
      </c>
      <c r="F167" t="s">
        <v>289</v>
      </c>
      <c r="G167" t="s">
        <v>290</v>
      </c>
      <c r="H167">
        <v>0</v>
      </c>
      <c r="I167" t="s">
        <v>13</v>
      </c>
    </row>
    <row r="168" spans="1:9" x14ac:dyDescent="0.35">
      <c r="A168">
        <v>5625251</v>
      </c>
      <c r="B168" t="s">
        <v>9</v>
      </c>
      <c r="C168" t="s">
        <v>10</v>
      </c>
      <c r="D168" s="2">
        <v>45291</v>
      </c>
      <c r="E168" s="2">
        <v>45291</v>
      </c>
      <c r="F168" t="s">
        <v>291</v>
      </c>
      <c r="G168" t="s">
        <v>292</v>
      </c>
      <c r="H168">
        <v>0</v>
      </c>
      <c r="I168" t="s">
        <v>13</v>
      </c>
    </row>
    <row r="169" spans="1:9" x14ac:dyDescent="0.35">
      <c r="A169">
        <v>5625252</v>
      </c>
      <c r="B169" t="s">
        <v>9</v>
      </c>
      <c r="C169" t="s">
        <v>10</v>
      </c>
      <c r="D169" s="2">
        <v>45291</v>
      </c>
      <c r="E169" s="2">
        <v>45291</v>
      </c>
      <c r="F169" t="s">
        <v>293</v>
      </c>
      <c r="G169" t="s">
        <v>294</v>
      </c>
      <c r="H169">
        <v>0</v>
      </c>
      <c r="I169" t="s">
        <v>13</v>
      </c>
    </row>
    <row r="170" spans="1:9" x14ac:dyDescent="0.35">
      <c r="A170">
        <v>5625253</v>
      </c>
      <c r="B170" t="s">
        <v>9</v>
      </c>
      <c r="C170" t="s">
        <v>10</v>
      </c>
      <c r="D170" s="2">
        <v>45291</v>
      </c>
      <c r="E170" s="2">
        <v>45291</v>
      </c>
      <c r="F170" t="s">
        <v>295</v>
      </c>
      <c r="G170" t="s">
        <v>296</v>
      </c>
      <c r="H170">
        <v>0</v>
      </c>
      <c r="I170" t="s">
        <v>13</v>
      </c>
    </row>
    <row r="171" spans="1:9" x14ac:dyDescent="0.35">
      <c r="A171">
        <v>5625254</v>
      </c>
      <c r="B171" t="s">
        <v>9</v>
      </c>
      <c r="C171" t="s">
        <v>10</v>
      </c>
      <c r="D171" s="2">
        <v>45291</v>
      </c>
      <c r="E171" s="2">
        <v>45291</v>
      </c>
      <c r="F171" t="s">
        <v>297</v>
      </c>
      <c r="G171" t="s">
        <v>298</v>
      </c>
      <c r="H171">
        <v>-55388</v>
      </c>
      <c r="I171" t="s">
        <v>13</v>
      </c>
    </row>
    <row r="172" spans="1:9" x14ac:dyDescent="0.35">
      <c r="A172">
        <v>5625255</v>
      </c>
      <c r="B172" t="s">
        <v>9</v>
      </c>
      <c r="C172" t="s">
        <v>10</v>
      </c>
      <c r="D172" s="2">
        <v>45291</v>
      </c>
      <c r="E172" s="2">
        <v>45291</v>
      </c>
      <c r="F172" t="s">
        <v>299</v>
      </c>
      <c r="G172" t="s">
        <v>249</v>
      </c>
      <c r="H172">
        <v>0</v>
      </c>
      <c r="I172" t="s">
        <v>13</v>
      </c>
    </row>
    <row r="173" spans="1:9" x14ac:dyDescent="0.35">
      <c r="A173">
        <v>5625256</v>
      </c>
      <c r="B173" t="s">
        <v>9</v>
      </c>
      <c r="C173" t="s">
        <v>10</v>
      </c>
      <c r="D173" s="2">
        <v>45291</v>
      </c>
      <c r="E173" s="2">
        <v>45291</v>
      </c>
      <c r="F173" t="s">
        <v>300</v>
      </c>
      <c r="G173" t="s">
        <v>301</v>
      </c>
      <c r="H173">
        <v>169242</v>
      </c>
      <c r="I173" t="s">
        <v>13</v>
      </c>
    </row>
    <row r="174" spans="1:9" x14ac:dyDescent="0.35">
      <c r="A174">
        <v>5625257</v>
      </c>
      <c r="B174" t="s">
        <v>9</v>
      </c>
      <c r="C174" t="s">
        <v>10</v>
      </c>
      <c r="D174" s="2">
        <v>45291</v>
      </c>
      <c r="E174" s="2">
        <v>45291</v>
      </c>
      <c r="F174" t="s">
        <v>302</v>
      </c>
      <c r="G174" t="s">
        <v>303</v>
      </c>
      <c r="H174">
        <v>18394</v>
      </c>
      <c r="I174" t="s">
        <v>13</v>
      </c>
    </row>
    <row r="175" spans="1:9" x14ac:dyDescent="0.35">
      <c r="A175">
        <v>5625258</v>
      </c>
      <c r="B175" t="s">
        <v>9</v>
      </c>
      <c r="C175" t="s">
        <v>10</v>
      </c>
      <c r="D175" s="2">
        <v>45291</v>
      </c>
      <c r="E175" s="2">
        <v>45291</v>
      </c>
      <c r="F175" t="s">
        <v>304</v>
      </c>
      <c r="G175" t="s">
        <v>305</v>
      </c>
      <c r="H175">
        <v>40004</v>
      </c>
      <c r="I175" t="s">
        <v>13</v>
      </c>
    </row>
    <row r="176" spans="1:9" x14ac:dyDescent="0.35">
      <c r="A176">
        <v>5625259</v>
      </c>
      <c r="B176" t="s">
        <v>9</v>
      </c>
      <c r="C176" t="s">
        <v>10</v>
      </c>
      <c r="D176" s="2">
        <v>45291</v>
      </c>
      <c r="E176" s="2">
        <v>45291</v>
      </c>
      <c r="F176" t="s">
        <v>306</v>
      </c>
      <c r="G176" t="s">
        <v>307</v>
      </c>
      <c r="H176">
        <v>-18786</v>
      </c>
      <c r="I176" t="s">
        <v>13</v>
      </c>
    </row>
    <row r="177" spans="1:9" x14ac:dyDescent="0.35">
      <c r="A177">
        <v>5625260</v>
      </c>
      <c r="B177" t="s">
        <v>9</v>
      </c>
      <c r="C177" t="s">
        <v>10</v>
      </c>
      <c r="D177" s="2">
        <v>45291</v>
      </c>
      <c r="E177" s="2">
        <v>45291</v>
      </c>
      <c r="F177" t="s">
        <v>308</v>
      </c>
      <c r="G177" t="s">
        <v>309</v>
      </c>
      <c r="H177">
        <v>0</v>
      </c>
      <c r="I177" t="s">
        <v>13</v>
      </c>
    </row>
    <row r="178" spans="1:9" x14ac:dyDescent="0.35">
      <c r="A178">
        <v>5625261</v>
      </c>
      <c r="B178" t="s">
        <v>9</v>
      </c>
      <c r="C178" t="s">
        <v>10</v>
      </c>
      <c r="D178" s="2">
        <v>45291</v>
      </c>
      <c r="E178" s="2">
        <v>45291</v>
      </c>
      <c r="F178" t="s">
        <v>310</v>
      </c>
      <c r="G178" t="s">
        <v>311</v>
      </c>
      <c r="H178">
        <v>1806113</v>
      </c>
      <c r="I178" t="s">
        <v>13</v>
      </c>
    </row>
    <row r="179" spans="1:9" x14ac:dyDescent="0.35">
      <c r="A179">
        <v>5625262</v>
      </c>
      <c r="B179" t="s">
        <v>9</v>
      </c>
      <c r="C179" t="s">
        <v>10</v>
      </c>
      <c r="D179" s="2">
        <v>45291</v>
      </c>
      <c r="E179" s="2">
        <v>45291</v>
      </c>
      <c r="F179" t="s">
        <v>312</v>
      </c>
      <c r="G179" t="s">
        <v>313</v>
      </c>
      <c r="H179">
        <v>87188</v>
      </c>
      <c r="I179" t="s">
        <v>13</v>
      </c>
    </row>
    <row r="180" spans="1:9" x14ac:dyDescent="0.35">
      <c r="A180">
        <v>5625263</v>
      </c>
      <c r="B180" t="s">
        <v>9</v>
      </c>
      <c r="C180" t="s">
        <v>10</v>
      </c>
      <c r="D180" s="2">
        <v>45291</v>
      </c>
      <c r="E180" s="2">
        <v>45291</v>
      </c>
      <c r="F180" t="s">
        <v>314</v>
      </c>
      <c r="G180" t="s">
        <v>315</v>
      </c>
      <c r="H180">
        <v>0</v>
      </c>
      <c r="I180" t="s">
        <v>13</v>
      </c>
    </row>
    <row r="181" spans="1:9" x14ac:dyDescent="0.35">
      <c r="A181">
        <v>5625264</v>
      </c>
      <c r="B181" t="s">
        <v>9</v>
      </c>
      <c r="C181" t="s">
        <v>10</v>
      </c>
      <c r="D181" s="2">
        <v>45291</v>
      </c>
      <c r="E181" s="2">
        <v>45291</v>
      </c>
      <c r="F181" t="s">
        <v>316</v>
      </c>
      <c r="G181" t="s">
        <v>317</v>
      </c>
      <c r="H181">
        <v>0</v>
      </c>
      <c r="I181" t="s">
        <v>13</v>
      </c>
    </row>
    <row r="182" spans="1:9" x14ac:dyDescent="0.35">
      <c r="A182">
        <v>5625265</v>
      </c>
      <c r="B182" t="s">
        <v>9</v>
      </c>
      <c r="C182" t="s">
        <v>10</v>
      </c>
      <c r="D182" s="2">
        <v>45291</v>
      </c>
      <c r="E182" s="2">
        <v>45291</v>
      </c>
      <c r="F182" t="s">
        <v>318</v>
      </c>
      <c r="G182" t="s">
        <v>319</v>
      </c>
      <c r="H182">
        <v>0</v>
      </c>
      <c r="I182" t="s">
        <v>13</v>
      </c>
    </row>
    <row r="183" spans="1:9" x14ac:dyDescent="0.35">
      <c r="A183">
        <v>5625266</v>
      </c>
      <c r="B183" t="s">
        <v>9</v>
      </c>
      <c r="C183" t="s">
        <v>10</v>
      </c>
      <c r="D183" s="2">
        <v>45291</v>
      </c>
      <c r="E183" s="2">
        <v>45291</v>
      </c>
      <c r="F183" t="s">
        <v>320</v>
      </c>
      <c r="G183" t="s">
        <v>321</v>
      </c>
      <c r="H183">
        <v>0</v>
      </c>
      <c r="I183" t="s">
        <v>13</v>
      </c>
    </row>
    <row r="184" spans="1:9" x14ac:dyDescent="0.35">
      <c r="A184">
        <v>5625267</v>
      </c>
      <c r="B184" t="s">
        <v>9</v>
      </c>
      <c r="C184" t="s">
        <v>10</v>
      </c>
      <c r="D184" s="2">
        <v>45291</v>
      </c>
      <c r="E184" s="2">
        <v>45291</v>
      </c>
      <c r="F184" t="s">
        <v>322</v>
      </c>
      <c r="G184" t="s">
        <v>323</v>
      </c>
      <c r="H184">
        <v>0</v>
      </c>
      <c r="I184" t="s">
        <v>13</v>
      </c>
    </row>
    <row r="185" spans="1:9" x14ac:dyDescent="0.35">
      <c r="A185">
        <v>5625268</v>
      </c>
      <c r="B185" t="s">
        <v>9</v>
      </c>
      <c r="C185" t="s">
        <v>10</v>
      </c>
      <c r="D185" s="2">
        <v>45291</v>
      </c>
      <c r="E185" s="2">
        <v>45291</v>
      </c>
      <c r="F185" t="s">
        <v>324</v>
      </c>
      <c r="G185" t="s">
        <v>325</v>
      </c>
      <c r="H185">
        <v>1718925</v>
      </c>
      <c r="I185" t="s">
        <v>13</v>
      </c>
    </row>
    <row r="186" spans="1:9" x14ac:dyDescent="0.35">
      <c r="A186">
        <v>5625269</v>
      </c>
      <c r="B186" t="s">
        <v>9</v>
      </c>
      <c r="C186" t="s">
        <v>10</v>
      </c>
      <c r="D186" s="2">
        <v>45291</v>
      </c>
      <c r="E186" s="2">
        <v>45291</v>
      </c>
      <c r="F186" t="s">
        <v>326</v>
      </c>
      <c r="G186" t="s">
        <v>327</v>
      </c>
      <c r="H186">
        <v>0</v>
      </c>
      <c r="I186" t="s">
        <v>13</v>
      </c>
    </row>
    <row r="187" spans="1:9" x14ac:dyDescent="0.35">
      <c r="A187">
        <v>5625270</v>
      </c>
      <c r="B187" t="s">
        <v>9</v>
      </c>
      <c r="C187" t="s">
        <v>10</v>
      </c>
      <c r="D187" s="2">
        <v>45291</v>
      </c>
      <c r="E187" s="2">
        <v>45291</v>
      </c>
      <c r="F187" t="s">
        <v>328</v>
      </c>
      <c r="G187" t="s">
        <v>298</v>
      </c>
      <c r="H187">
        <v>0</v>
      </c>
      <c r="I187" t="s">
        <v>13</v>
      </c>
    </row>
    <row r="188" spans="1:9" x14ac:dyDescent="0.35">
      <c r="A188">
        <v>5625271</v>
      </c>
      <c r="B188" t="s">
        <v>9</v>
      </c>
      <c r="C188" t="s">
        <v>10</v>
      </c>
      <c r="D188" s="2">
        <v>45291</v>
      </c>
      <c r="E188" s="2">
        <v>45291</v>
      </c>
      <c r="F188" t="s">
        <v>329</v>
      </c>
      <c r="G188" t="s">
        <v>330</v>
      </c>
      <c r="H188">
        <v>-1866356</v>
      </c>
      <c r="I188" t="s">
        <v>13</v>
      </c>
    </row>
    <row r="189" spans="1:9" x14ac:dyDescent="0.35">
      <c r="A189">
        <v>5625272</v>
      </c>
      <c r="B189" t="s">
        <v>9</v>
      </c>
      <c r="C189" t="s">
        <v>10</v>
      </c>
      <c r="D189" s="2">
        <v>45291</v>
      </c>
      <c r="E189" s="2">
        <v>45291</v>
      </c>
      <c r="F189" t="s">
        <v>331</v>
      </c>
      <c r="G189" t="s">
        <v>332</v>
      </c>
      <c r="H189">
        <v>0</v>
      </c>
      <c r="I189" t="s">
        <v>13</v>
      </c>
    </row>
    <row r="190" spans="1:9" x14ac:dyDescent="0.35">
      <c r="A190">
        <v>5625273</v>
      </c>
      <c r="B190" t="s">
        <v>9</v>
      </c>
      <c r="C190" t="s">
        <v>10</v>
      </c>
      <c r="D190" s="2">
        <v>45291</v>
      </c>
      <c r="E190" s="2">
        <v>45291</v>
      </c>
      <c r="F190" t="s">
        <v>333</v>
      </c>
      <c r="G190" t="s">
        <v>334</v>
      </c>
      <c r="H190">
        <v>-340066</v>
      </c>
      <c r="I190" t="s">
        <v>13</v>
      </c>
    </row>
    <row r="191" spans="1:9" x14ac:dyDescent="0.35">
      <c r="A191">
        <v>5625274</v>
      </c>
      <c r="B191" t="s">
        <v>9</v>
      </c>
      <c r="C191" t="s">
        <v>10</v>
      </c>
      <c r="D191" s="2">
        <v>45291</v>
      </c>
      <c r="E191" s="2">
        <v>45291</v>
      </c>
      <c r="F191" t="s">
        <v>335</v>
      </c>
      <c r="G191" t="s">
        <v>336</v>
      </c>
      <c r="H191">
        <v>6498</v>
      </c>
      <c r="I191" t="s">
        <v>13</v>
      </c>
    </row>
    <row r="192" spans="1:9" x14ac:dyDescent="0.35">
      <c r="A192">
        <v>5625275</v>
      </c>
      <c r="B192" t="s">
        <v>9</v>
      </c>
      <c r="C192" t="s">
        <v>10</v>
      </c>
      <c r="D192" s="2">
        <v>45291</v>
      </c>
      <c r="E192" s="2">
        <v>45291</v>
      </c>
      <c r="F192" t="s">
        <v>337</v>
      </c>
      <c r="G192" t="s">
        <v>338</v>
      </c>
      <c r="H192">
        <v>0</v>
      </c>
      <c r="I192" t="s">
        <v>13</v>
      </c>
    </row>
    <row r="193" spans="1:9" x14ac:dyDescent="0.35">
      <c r="A193">
        <v>5625276</v>
      </c>
      <c r="B193" t="s">
        <v>9</v>
      </c>
      <c r="C193" t="s">
        <v>10</v>
      </c>
      <c r="D193" s="2">
        <v>45291</v>
      </c>
      <c r="E193" s="2">
        <v>45291</v>
      </c>
      <c r="F193" t="s">
        <v>339</v>
      </c>
      <c r="G193" t="s">
        <v>340</v>
      </c>
      <c r="H193">
        <v>0</v>
      </c>
      <c r="I193" t="s">
        <v>13</v>
      </c>
    </row>
    <row r="194" spans="1:9" x14ac:dyDescent="0.35">
      <c r="A194">
        <v>5625277</v>
      </c>
      <c r="B194" t="s">
        <v>9</v>
      </c>
      <c r="C194" t="s">
        <v>10</v>
      </c>
      <c r="D194" s="2">
        <v>45291</v>
      </c>
      <c r="E194" s="2">
        <v>45291</v>
      </c>
      <c r="F194" t="s">
        <v>341</v>
      </c>
      <c r="G194" t="s">
        <v>342</v>
      </c>
      <c r="H194">
        <v>0</v>
      </c>
      <c r="I194" t="s">
        <v>13</v>
      </c>
    </row>
    <row r="195" spans="1:9" x14ac:dyDescent="0.35">
      <c r="A195">
        <v>5625278</v>
      </c>
      <c r="B195" t="s">
        <v>9</v>
      </c>
      <c r="C195" t="s">
        <v>10</v>
      </c>
      <c r="D195" s="2">
        <v>45291</v>
      </c>
      <c r="E195" s="2">
        <v>45291</v>
      </c>
      <c r="F195" t="s">
        <v>343</v>
      </c>
      <c r="G195" t="s">
        <v>336</v>
      </c>
      <c r="H195">
        <v>6498</v>
      </c>
      <c r="I195" t="s">
        <v>13</v>
      </c>
    </row>
    <row r="196" spans="1:9" x14ac:dyDescent="0.35">
      <c r="A196">
        <v>5625279</v>
      </c>
      <c r="B196" t="s">
        <v>9</v>
      </c>
      <c r="C196" t="s">
        <v>10</v>
      </c>
      <c r="D196" s="2">
        <v>45291</v>
      </c>
      <c r="E196" s="2">
        <v>45291</v>
      </c>
      <c r="F196" t="s">
        <v>344</v>
      </c>
      <c r="G196" t="s">
        <v>345</v>
      </c>
      <c r="H196">
        <v>684</v>
      </c>
      <c r="I196" t="s">
        <v>13</v>
      </c>
    </row>
    <row r="197" spans="1:9" x14ac:dyDescent="0.35">
      <c r="A197">
        <v>5625280</v>
      </c>
      <c r="B197" t="s">
        <v>9</v>
      </c>
      <c r="C197" t="s">
        <v>10</v>
      </c>
      <c r="D197" s="2">
        <v>44927</v>
      </c>
      <c r="E197" s="2">
        <v>45291</v>
      </c>
      <c r="F197" t="s">
        <v>346</v>
      </c>
      <c r="G197" t="s">
        <v>347</v>
      </c>
      <c r="H197">
        <v>3734146</v>
      </c>
      <c r="I197" t="s">
        <v>13</v>
      </c>
    </row>
    <row r="198" spans="1:9" x14ac:dyDescent="0.35">
      <c r="A198">
        <v>5625281</v>
      </c>
      <c r="B198" t="s">
        <v>9</v>
      </c>
      <c r="C198" t="s">
        <v>10</v>
      </c>
      <c r="D198" s="2">
        <v>44927</v>
      </c>
      <c r="E198" s="2">
        <v>45291</v>
      </c>
      <c r="F198" t="s">
        <v>348</v>
      </c>
      <c r="G198" t="s">
        <v>349</v>
      </c>
      <c r="H198">
        <v>-2237931</v>
      </c>
      <c r="I198" t="s">
        <v>13</v>
      </c>
    </row>
    <row r="199" spans="1:9" x14ac:dyDescent="0.35">
      <c r="A199">
        <v>5625282</v>
      </c>
      <c r="B199" t="s">
        <v>9</v>
      </c>
      <c r="C199" t="s">
        <v>10</v>
      </c>
      <c r="D199" s="2">
        <v>44927</v>
      </c>
      <c r="E199" s="2">
        <v>45291</v>
      </c>
      <c r="F199" t="s">
        <v>350</v>
      </c>
      <c r="G199" t="s">
        <v>351</v>
      </c>
      <c r="H199">
        <v>1496215</v>
      </c>
      <c r="I199" t="s">
        <v>13</v>
      </c>
    </row>
    <row r="200" spans="1:9" x14ac:dyDescent="0.35">
      <c r="A200">
        <v>5625283</v>
      </c>
      <c r="B200" t="s">
        <v>9</v>
      </c>
      <c r="C200" t="s">
        <v>10</v>
      </c>
      <c r="D200" s="2">
        <v>44927</v>
      </c>
      <c r="E200" s="2">
        <v>45291</v>
      </c>
      <c r="F200" t="s">
        <v>352</v>
      </c>
      <c r="G200" t="s">
        <v>353</v>
      </c>
      <c r="H200">
        <v>-3485201</v>
      </c>
      <c r="I200" t="s">
        <v>13</v>
      </c>
    </row>
    <row r="201" spans="1:9" x14ac:dyDescent="0.35">
      <c r="A201">
        <v>5625284</v>
      </c>
      <c r="B201" t="s">
        <v>9</v>
      </c>
      <c r="C201" t="s">
        <v>10</v>
      </c>
      <c r="D201" s="2">
        <v>44927</v>
      </c>
      <c r="E201" s="2">
        <v>45291</v>
      </c>
      <c r="F201" t="s">
        <v>354</v>
      </c>
      <c r="G201" t="s">
        <v>355</v>
      </c>
      <c r="H201">
        <v>-1218873</v>
      </c>
      <c r="I201" t="s">
        <v>13</v>
      </c>
    </row>
    <row r="202" spans="1:9" x14ac:dyDescent="0.35">
      <c r="A202">
        <v>5625285</v>
      </c>
      <c r="B202" t="s">
        <v>9</v>
      </c>
      <c r="C202" t="s">
        <v>10</v>
      </c>
      <c r="D202" s="2">
        <v>44927</v>
      </c>
      <c r="E202" s="2">
        <v>45291</v>
      </c>
      <c r="F202" t="s">
        <v>356</v>
      </c>
      <c r="G202" t="s">
        <v>357</v>
      </c>
      <c r="H202">
        <v>-232315</v>
      </c>
      <c r="I202" t="s">
        <v>13</v>
      </c>
    </row>
    <row r="203" spans="1:9" x14ac:dyDescent="0.35">
      <c r="A203">
        <v>5625286</v>
      </c>
      <c r="B203" t="s">
        <v>9</v>
      </c>
      <c r="C203" t="s">
        <v>10</v>
      </c>
      <c r="D203" s="2">
        <v>44927</v>
      </c>
      <c r="E203" s="2">
        <v>45291</v>
      </c>
      <c r="F203" t="s">
        <v>358</v>
      </c>
      <c r="G203" t="s">
        <v>359</v>
      </c>
      <c r="H203">
        <v>0</v>
      </c>
      <c r="I203" t="s">
        <v>13</v>
      </c>
    </row>
    <row r="204" spans="1:9" x14ac:dyDescent="0.35">
      <c r="A204">
        <v>5625287</v>
      </c>
      <c r="B204" t="s">
        <v>9</v>
      </c>
      <c r="C204" t="s">
        <v>10</v>
      </c>
      <c r="D204" s="2">
        <v>44927</v>
      </c>
      <c r="E204" s="2">
        <v>45291</v>
      </c>
      <c r="F204" t="s">
        <v>360</v>
      </c>
      <c r="G204" t="s">
        <v>361</v>
      </c>
      <c r="H204">
        <v>21288</v>
      </c>
      <c r="I204" t="s">
        <v>13</v>
      </c>
    </row>
    <row r="205" spans="1:9" x14ac:dyDescent="0.35">
      <c r="A205">
        <v>5625288</v>
      </c>
      <c r="B205" t="s">
        <v>9</v>
      </c>
      <c r="C205" t="s">
        <v>10</v>
      </c>
      <c r="D205" s="2">
        <v>44927</v>
      </c>
      <c r="E205" s="2">
        <v>45291</v>
      </c>
      <c r="F205" t="s">
        <v>362</v>
      </c>
      <c r="G205" t="s">
        <v>363</v>
      </c>
      <c r="H205">
        <v>-1633289</v>
      </c>
      <c r="I205" t="s">
        <v>13</v>
      </c>
    </row>
    <row r="206" spans="1:9" x14ac:dyDescent="0.35">
      <c r="A206">
        <v>5625289</v>
      </c>
      <c r="B206" t="s">
        <v>9</v>
      </c>
      <c r="C206" t="s">
        <v>10</v>
      </c>
      <c r="D206" s="2">
        <v>44927</v>
      </c>
      <c r="E206" s="2">
        <v>45291</v>
      </c>
      <c r="F206" t="s">
        <v>364</v>
      </c>
      <c r="G206" t="s">
        <v>365</v>
      </c>
      <c r="H206">
        <v>-70865</v>
      </c>
      <c r="I206" t="s">
        <v>13</v>
      </c>
    </row>
    <row r="207" spans="1:9" x14ac:dyDescent="0.35">
      <c r="A207">
        <v>5625290</v>
      </c>
      <c r="B207" t="s">
        <v>9</v>
      </c>
      <c r="C207" t="s">
        <v>10</v>
      </c>
      <c r="D207" s="2">
        <v>44927</v>
      </c>
      <c r="E207" s="2">
        <v>45291</v>
      </c>
      <c r="F207" t="s">
        <v>366</v>
      </c>
      <c r="G207" t="s">
        <v>363</v>
      </c>
      <c r="H207">
        <v>-1562424</v>
      </c>
      <c r="I207" t="s">
        <v>13</v>
      </c>
    </row>
    <row r="208" spans="1:9" x14ac:dyDescent="0.35">
      <c r="A208">
        <v>5625291</v>
      </c>
      <c r="B208" t="s">
        <v>9</v>
      </c>
      <c r="C208" t="s">
        <v>10</v>
      </c>
      <c r="D208" s="2">
        <v>44927</v>
      </c>
      <c r="E208" s="2">
        <v>45291</v>
      </c>
      <c r="F208" t="s">
        <v>367</v>
      </c>
      <c r="G208" t="s">
        <v>368</v>
      </c>
      <c r="H208">
        <v>-422012</v>
      </c>
      <c r="I208" t="s">
        <v>13</v>
      </c>
    </row>
    <row r="209" spans="1:9" x14ac:dyDescent="0.35">
      <c r="A209">
        <v>5625292</v>
      </c>
      <c r="B209" t="s">
        <v>9</v>
      </c>
      <c r="C209" t="s">
        <v>10</v>
      </c>
      <c r="D209" s="2">
        <v>44927</v>
      </c>
      <c r="E209" s="2">
        <v>45291</v>
      </c>
      <c r="F209" t="s">
        <v>369</v>
      </c>
      <c r="G209" t="s">
        <v>370</v>
      </c>
      <c r="H209">
        <v>-1988986</v>
      </c>
      <c r="I209" t="s">
        <v>13</v>
      </c>
    </row>
    <row r="210" spans="1:9" x14ac:dyDescent="0.35">
      <c r="A210">
        <v>5625293</v>
      </c>
      <c r="B210" t="s">
        <v>9</v>
      </c>
      <c r="C210" t="s">
        <v>10</v>
      </c>
      <c r="D210" s="2">
        <v>44927</v>
      </c>
      <c r="E210" s="2">
        <v>45291</v>
      </c>
      <c r="F210" t="s">
        <v>371</v>
      </c>
      <c r="G210" t="s">
        <v>372</v>
      </c>
      <c r="H210">
        <v>-95881</v>
      </c>
      <c r="I210" t="s">
        <v>13</v>
      </c>
    </row>
    <row r="211" spans="1:9" x14ac:dyDescent="0.35">
      <c r="A211">
        <v>5625294</v>
      </c>
      <c r="B211" t="s">
        <v>9</v>
      </c>
      <c r="C211" t="s">
        <v>10</v>
      </c>
      <c r="D211" s="2">
        <v>44927</v>
      </c>
      <c r="E211" s="2">
        <v>45291</v>
      </c>
      <c r="F211" t="s">
        <v>373</v>
      </c>
      <c r="G211" t="s">
        <v>374</v>
      </c>
      <c r="H211">
        <v>100138</v>
      </c>
      <c r="I211" t="s">
        <v>13</v>
      </c>
    </row>
    <row r="212" spans="1:9" x14ac:dyDescent="0.35">
      <c r="A212">
        <v>5625295</v>
      </c>
      <c r="B212" t="s">
        <v>9</v>
      </c>
      <c r="C212" t="s">
        <v>10</v>
      </c>
      <c r="D212" s="2">
        <v>44927</v>
      </c>
      <c r="E212" s="2">
        <v>45291</v>
      </c>
      <c r="F212" t="s">
        <v>375</v>
      </c>
      <c r="G212" t="s">
        <v>376</v>
      </c>
      <c r="H212">
        <v>2056</v>
      </c>
      <c r="I212" t="s">
        <v>13</v>
      </c>
    </row>
    <row r="213" spans="1:9" x14ac:dyDescent="0.35">
      <c r="A213">
        <v>5625296</v>
      </c>
      <c r="B213" t="s">
        <v>9</v>
      </c>
      <c r="C213" t="s">
        <v>10</v>
      </c>
      <c r="D213" s="2">
        <v>44927</v>
      </c>
      <c r="E213" s="2">
        <v>45291</v>
      </c>
      <c r="F213" t="s">
        <v>377</v>
      </c>
      <c r="G213" t="s">
        <v>378</v>
      </c>
      <c r="H213">
        <v>0</v>
      </c>
      <c r="I213" t="s">
        <v>13</v>
      </c>
    </row>
    <row r="214" spans="1:9" x14ac:dyDescent="0.35">
      <c r="A214">
        <v>5625297</v>
      </c>
      <c r="B214" t="s">
        <v>9</v>
      </c>
      <c r="C214" t="s">
        <v>10</v>
      </c>
      <c r="D214" s="2">
        <v>44927</v>
      </c>
      <c r="E214" s="2">
        <v>45291</v>
      </c>
      <c r="F214" t="s">
        <v>379</v>
      </c>
      <c r="G214" t="s">
        <v>380</v>
      </c>
      <c r="H214">
        <v>98082</v>
      </c>
      <c r="I214" t="s">
        <v>13</v>
      </c>
    </row>
    <row r="215" spans="1:9" x14ac:dyDescent="0.35">
      <c r="A215">
        <v>5625298</v>
      </c>
      <c r="B215" t="s">
        <v>9</v>
      </c>
      <c r="C215" t="s">
        <v>10</v>
      </c>
      <c r="D215" s="2">
        <v>44927</v>
      </c>
      <c r="E215" s="2">
        <v>45291</v>
      </c>
      <c r="F215" t="s">
        <v>381</v>
      </c>
      <c r="G215" t="s">
        <v>382</v>
      </c>
      <c r="H215">
        <v>-196019</v>
      </c>
      <c r="I215" t="s">
        <v>13</v>
      </c>
    </row>
    <row r="216" spans="1:9" x14ac:dyDescent="0.35">
      <c r="A216">
        <v>5625299</v>
      </c>
      <c r="B216" t="s">
        <v>9</v>
      </c>
      <c r="C216" t="s">
        <v>10</v>
      </c>
      <c r="D216" s="2">
        <v>44927</v>
      </c>
      <c r="E216" s="2">
        <v>45291</v>
      </c>
      <c r="F216" t="s">
        <v>383</v>
      </c>
      <c r="G216" t="s">
        <v>376</v>
      </c>
      <c r="H216">
        <v>-8469</v>
      </c>
      <c r="I216" t="s">
        <v>13</v>
      </c>
    </row>
    <row r="217" spans="1:9" x14ac:dyDescent="0.35">
      <c r="A217">
        <v>5625300</v>
      </c>
      <c r="B217" t="s">
        <v>9</v>
      </c>
      <c r="C217" t="s">
        <v>10</v>
      </c>
      <c r="D217" s="2">
        <v>44927</v>
      </c>
      <c r="E217" s="2">
        <v>45291</v>
      </c>
      <c r="F217" t="s">
        <v>384</v>
      </c>
      <c r="G217" t="s">
        <v>385</v>
      </c>
      <c r="H217">
        <v>0</v>
      </c>
      <c r="I217" t="s">
        <v>13</v>
      </c>
    </row>
    <row r="218" spans="1:9" x14ac:dyDescent="0.35">
      <c r="A218">
        <v>5625301</v>
      </c>
      <c r="B218" t="s">
        <v>9</v>
      </c>
      <c r="C218" t="s">
        <v>10</v>
      </c>
      <c r="D218" s="2">
        <v>44927</v>
      </c>
      <c r="E218" s="2">
        <v>45291</v>
      </c>
      <c r="F218" t="s">
        <v>386</v>
      </c>
      <c r="G218" t="s">
        <v>387</v>
      </c>
      <c r="H218">
        <v>-187550</v>
      </c>
      <c r="I218" t="s">
        <v>13</v>
      </c>
    </row>
    <row r="219" spans="1:9" x14ac:dyDescent="0.35">
      <c r="A219">
        <v>5625302</v>
      </c>
      <c r="B219" t="s">
        <v>9</v>
      </c>
      <c r="C219" t="s">
        <v>10</v>
      </c>
      <c r="D219" s="2">
        <v>44927</v>
      </c>
      <c r="E219" s="2">
        <v>45291</v>
      </c>
      <c r="F219" t="s">
        <v>388</v>
      </c>
      <c r="G219" t="s">
        <v>389</v>
      </c>
      <c r="H219">
        <v>-2084867</v>
      </c>
      <c r="I219" t="s">
        <v>13</v>
      </c>
    </row>
    <row r="220" spans="1:9" x14ac:dyDescent="0.35">
      <c r="A220">
        <v>5625303</v>
      </c>
      <c r="B220" t="s">
        <v>9</v>
      </c>
      <c r="C220" t="s">
        <v>10</v>
      </c>
      <c r="D220" s="2">
        <v>44927</v>
      </c>
      <c r="E220" s="2">
        <v>45291</v>
      </c>
      <c r="F220" t="s">
        <v>390</v>
      </c>
      <c r="G220" t="s">
        <v>391</v>
      </c>
      <c r="H220">
        <v>217383</v>
      </c>
      <c r="I220" t="s">
        <v>13</v>
      </c>
    </row>
    <row r="221" spans="1:9" x14ac:dyDescent="0.35">
      <c r="A221">
        <v>5625304</v>
      </c>
      <c r="B221" t="s">
        <v>9</v>
      </c>
      <c r="C221" t="s">
        <v>10</v>
      </c>
      <c r="D221" s="2">
        <v>44927</v>
      </c>
      <c r="E221" s="2">
        <v>45291</v>
      </c>
      <c r="F221" t="s">
        <v>392</v>
      </c>
      <c r="G221" t="s">
        <v>393</v>
      </c>
      <c r="H221">
        <v>7190</v>
      </c>
      <c r="I221" t="s">
        <v>13</v>
      </c>
    </row>
    <row r="222" spans="1:9" x14ac:dyDescent="0.35">
      <c r="A222">
        <v>5625305</v>
      </c>
      <c r="B222" t="s">
        <v>9</v>
      </c>
      <c r="C222" t="s">
        <v>10</v>
      </c>
      <c r="D222" s="2">
        <v>44927</v>
      </c>
      <c r="E222" s="2">
        <v>45291</v>
      </c>
      <c r="F222" t="s">
        <v>394</v>
      </c>
      <c r="G222" t="s">
        <v>395</v>
      </c>
      <c r="H222">
        <v>210193</v>
      </c>
      <c r="I222" t="s">
        <v>13</v>
      </c>
    </row>
    <row r="223" spans="1:9" x14ac:dyDescent="0.35">
      <c r="A223">
        <v>5625306</v>
      </c>
      <c r="B223" t="s">
        <v>9</v>
      </c>
      <c r="C223" t="s">
        <v>10</v>
      </c>
      <c r="D223" s="2">
        <v>44927</v>
      </c>
      <c r="E223" s="2">
        <v>45291</v>
      </c>
      <c r="F223" t="s">
        <v>396</v>
      </c>
      <c r="G223" t="s">
        <v>397</v>
      </c>
      <c r="H223">
        <v>-1867484</v>
      </c>
      <c r="I223" t="s">
        <v>13</v>
      </c>
    </row>
    <row r="224" spans="1:9" x14ac:dyDescent="0.35">
      <c r="A224">
        <v>5625307</v>
      </c>
      <c r="B224" t="s">
        <v>9</v>
      </c>
      <c r="C224" t="s">
        <v>10</v>
      </c>
      <c r="D224" s="2">
        <v>44927</v>
      </c>
      <c r="E224" s="2">
        <v>45291</v>
      </c>
      <c r="F224" t="s">
        <v>398</v>
      </c>
      <c r="G224" t="s">
        <v>399</v>
      </c>
      <c r="H224">
        <v>0</v>
      </c>
      <c r="I224" t="s">
        <v>13</v>
      </c>
    </row>
    <row r="225" spans="1:9" x14ac:dyDescent="0.35">
      <c r="A225">
        <v>5625308</v>
      </c>
      <c r="B225" t="s">
        <v>9</v>
      </c>
      <c r="C225" t="s">
        <v>10</v>
      </c>
      <c r="D225" s="2">
        <v>44927</v>
      </c>
      <c r="E225" s="2">
        <v>45291</v>
      </c>
      <c r="F225" t="s">
        <v>400</v>
      </c>
      <c r="G225" t="s">
        <v>401</v>
      </c>
      <c r="H225">
        <v>0</v>
      </c>
      <c r="I225" t="s">
        <v>13</v>
      </c>
    </row>
    <row r="226" spans="1:9" x14ac:dyDescent="0.35">
      <c r="A226">
        <v>5625309</v>
      </c>
      <c r="B226" t="s">
        <v>9</v>
      </c>
      <c r="C226" t="s">
        <v>10</v>
      </c>
      <c r="D226" s="2">
        <v>44927</v>
      </c>
      <c r="E226" s="2">
        <v>45291</v>
      </c>
      <c r="F226" t="s">
        <v>402</v>
      </c>
      <c r="G226" t="s">
        <v>403</v>
      </c>
      <c r="H226">
        <v>0</v>
      </c>
      <c r="I226" t="s">
        <v>13</v>
      </c>
    </row>
    <row r="227" spans="1:9" x14ac:dyDescent="0.35">
      <c r="A227">
        <v>5625310</v>
      </c>
      <c r="B227" t="s">
        <v>9</v>
      </c>
      <c r="C227" t="s">
        <v>10</v>
      </c>
      <c r="D227" s="2">
        <v>44927</v>
      </c>
      <c r="E227" s="2">
        <v>45291</v>
      </c>
      <c r="F227" t="s">
        <v>404</v>
      </c>
      <c r="G227" t="s">
        <v>405</v>
      </c>
      <c r="H227">
        <v>0</v>
      </c>
      <c r="I227" t="s">
        <v>13</v>
      </c>
    </row>
    <row r="228" spans="1:9" x14ac:dyDescent="0.35">
      <c r="A228">
        <v>5625311</v>
      </c>
      <c r="B228" t="s">
        <v>9</v>
      </c>
      <c r="C228" t="s">
        <v>10</v>
      </c>
      <c r="D228" s="2">
        <v>44927</v>
      </c>
      <c r="E228" s="2">
        <v>45291</v>
      </c>
      <c r="F228" t="s">
        <v>406</v>
      </c>
      <c r="G228" t="s">
        <v>407</v>
      </c>
      <c r="H228">
        <v>-1867484</v>
      </c>
      <c r="I228" t="s">
        <v>13</v>
      </c>
    </row>
    <row r="229" spans="1:9" x14ac:dyDescent="0.35">
      <c r="A229">
        <v>5625312</v>
      </c>
      <c r="B229" t="s">
        <v>9</v>
      </c>
      <c r="C229" t="s">
        <v>10</v>
      </c>
      <c r="D229" s="2">
        <v>44927</v>
      </c>
      <c r="E229" s="2">
        <v>45291</v>
      </c>
      <c r="F229" t="s">
        <v>408</v>
      </c>
      <c r="G229" t="s">
        <v>409</v>
      </c>
      <c r="H229">
        <v>-1866620</v>
      </c>
      <c r="I229" t="s">
        <v>13</v>
      </c>
    </row>
    <row r="230" spans="1:9" x14ac:dyDescent="0.35">
      <c r="A230">
        <v>5625313</v>
      </c>
      <c r="B230" t="s">
        <v>9</v>
      </c>
      <c r="C230" t="s">
        <v>10</v>
      </c>
      <c r="D230" s="2">
        <v>44927</v>
      </c>
      <c r="E230" s="2">
        <v>45291</v>
      </c>
      <c r="F230" t="s">
        <v>410</v>
      </c>
      <c r="G230" t="s">
        <v>411</v>
      </c>
      <c r="H230">
        <v>-864</v>
      </c>
      <c r="I230" t="s">
        <v>13</v>
      </c>
    </row>
    <row r="231" spans="1:9" x14ac:dyDescent="0.35">
      <c r="A231">
        <v>5625314</v>
      </c>
      <c r="B231" t="s">
        <v>9</v>
      </c>
      <c r="C231" t="s">
        <v>10</v>
      </c>
      <c r="D231" s="2">
        <v>44927</v>
      </c>
      <c r="E231" s="2">
        <v>45291</v>
      </c>
      <c r="F231" t="s">
        <v>412</v>
      </c>
      <c r="G231" t="s">
        <v>413</v>
      </c>
      <c r="H231">
        <v>0</v>
      </c>
      <c r="I231" t="s">
        <v>13</v>
      </c>
    </row>
    <row r="232" spans="1:9" x14ac:dyDescent="0.35">
      <c r="A232">
        <v>5625315</v>
      </c>
      <c r="B232" t="s">
        <v>9</v>
      </c>
      <c r="C232" t="s">
        <v>10</v>
      </c>
      <c r="D232" s="2">
        <v>44927</v>
      </c>
      <c r="E232" s="2">
        <v>45291</v>
      </c>
      <c r="F232" t="s">
        <v>414</v>
      </c>
      <c r="G232" t="s">
        <v>415</v>
      </c>
      <c r="H232">
        <v>0</v>
      </c>
      <c r="I232" t="s">
        <v>13</v>
      </c>
    </row>
    <row r="233" spans="1:9" x14ac:dyDescent="0.35">
      <c r="A233">
        <v>5625316</v>
      </c>
      <c r="B233" t="s">
        <v>9</v>
      </c>
      <c r="C233" t="s">
        <v>10</v>
      </c>
      <c r="D233" s="2">
        <v>44927</v>
      </c>
      <c r="E233" s="2">
        <v>45291</v>
      </c>
      <c r="F233" t="s">
        <v>416</v>
      </c>
      <c r="G233" t="s">
        <v>417</v>
      </c>
      <c r="H233">
        <v>0</v>
      </c>
      <c r="I233" t="s">
        <v>13</v>
      </c>
    </row>
    <row r="234" spans="1:9" x14ac:dyDescent="0.35">
      <c r="A234">
        <v>5625317</v>
      </c>
      <c r="B234" t="s">
        <v>9</v>
      </c>
      <c r="C234" t="s">
        <v>10</v>
      </c>
      <c r="D234" s="2">
        <v>44927</v>
      </c>
      <c r="E234" s="2">
        <v>45291</v>
      </c>
      <c r="F234" t="s">
        <v>418</v>
      </c>
      <c r="G234" t="s">
        <v>419</v>
      </c>
      <c r="H234">
        <v>371568</v>
      </c>
      <c r="I234" t="s">
        <v>13</v>
      </c>
    </row>
    <row r="235" spans="1:9" x14ac:dyDescent="0.35">
      <c r="A235">
        <v>5625318</v>
      </c>
      <c r="B235" t="s">
        <v>9</v>
      </c>
      <c r="C235" t="s">
        <v>10</v>
      </c>
      <c r="D235" s="2">
        <v>44927</v>
      </c>
      <c r="E235" s="2">
        <v>45291</v>
      </c>
      <c r="F235" t="s">
        <v>420</v>
      </c>
      <c r="G235" t="s">
        <v>421</v>
      </c>
      <c r="H235">
        <v>311827</v>
      </c>
      <c r="I235" t="s">
        <v>13</v>
      </c>
    </row>
    <row r="236" spans="1:9" x14ac:dyDescent="0.35">
      <c r="A236">
        <v>5625319</v>
      </c>
      <c r="B236" t="s">
        <v>9</v>
      </c>
      <c r="C236" t="s">
        <v>10</v>
      </c>
      <c r="D236" s="2">
        <v>44927</v>
      </c>
      <c r="E236" s="2">
        <v>45291</v>
      </c>
      <c r="F236" t="s">
        <v>422</v>
      </c>
      <c r="G236" t="s">
        <v>423</v>
      </c>
      <c r="H236">
        <v>-1867484</v>
      </c>
      <c r="I236" t="s">
        <v>13</v>
      </c>
    </row>
    <row r="237" spans="1:9" x14ac:dyDescent="0.35">
      <c r="A237">
        <v>5625320</v>
      </c>
      <c r="B237" t="s">
        <v>9</v>
      </c>
      <c r="C237" t="s">
        <v>10</v>
      </c>
      <c r="D237" s="2">
        <v>44927</v>
      </c>
      <c r="E237" s="2">
        <v>45291</v>
      </c>
      <c r="F237" t="s">
        <v>424</v>
      </c>
      <c r="G237" t="s">
        <v>425</v>
      </c>
      <c r="H237">
        <v>167918</v>
      </c>
      <c r="I237" t="s">
        <v>13</v>
      </c>
    </row>
    <row r="238" spans="1:9" x14ac:dyDescent="0.35">
      <c r="A238">
        <v>5625321</v>
      </c>
      <c r="B238" t="s">
        <v>9</v>
      </c>
      <c r="C238" t="s">
        <v>10</v>
      </c>
      <c r="D238" s="2">
        <v>44927</v>
      </c>
      <c r="E238" s="2">
        <v>45291</v>
      </c>
      <c r="F238" t="s">
        <v>426</v>
      </c>
      <c r="G238" t="s">
        <v>427</v>
      </c>
      <c r="H238">
        <v>9865</v>
      </c>
      <c r="I238" t="s">
        <v>13</v>
      </c>
    </row>
    <row r="239" spans="1:9" x14ac:dyDescent="0.35">
      <c r="A239">
        <v>5625322</v>
      </c>
      <c r="B239" t="s">
        <v>9</v>
      </c>
      <c r="C239" t="s">
        <v>10</v>
      </c>
      <c r="D239" s="2">
        <v>44927</v>
      </c>
      <c r="E239" s="2">
        <v>45291</v>
      </c>
      <c r="F239" t="s">
        <v>428</v>
      </c>
      <c r="G239" t="s">
        <v>429</v>
      </c>
      <c r="H239">
        <v>134789</v>
      </c>
      <c r="I239" t="s">
        <v>13</v>
      </c>
    </row>
    <row r="240" spans="1:9" x14ac:dyDescent="0.35">
      <c r="A240">
        <v>5625323</v>
      </c>
      <c r="B240" t="s">
        <v>9</v>
      </c>
      <c r="C240" t="s">
        <v>10</v>
      </c>
      <c r="D240" s="2">
        <v>44927</v>
      </c>
      <c r="E240" s="2">
        <v>45291</v>
      </c>
      <c r="F240" t="s">
        <v>430</v>
      </c>
      <c r="G240" t="s">
        <v>431</v>
      </c>
      <c r="H240">
        <v>23814</v>
      </c>
      <c r="I240" t="s">
        <v>13</v>
      </c>
    </row>
    <row r="241" spans="1:9" x14ac:dyDescent="0.35">
      <c r="A241">
        <v>5625324</v>
      </c>
      <c r="B241" t="s">
        <v>9</v>
      </c>
      <c r="C241" t="s">
        <v>10</v>
      </c>
      <c r="D241" s="2">
        <v>44927</v>
      </c>
      <c r="E241" s="2">
        <v>45291</v>
      </c>
      <c r="F241" t="s">
        <v>432</v>
      </c>
      <c r="G241" t="s">
        <v>433</v>
      </c>
      <c r="H241">
        <v>-217383</v>
      </c>
      <c r="I241" t="s">
        <v>13</v>
      </c>
    </row>
    <row r="242" spans="1:9" x14ac:dyDescent="0.35">
      <c r="A242">
        <v>5625325</v>
      </c>
      <c r="B242" t="s">
        <v>9</v>
      </c>
      <c r="C242" t="s">
        <v>10</v>
      </c>
      <c r="D242" s="2">
        <v>44927</v>
      </c>
      <c r="E242" s="2">
        <v>45291</v>
      </c>
      <c r="F242" t="s">
        <v>434</v>
      </c>
      <c r="G242" t="s">
        <v>435</v>
      </c>
      <c r="H242">
        <v>29287</v>
      </c>
      <c r="I242" t="s">
        <v>13</v>
      </c>
    </row>
    <row r="243" spans="1:9" x14ac:dyDescent="0.35">
      <c r="A243">
        <v>5625326</v>
      </c>
      <c r="B243" t="s">
        <v>9</v>
      </c>
      <c r="C243" t="s">
        <v>10</v>
      </c>
      <c r="D243" s="2">
        <v>44927</v>
      </c>
      <c r="E243" s="2">
        <v>45291</v>
      </c>
      <c r="F243" t="s">
        <v>436</v>
      </c>
      <c r="G243" t="s">
        <v>437</v>
      </c>
      <c r="H243">
        <v>107428</v>
      </c>
      <c r="I243" t="s">
        <v>13</v>
      </c>
    </row>
    <row r="244" spans="1:9" x14ac:dyDescent="0.35">
      <c r="A244">
        <v>5625327</v>
      </c>
      <c r="B244" t="s">
        <v>9</v>
      </c>
      <c r="C244" t="s">
        <v>10</v>
      </c>
      <c r="D244" s="2">
        <v>44927</v>
      </c>
      <c r="E244" s="2">
        <v>45291</v>
      </c>
      <c r="F244" t="s">
        <v>438</v>
      </c>
      <c r="G244" t="s">
        <v>439</v>
      </c>
      <c r="H244">
        <v>20810</v>
      </c>
      <c r="I244" t="s">
        <v>13</v>
      </c>
    </row>
    <row r="245" spans="1:9" x14ac:dyDescent="0.35">
      <c r="A245">
        <v>5625328</v>
      </c>
      <c r="B245" t="s">
        <v>9</v>
      </c>
      <c r="C245" t="s">
        <v>10</v>
      </c>
      <c r="D245" s="2">
        <v>44927</v>
      </c>
      <c r="E245" s="2">
        <v>45291</v>
      </c>
      <c r="F245" t="s">
        <v>440</v>
      </c>
      <c r="G245" t="s">
        <v>441</v>
      </c>
      <c r="H245">
        <v>-18532</v>
      </c>
      <c r="I245" t="s">
        <v>13</v>
      </c>
    </row>
    <row r="246" spans="1:9" x14ac:dyDescent="0.35">
      <c r="A246">
        <v>5625329</v>
      </c>
      <c r="B246" t="s">
        <v>9</v>
      </c>
      <c r="C246" t="s">
        <v>10</v>
      </c>
      <c r="D246" s="2">
        <v>44927</v>
      </c>
      <c r="E246" s="2">
        <v>45291</v>
      </c>
      <c r="F246" t="s">
        <v>442</v>
      </c>
      <c r="G246" t="s">
        <v>220</v>
      </c>
      <c r="H246">
        <v>-677</v>
      </c>
      <c r="I246" t="s">
        <v>13</v>
      </c>
    </row>
    <row r="247" spans="1:9" x14ac:dyDescent="0.35">
      <c r="A247">
        <v>5625330</v>
      </c>
      <c r="B247" t="s">
        <v>9</v>
      </c>
      <c r="C247" t="s">
        <v>10</v>
      </c>
      <c r="D247" s="2">
        <v>44927</v>
      </c>
      <c r="E247" s="2">
        <v>45291</v>
      </c>
      <c r="F247" t="s">
        <v>443</v>
      </c>
      <c r="G247" t="s">
        <v>444</v>
      </c>
      <c r="H247">
        <v>268733</v>
      </c>
      <c r="I247" t="s">
        <v>13</v>
      </c>
    </row>
    <row r="248" spans="1:9" x14ac:dyDescent="0.35">
      <c r="A248">
        <v>5625331</v>
      </c>
      <c r="B248" t="s">
        <v>9</v>
      </c>
      <c r="C248" t="s">
        <v>10</v>
      </c>
      <c r="D248" s="2">
        <v>44927</v>
      </c>
      <c r="E248" s="2">
        <v>45291</v>
      </c>
      <c r="F248" t="s">
        <v>445</v>
      </c>
      <c r="G248" t="s">
        <v>446</v>
      </c>
      <c r="H248">
        <v>0</v>
      </c>
      <c r="I248" t="s">
        <v>13</v>
      </c>
    </row>
    <row r="249" spans="1:9" x14ac:dyDescent="0.35">
      <c r="A249">
        <v>5625332</v>
      </c>
      <c r="B249" t="s">
        <v>9</v>
      </c>
      <c r="C249" t="s">
        <v>10</v>
      </c>
      <c r="D249" s="2">
        <v>44927</v>
      </c>
      <c r="E249" s="2">
        <v>45291</v>
      </c>
      <c r="F249" t="s">
        <v>447</v>
      </c>
      <c r="G249" t="s">
        <v>448</v>
      </c>
      <c r="H249">
        <v>1192179</v>
      </c>
      <c r="I249" t="s">
        <v>13</v>
      </c>
    </row>
    <row r="250" spans="1:9" x14ac:dyDescent="0.35">
      <c r="A250">
        <v>5625333</v>
      </c>
      <c r="B250" t="s">
        <v>9</v>
      </c>
      <c r="C250" t="s">
        <v>10</v>
      </c>
      <c r="D250" s="2">
        <v>44927</v>
      </c>
      <c r="E250" s="2">
        <v>45291</v>
      </c>
      <c r="F250" t="s">
        <v>449</v>
      </c>
      <c r="G250" t="s">
        <v>450</v>
      </c>
      <c r="H250">
        <v>15858</v>
      </c>
      <c r="I250" t="s">
        <v>13</v>
      </c>
    </row>
    <row r="251" spans="1:9" x14ac:dyDescent="0.35">
      <c r="A251">
        <v>5625334</v>
      </c>
      <c r="B251" t="s">
        <v>9</v>
      </c>
      <c r="C251" t="s">
        <v>10</v>
      </c>
      <c r="D251" s="2">
        <v>44927</v>
      </c>
      <c r="E251" s="2">
        <v>45291</v>
      </c>
      <c r="F251" t="s">
        <v>451</v>
      </c>
      <c r="G251" t="s">
        <v>452</v>
      </c>
      <c r="H251">
        <v>43332</v>
      </c>
      <c r="I251" t="s">
        <v>13</v>
      </c>
    </row>
    <row r="252" spans="1:9" x14ac:dyDescent="0.35">
      <c r="A252">
        <v>5625335</v>
      </c>
      <c r="B252" t="s">
        <v>9</v>
      </c>
      <c r="C252" t="s">
        <v>10</v>
      </c>
      <c r="D252" s="2">
        <v>44927</v>
      </c>
      <c r="E252" s="2">
        <v>45291</v>
      </c>
      <c r="F252" t="s">
        <v>453</v>
      </c>
      <c r="G252" t="s">
        <v>454</v>
      </c>
      <c r="H252">
        <v>-437</v>
      </c>
      <c r="I252" t="s">
        <v>13</v>
      </c>
    </row>
    <row r="253" spans="1:9" x14ac:dyDescent="0.35">
      <c r="A253">
        <v>5625336</v>
      </c>
      <c r="B253" t="s">
        <v>9</v>
      </c>
      <c r="C253" t="s">
        <v>10</v>
      </c>
      <c r="D253" s="2">
        <v>44927</v>
      </c>
      <c r="E253" s="2">
        <v>45291</v>
      </c>
      <c r="F253" t="s">
        <v>455</v>
      </c>
      <c r="G253" t="s">
        <v>456</v>
      </c>
      <c r="H253">
        <v>-19685</v>
      </c>
      <c r="I253" t="s">
        <v>13</v>
      </c>
    </row>
    <row r="254" spans="1:9" x14ac:dyDescent="0.35">
      <c r="A254">
        <v>5625337</v>
      </c>
      <c r="B254" t="s">
        <v>9</v>
      </c>
      <c r="C254" t="s">
        <v>10</v>
      </c>
      <c r="D254" s="2">
        <v>44927</v>
      </c>
      <c r="E254" s="2">
        <v>45291</v>
      </c>
      <c r="F254" t="s">
        <v>457</v>
      </c>
      <c r="G254" t="s">
        <v>458</v>
      </c>
      <c r="H254">
        <v>422012</v>
      </c>
      <c r="I254" t="s">
        <v>13</v>
      </c>
    </row>
    <row r="255" spans="1:9" x14ac:dyDescent="0.35">
      <c r="A255">
        <v>5625338</v>
      </c>
      <c r="B255" t="s">
        <v>9</v>
      </c>
      <c r="C255" t="s">
        <v>10</v>
      </c>
      <c r="D255" s="2">
        <v>44927</v>
      </c>
      <c r="E255" s="2">
        <v>45291</v>
      </c>
      <c r="F255" t="s">
        <v>459</v>
      </c>
      <c r="G255" t="s">
        <v>460</v>
      </c>
      <c r="H255">
        <v>59741</v>
      </c>
      <c r="I255" t="s">
        <v>13</v>
      </c>
    </row>
    <row r="256" spans="1:9" x14ac:dyDescent="0.35">
      <c r="A256">
        <v>5625339</v>
      </c>
      <c r="B256" t="s">
        <v>9</v>
      </c>
      <c r="C256" t="s">
        <v>10</v>
      </c>
      <c r="D256" s="2">
        <v>44927</v>
      </c>
      <c r="E256" s="2">
        <v>45291</v>
      </c>
      <c r="F256" t="s">
        <v>461</v>
      </c>
      <c r="G256" t="s">
        <v>462</v>
      </c>
      <c r="H256">
        <v>166164</v>
      </c>
      <c r="I256" t="s">
        <v>13</v>
      </c>
    </row>
    <row r="257" spans="1:9" x14ac:dyDescent="0.35">
      <c r="A257">
        <v>5625340</v>
      </c>
      <c r="B257" t="s">
        <v>9</v>
      </c>
      <c r="C257" t="s">
        <v>10</v>
      </c>
      <c r="D257" s="2">
        <v>44927</v>
      </c>
      <c r="E257" s="2">
        <v>45291</v>
      </c>
      <c r="F257" t="s">
        <v>463</v>
      </c>
      <c r="G257" t="s">
        <v>37</v>
      </c>
      <c r="H257">
        <v>277585</v>
      </c>
      <c r="I257" t="s">
        <v>13</v>
      </c>
    </row>
    <row r="258" spans="1:9" x14ac:dyDescent="0.35">
      <c r="A258">
        <v>5625341</v>
      </c>
      <c r="B258" t="s">
        <v>9</v>
      </c>
      <c r="C258" t="s">
        <v>10</v>
      </c>
      <c r="D258" s="2">
        <v>44927</v>
      </c>
      <c r="E258" s="2">
        <v>45291</v>
      </c>
      <c r="F258" t="s">
        <v>464</v>
      </c>
      <c r="G258" t="s">
        <v>45</v>
      </c>
      <c r="H258">
        <v>3692</v>
      </c>
      <c r="I258" t="s">
        <v>13</v>
      </c>
    </row>
    <row r="259" spans="1:9" x14ac:dyDescent="0.35">
      <c r="A259">
        <v>5625342</v>
      </c>
      <c r="B259" t="s">
        <v>9</v>
      </c>
      <c r="C259" t="s">
        <v>10</v>
      </c>
      <c r="D259" s="2">
        <v>44927</v>
      </c>
      <c r="E259" s="2">
        <v>45291</v>
      </c>
      <c r="F259" t="s">
        <v>465</v>
      </c>
      <c r="G259" t="s">
        <v>466</v>
      </c>
      <c r="H259">
        <v>141462</v>
      </c>
      <c r="I259" t="s">
        <v>13</v>
      </c>
    </row>
    <row r="260" spans="1:9" x14ac:dyDescent="0.35">
      <c r="A260">
        <v>5625343</v>
      </c>
      <c r="B260" t="s">
        <v>9</v>
      </c>
      <c r="C260" t="s">
        <v>10</v>
      </c>
      <c r="D260" s="2">
        <v>44927</v>
      </c>
      <c r="E260" s="2">
        <v>45291</v>
      </c>
      <c r="F260" t="s">
        <v>467</v>
      </c>
      <c r="G260" t="s">
        <v>148</v>
      </c>
      <c r="H260">
        <v>-294782</v>
      </c>
      <c r="I260" t="s">
        <v>13</v>
      </c>
    </row>
    <row r="261" spans="1:9" x14ac:dyDescent="0.35">
      <c r="A261">
        <v>5625344</v>
      </c>
      <c r="B261" t="s">
        <v>9</v>
      </c>
      <c r="C261" t="s">
        <v>10</v>
      </c>
      <c r="D261" s="2">
        <v>44927</v>
      </c>
      <c r="E261" s="2">
        <v>45291</v>
      </c>
      <c r="F261" t="s">
        <v>468</v>
      </c>
      <c r="G261" t="s">
        <v>469</v>
      </c>
      <c r="H261">
        <v>-14143</v>
      </c>
      <c r="I261" t="s">
        <v>13</v>
      </c>
    </row>
    <row r="262" spans="1:9" x14ac:dyDescent="0.35">
      <c r="A262">
        <v>5625345</v>
      </c>
      <c r="B262" t="s">
        <v>9</v>
      </c>
      <c r="C262" t="s">
        <v>10</v>
      </c>
      <c r="D262" s="2">
        <v>44927</v>
      </c>
      <c r="E262" s="2">
        <v>45291</v>
      </c>
      <c r="F262" t="s">
        <v>470</v>
      </c>
      <c r="G262" t="s">
        <v>471</v>
      </c>
      <c r="H262">
        <v>-20725</v>
      </c>
      <c r="I262" t="s">
        <v>13</v>
      </c>
    </row>
    <row r="263" spans="1:9" x14ac:dyDescent="0.35">
      <c r="A263">
        <v>5625346</v>
      </c>
      <c r="B263" t="s">
        <v>9</v>
      </c>
      <c r="C263" t="s">
        <v>10</v>
      </c>
      <c r="D263" s="2">
        <v>44927</v>
      </c>
      <c r="E263" s="2">
        <v>45291</v>
      </c>
      <c r="F263" t="s">
        <v>472</v>
      </c>
      <c r="G263" t="s">
        <v>473</v>
      </c>
      <c r="H263">
        <v>-11560</v>
      </c>
      <c r="I263" t="s">
        <v>13</v>
      </c>
    </row>
    <row r="264" spans="1:9" x14ac:dyDescent="0.35">
      <c r="A264">
        <v>5625347</v>
      </c>
      <c r="B264" t="s">
        <v>9</v>
      </c>
      <c r="C264" t="s">
        <v>10</v>
      </c>
      <c r="D264" s="2">
        <v>44927</v>
      </c>
      <c r="E264" s="2">
        <v>45291</v>
      </c>
      <c r="F264" t="s">
        <v>474</v>
      </c>
      <c r="G264" t="s">
        <v>475</v>
      </c>
      <c r="H264">
        <v>0</v>
      </c>
      <c r="I264" t="s">
        <v>13</v>
      </c>
    </row>
    <row r="265" spans="1:9" x14ac:dyDescent="0.35">
      <c r="A265">
        <v>5625348</v>
      </c>
      <c r="B265" t="s">
        <v>9</v>
      </c>
      <c r="C265" t="s">
        <v>10</v>
      </c>
      <c r="D265" s="2">
        <v>44927</v>
      </c>
      <c r="E265" s="2">
        <v>45291</v>
      </c>
      <c r="F265" t="s">
        <v>476</v>
      </c>
      <c r="G265" t="s">
        <v>477</v>
      </c>
      <c r="H265">
        <v>-144264</v>
      </c>
      <c r="I265" t="s">
        <v>13</v>
      </c>
    </row>
    <row r="266" spans="1:9" x14ac:dyDescent="0.35">
      <c r="A266">
        <v>5625349</v>
      </c>
      <c r="B266" t="s">
        <v>9</v>
      </c>
      <c r="C266" t="s">
        <v>10</v>
      </c>
      <c r="D266" s="2">
        <v>44927</v>
      </c>
      <c r="E266" s="2">
        <v>45291</v>
      </c>
      <c r="F266" t="s">
        <v>478</v>
      </c>
      <c r="G266" t="s">
        <v>479</v>
      </c>
      <c r="H266">
        <v>-27134</v>
      </c>
      <c r="I266" t="s">
        <v>13</v>
      </c>
    </row>
    <row r="267" spans="1:9" x14ac:dyDescent="0.35">
      <c r="A267">
        <v>5625350</v>
      </c>
      <c r="B267" t="s">
        <v>9</v>
      </c>
      <c r="C267" t="s">
        <v>10</v>
      </c>
      <c r="D267" s="2">
        <v>44927</v>
      </c>
      <c r="E267" s="2">
        <v>45291</v>
      </c>
      <c r="F267" t="s">
        <v>480</v>
      </c>
      <c r="G267" t="s">
        <v>202</v>
      </c>
      <c r="H267">
        <v>-57455</v>
      </c>
      <c r="I267" t="s">
        <v>13</v>
      </c>
    </row>
    <row r="268" spans="1:9" x14ac:dyDescent="0.35">
      <c r="A268">
        <v>5625351</v>
      </c>
      <c r="B268" t="s">
        <v>9</v>
      </c>
      <c r="C268" t="s">
        <v>10</v>
      </c>
      <c r="D268" s="2">
        <v>44927</v>
      </c>
      <c r="E268" s="2">
        <v>45291</v>
      </c>
      <c r="F268" t="s">
        <v>481</v>
      </c>
      <c r="G268" t="s">
        <v>482</v>
      </c>
      <c r="H268">
        <v>0</v>
      </c>
      <c r="I268" t="s">
        <v>13</v>
      </c>
    </row>
    <row r="269" spans="1:9" x14ac:dyDescent="0.35">
      <c r="A269">
        <v>5625352</v>
      </c>
      <c r="B269" t="s">
        <v>9</v>
      </c>
      <c r="C269" t="s">
        <v>10</v>
      </c>
      <c r="D269" s="2">
        <v>44927</v>
      </c>
      <c r="E269" s="2">
        <v>45291</v>
      </c>
      <c r="F269" t="s">
        <v>483</v>
      </c>
      <c r="G269" t="s">
        <v>484</v>
      </c>
      <c r="H269">
        <v>0</v>
      </c>
      <c r="I269" t="s">
        <v>13</v>
      </c>
    </row>
    <row r="270" spans="1:9" x14ac:dyDescent="0.35">
      <c r="A270">
        <v>5625353</v>
      </c>
      <c r="B270" t="s">
        <v>9</v>
      </c>
      <c r="C270" t="s">
        <v>10</v>
      </c>
      <c r="D270" s="2">
        <v>44927</v>
      </c>
      <c r="E270" s="2">
        <v>45291</v>
      </c>
      <c r="F270" t="s">
        <v>485</v>
      </c>
      <c r="G270" t="s">
        <v>486</v>
      </c>
      <c r="H270">
        <v>-15858</v>
      </c>
      <c r="I270" t="s">
        <v>13</v>
      </c>
    </row>
    <row r="271" spans="1:9" x14ac:dyDescent="0.35">
      <c r="A271">
        <v>5625354</v>
      </c>
      <c r="B271" t="s">
        <v>9</v>
      </c>
      <c r="C271" t="s">
        <v>10</v>
      </c>
      <c r="D271" s="2">
        <v>44927</v>
      </c>
      <c r="E271" s="2">
        <v>45291</v>
      </c>
      <c r="F271" t="s">
        <v>487</v>
      </c>
      <c r="G271" t="s">
        <v>488</v>
      </c>
      <c r="H271">
        <v>56759</v>
      </c>
      <c r="I271" t="s">
        <v>13</v>
      </c>
    </row>
    <row r="272" spans="1:9" x14ac:dyDescent="0.35">
      <c r="A272">
        <v>5625355</v>
      </c>
      <c r="B272" t="s">
        <v>9</v>
      </c>
      <c r="C272" t="s">
        <v>10</v>
      </c>
      <c r="D272" s="2">
        <v>44927</v>
      </c>
      <c r="E272" s="2">
        <v>45291</v>
      </c>
      <c r="F272" t="s">
        <v>489</v>
      </c>
      <c r="G272" t="s">
        <v>56</v>
      </c>
      <c r="H272">
        <v>0</v>
      </c>
      <c r="I272" t="s">
        <v>13</v>
      </c>
    </row>
    <row r="273" spans="1:9" x14ac:dyDescent="0.35">
      <c r="A273">
        <v>5625356</v>
      </c>
      <c r="B273" t="s">
        <v>9</v>
      </c>
      <c r="C273" t="s">
        <v>10</v>
      </c>
      <c r="D273" s="2">
        <v>44927</v>
      </c>
      <c r="E273" s="2">
        <v>45291</v>
      </c>
      <c r="F273" t="s">
        <v>490</v>
      </c>
      <c r="G273" t="s">
        <v>491</v>
      </c>
      <c r="H273">
        <v>-279574</v>
      </c>
      <c r="I273" t="s">
        <v>13</v>
      </c>
    </row>
    <row r="274" spans="1:9" x14ac:dyDescent="0.35">
      <c r="A274">
        <v>5625357</v>
      </c>
      <c r="B274" t="s">
        <v>9</v>
      </c>
      <c r="C274" t="s">
        <v>10</v>
      </c>
      <c r="D274" s="2">
        <v>44927</v>
      </c>
      <c r="E274" s="2">
        <v>45291</v>
      </c>
      <c r="F274" t="s">
        <v>492</v>
      </c>
      <c r="G274" t="s">
        <v>493</v>
      </c>
      <c r="H274">
        <v>-331993</v>
      </c>
      <c r="I274" t="s">
        <v>13</v>
      </c>
    </row>
    <row r="275" spans="1:9" x14ac:dyDescent="0.35">
      <c r="A275">
        <v>5625358</v>
      </c>
      <c r="B275" t="s">
        <v>9</v>
      </c>
      <c r="C275" t="s">
        <v>10</v>
      </c>
      <c r="D275" s="2">
        <v>44927</v>
      </c>
      <c r="E275" s="2">
        <v>45291</v>
      </c>
      <c r="F275" t="s">
        <v>494</v>
      </c>
      <c r="G275" t="s">
        <v>495</v>
      </c>
      <c r="H275">
        <v>5231</v>
      </c>
      <c r="I275" t="s">
        <v>13</v>
      </c>
    </row>
    <row r="276" spans="1:9" x14ac:dyDescent="0.35">
      <c r="A276">
        <v>5625359</v>
      </c>
      <c r="B276" t="s">
        <v>9</v>
      </c>
      <c r="C276" t="s">
        <v>10</v>
      </c>
      <c r="D276" s="2">
        <v>44927</v>
      </c>
      <c r="E276" s="2">
        <v>45291</v>
      </c>
      <c r="F276" t="s">
        <v>496</v>
      </c>
      <c r="G276" t="s">
        <v>497</v>
      </c>
      <c r="H276">
        <v>0</v>
      </c>
      <c r="I276" t="s">
        <v>13</v>
      </c>
    </row>
    <row r="277" spans="1:9" x14ac:dyDescent="0.35">
      <c r="A277">
        <v>5625360</v>
      </c>
      <c r="B277" t="s">
        <v>9</v>
      </c>
      <c r="C277" t="s">
        <v>10</v>
      </c>
      <c r="D277" s="2">
        <v>44927</v>
      </c>
      <c r="E277" s="2">
        <v>45291</v>
      </c>
      <c r="F277" t="s">
        <v>498</v>
      </c>
      <c r="G277" t="s">
        <v>499</v>
      </c>
      <c r="H277">
        <v>0</v>
      </c>
      <c r="I277" t="s">
        <v>13</v>
      </c>
    </row>
    <row r="278" spans="1:9" x14ac:dyDescent="0.35">
      <c r="A278">
        <v>5625361</v>
      </c>
      <c r="B278" t="s">
        <v>9</v>
      </c>
      <c r="C278" t="s">
        <v>10</v>
      </c>
      <c r="D278" s="2">
        <v>44927</v>
      </c>
      <c r="E278" s="2">
        <v>45291</v>
      </c>
      <c r="F278" t="s">
        <v>500</v>
      </c>
      <c r="G278" t="s">
        <v>501</v>
      </c>
      <c r="H278">
        <v>0</v>
      </c>
      <c r="I278" t="s">
        <v>13</v>
      </c>
    </row>
    <row r="279" spans="1:9" x14ac:dyDescent="0.35">
      <c r="A279">
        <v>5625362</v>
      </c>
      <c r="B279" t="s">
        <v>9</v>
      </c>
      <c r="C279" t="s">
        <v>10</v>
      </c>
      <c r="D279" s="2">
        <v>44927</v>
      </c>
      <c r="E279" s="2">
        <v>45291</v>
      </c>
      <c r="F279" t="s">
        <v>502</v>
      </c>
      <c r="G279" t="s">
        <v>503</v>
      </c>
      <c r="H279">
        <v>0</v>
      </c>
      <c r="I279" t="s">
        <v>13</v>
      </c>
    </row>
    <row r="280" spans="1:9" x14ac:dyDescent="0.35">
      <c r="A280">
        <v>5625363</v>
      </c>
      <c r="B280" t="s">
        <v>9</v>
      </c>
      <c r="C280" t="s">
        <v>10</v>
      </c>
      <c r="D280" s="2">
        <v>44927</v>
      </c>
      <c r="E280" s="2">
        <v>45291</v>
      </c>
      <c r="F280" t="s">
        <v>504</v>
      </c>
      <c r="G280" t="s">
        <v>505</v>
      </c>
      <c r="H280">
        <v>47188</v>
      </c>
      <c r="I280" t="s">
        <v>13</v>
      </c>
    </row>
    <row r="281" spans="1:9" x14ac:dyDescent="0.35">
      <c r="A281">
        <v>5625364</v>
      </c>
      <c r="B281" t="s">
        <v>9</v>
      </c>
      <c r="C281" t="s">
        <v>10</v>
      </c>
      <c r="D281" s="2">
        <v>44927</v>
      </c>
      <c r="E281" s="2">
        <v>45291</v>
      </c>
      <c r="F281" t="s">
        <v>506</v>
      </c>
      <c r="G281" t="s">
        <v>507</v>
      </c>
      <c r="H281">
        <v>184654</v>
      </c>
      <c r="I281" t="s">
        <v>13</v>
      </c>
    </row>
    <row r="282" spans="1:9" x14ac:dyDescent="0.35">
      <c r="A282">
        <v>5625365</v>
      </c>
      <c r="B282" t="s">
        <v>9</v>
      </c>
      <c r="C282" t="s">
        <v>10</v>
      </c>
      <c r="D282" s="2">
        <v>44927</v>
      </c>
      <c r="E282" s="2">
        <v>45291</v>
      </c>
      <c r="F282" t="s">
        <v>508</v>
      </c>
      <c r="G282" t="s">
        <v>509</v>
      </c>
      <c r="H282">
        <v>480967</v>
      </c>
      <c r="I282" t="s">
        <v>13</v>
      </c>
    </row>
    <row r="283" spans="1:9" x14ac:dyDescent="0.35">
      <c r="A283">
        <v>5625366</v>
      </c>
      <c r="B283" t="s">
        <v>9</v>
      </c>
      <c r="C283" t="s">
        <v>10</v>
      </c>
      <c r="D283" s="2">
        <v>44927</v>
      </c>
      <c r="E283" s="2">
        <v>45291</v>
      </c>
      <c r="F283" t="s">
        <v>510</v>
      </c>
      <c r="G283" t="s">
        <v>511</v>
      </c>
      <c r="H283">
        <v>-260282</v>
      </c>
      <c r="I283" t="s">
        <v>13</v>
      </c>
    </row>
    <row r="284" spans="1:9" x14ac:dyDescent="0.35">
      <c r="A284">
        <v>5625367</v>
      </c>
      <c r="B284" t="s">
        <v>9</v>
      </c>
      <c r="C284" t="s">
        <v>10</v>
      </c>
      <c r="D284" s="2">
        <v>44927</v>
      </c>
      <c r="E284" s="2">
        <v>45291</v>
      </c>
      <c r="F284" t="s">
        <v>512</v>
      </c>
      <c r="G284" t="s">
        <v>513</v>
      </c>
      <c r="H284">
        <v>-23</v>
      </c>
      <c r="I284" t="s">
        <v>13</v>
      </c>
    </row>
    <row r="285" spans="1:9" x14ac:dyDescent="0.35">
      <c r="A285">
        <v>5625368</v>
      </c>
      <c r="B285" t="s">
        <v>9</v>
      </c>
      <c r="C285" t="s">
        <v>10</v>
      </c>
      <c r="D285" s="2">
        <v>44927</v>
      </c>
      <c r="E285" s="2">
        <v>45291</v>
      </c>
      <c r="F285" t="s">
        <v>514</v>
      </c>
      <c r="G285" t="s">
        <v>515</v>
      </c>
      <c r="H285">
        <v>-36008</v>
      </c>
      <c r="I285" t="s">
        <v>13</v>
      </c>
    </row>
    <row r="286" spans="1:9" x14ac:dyDescent="0.35">
      <c r="A286">
        <v>5625369</v>
      </c>
      <c r="B286" t="s">
        <v>9</v>
      </c>
      <c r="C286" t="s">
        <v>10</v>
      </c>
      <c r="D286" s="2">
        <v>44927</v>
      </c>
      <c r="E286" s="2">
        <v>45291</v>
      </c>
      <c r="F286" t="s">
        <v>516</v>
      </c>
      <c r="G286" t="s">
        <v>517</v>
      </c>
      <c r="H286">
        <v>0</v>
      </c>
      <c r="I286" t="s">
        <v>13</v>
      </c>
    </row>
    <row r="287" spans="1:9" x14ac:dyDescent="0.35">
      <c r="A287">
        <v>5625370</v>
      </c>
      <c r="B287" t="s">
        <v>9</v>
      </c>
      <c r="C287" t="s">
        <v>10</v>
      </c>
      <c r="D287" s="2">
        <v>44927</v>
      </c>
      <c r="E287" s="2">
        <v>45291</v>
      </c>
      <c r="F287" t="s">
        <v>518</v>
      </c>
      <c r="G287" t="s">
        <v>519</v>
      </c>
      <c r="H287">
        <v>0</v>
      </c>
      <c r="I287" t="s">
        <v>13</v>
      </c>
    </row>
    <row r="288" spans="1:9" x14ac:dyDescent="0.35">
      <c r="A288">
        <v>5625371</v>
      </c>
      <c r="B288" t="s">
        <v>9</v>
      </c>
      <c r="C288" t="s">
        <v>10</v>
      </c>
      <c r="D288" s="2">
        <v>44927</v>
      </c>
      <c r="E288" s="2">
        <v>45291</v>
      </c>
      <c r="F288" t="s">
        <v>520</v>
      </c>
      <c r="G288" t="s">
        <v>521</v>
      </c>
      <c r="H288">
        <v>-1640</v>
      </c>
      <c r="I288" t="s">
        <v>13</v>
      </c>
    </row>
    <row r="289" spans="1:9" x14ac:dyDescent="0.35">
      <c r="A289">
        <v>5625372</v>
      </c>
      <c r="B289" t="s">
        <v>9</v>
      </c>
      <c r="C289" t="s">
        <v>10</v>
      </c>
      <c r="D289" s="2">
        <v>44927</v>
      </c>
      <c r="E289" s="2">
        <v>45291</v>
      </c>
      <c r="F289" t="s">
        <v>522</v>
      </c>
      <c r="G289" t="s">
        <v>523</v>
      </c>
      <c r="H289">
        <v>275008</v>
      </c>
      <c r="I289" t="s">
        <v>13</v>
      </c>
    </row>
    <row r="290" spans="1:9" x14ac:dyDescent="0.35">
      <c r="A290">
        <v>5625373</v>
      </c>
      <c r="B290" t="s">
        <v>9</v>
      </c>
      <c r="C290" t="s">
        <v>10</v>
      </c>
      <c r="D290" s="2">
        <v>44927</v>
      </c>
      <c r="E290" s="2">
        <v>45291</v>
      </c>
      <c r="F290" t="s">
        <v>524</v>
      </c>
      <c r="G290" t="s">
        <v>525</v>
      </c>
      <c r="H290">
        <v>647517</v>
      </c>
      <c r="I290" t="s">
        <v>13</v>
      </c>
    </row>
    <row r="291" spans="1:9" x14ac:dyDescent="0.35">
      <c r="A291">
        <v>5625374</v>
      </c>
      <c r="B291" t="s">
        <v>9</v>
      </c>
      <c r="C291" t="s">
        <v>10</v>
      </c>
      <c r="D291" s="2">
        <v>44927</v>
      </c>
      <c r="E291" s="2">
        <v>45291</v>
      </c>
      <c r="F291" t="s">
        <v>526</v>
      </c>
      <c r="G291" t="s">
        <v>527</v>
      </c>
      <c r="H291">
        <v>922525</v>
      </c>
      <c r="I291" t="s">
        <v>13</v>
      </c>
    </row>
    <row r="292" spans="1:9" x14ac:dyDescent="0.35">
      <c r="A292">
        <v>5625375</v>
      </c>
      <c r="B292" t="s">
        <v>9</v>
      </c>
      <c r="C292" t="s">
        <v>10</v>
      </c>
      <c r="D292" s="2">
        <v>44927</v>
      </c>
      <c r="E292" s="2">
        <v>45291</v>
      </c>
      <c r="F292" t="s">
        <v>528</v>
      </c>
      <c r="G292" t="s">
        <v>529</v>
      </c>
      <c r="H292">
        <v>4155346</v>
      </c>
      <c r="I292" t="s">
        <v>13</v>
      </c>
    </row>
    <row r="293" spans="1:9" x14ac:dyDescent="0.35">
      <c r="A293">
        <v>5625376</v>
      </c>
      <c r="B293" t="s">
        <v>9</v>
      </c>
      <c r="C293" t="s">
        <v>10</v>
      </c>
      <c r="D293" s="2">
        <v>44927</v>
      </c>
      <c r="E293" s="2">
        <v>45291</v>
      </c>
      <c r="F293" t="s">
        <v>530</v>
      </c>
      <c r="G293" t="s">
        <v>531</v>
      </c>
      <c r="H293">
        <v>4169961</v>
      </c>
      <c r="I293" t="s">
        <v>13</v>
      </c>
    </row>
    <row r="294" spans="1:9" x14ac:dyDescent="0.35">
      <c r="A294">
        <v>5625377</v>
      </c>
      <c r="B294" t="s">
        <v>9</v>
      </c>
      <c r="C294" t="s">
        <v>10</v>
      </c>
      <c r="D294" s="2">
        <v>44927</v>
      </c>
      <c r="E294" s="2">
        <v>45291</v>
      </c>
      <c r="F294" t="s">
        <v>532</v>
      </c>
      <c r="G294" t="s">
        <v>533</v>
      </c>
      <c r="H294">
        <v>14672</v>
      </c>
      <c r="I294" t="s">
        <v>13</v>
      </c>
    </row>
    <row r="295" spans="1:9" x14ac:dyDescent="0.35">
      <c r="A295">
        <v>5625378</v>
      </c>
      <c r="B295" t="s">
        <v>9</v>
      </c>
      <c r="C295" t="s">
        <v>10</v>
      </c>
      <c r="D295" s="2">
        <v>44927</v>
      </c>
      <c r="E295" s="2">
        <v>45291</v>
      </c>
      <c r="F295" t="s">
        <v>534</v>
      </c>
      <c r="G295" t="s">
        <v>535</v>
      </c>
      <c r="H295">
        <v>0</v>
      </c>
      <c r="I295" t="s">
        <v>13</v>
      </c>
    </row>
    <row r="296" spans="1:9" x14ac:dyDescent="0.35">
      <c r="A296">
        <v>5625379</v>
      </c>
      <c r="B296" t="s">
        <v>9</v>
      </c>
      <c r="C296" t="s">
        <v>10</v>
      </c>
      <c r="D296" s="2">
        <v>44927</v>
      </c>
      <c r="E296" s="2">
        <v>45291</v>
      </c>
      <c r="F296" t="s">
        <v>536</v>
      </c>
      <c r="G296" t="s">
        <v>533</v>
      </c>
      <c r="H296">
        <v>14672</v>
      </c>
      <c r="I296" t="s">
        <v>13</v>
      </c>
    </row>
    <row r="297" spans="1:9" x14ac:dyDescent="0.35">
      <c r="A297">
        <v>5625380</v>
      </c>
      <c r="B297" t="s">
        <v>9</v>
      </c>
      <c r="C297" t="s">
        <v>10</v>
      </c>
      <c r="D297" s="2">
        <v>44927</v>
      </c>
      <c r="E297" s="2">
        <v>45291</v>
      </c>
      <c r="F297" t="s">
        <v>537</v>
      </c>
      <c r="G297" t="s">
        <v>538</v>
      </c>
      <c r="H297">
        <v>0</v>
      </c>
      <c r="I297" t="s">
        <v>13</v>
      </c>
    </row>
    <row r="298" spans="1:9" x14ac:dyDescent="0.35">
      <c r="A298">
        <v>5625381</v>
      </c>
      <c r="B298" t="s">
        <v>9</v>
      </c>
      <c r="C298" t="s">
        <v>10</v>
      </c>
      <c r="D298" s="2">
        <v>44927</v>
      </c>
      <c r="E298" s="2">
        <v>45291</v>
      </c>
      <c r="F298" t="s">
        <v>539</v>
      </c>
      <c r="G298" t="s">
        <v>538</v>
      </c>
      <c r="H298">
        <v>0</v>
      </c>
      <c r="I298" t="s">
        <v>13</v>
      </c>
    </row>
    <row r="299" spans="1:9" x14ac:dyDescent="0.35">
      <c r="A299">
        <v>5625382</v>
      </c>
      <c r="B299" t="s">
        <v>9</v>
      </c>
      <c r="C299" t="s">
        <v>10</v>
      </c>
      <c r="D299" s="2">
        <v>44927</v>
      </c>
      <c r="E299" s="2">
        <v>45291</v>
      </c>
      <c r="F299" t="s">
        <v>540</v>
      </c>
      <c r="G299" t="s">
        <v>541</v>
      </c>
      <c r="H299">
        <v>-29287</v>
      </c>
      <c r="I299" t="s">
        <v>13</v>
      </c>
    </row>
    <row r="300" spans="1:9" x14ac:dyDescent="0.35">
      <c r="A300">
        <v>5625383</v>
      </c>
      <c r="B300" t="s">
        <v>9</v>
      </c>
      <c r="C300" t="s">
        <v>10</v>
      </c>
      <c r="D300" s="2">
        <v>44927</v>
      </c>
      <c r="E300" s="2">
        <v>45291</v>
      </c>
      <c r="F300" t="s">
        <v>542</v>
      </c>
      <c r="G300" t="s">
        <v>543</v>
      </c>
      <c r="H300">
        <v>-3873910</v>
      </c>
      <c r="I300" t="s">
        <v>13</v>
      </c>
    </row>
    <row r="301" spans="1:9" x14ac:dyDescent="0.35">
      <c r="A301">
        <v>5625384</v>
      </c>
      <c r="B301" t="s">
        <v>9</v>
      </c>
      <c r="C301" t="s">
        <v>10</v>
      </c>
      <c r="D301" s="2">
        <v>44927</v>
      </c>
      <c r="E301" s="2">
        <v>45291</v>
      </c>
      <c r="F301" t="s">
        <v>544</v>
      </c>
      <c r="G301" t="s">
        <v>545</v>
      </c>
      <c r="H301">
        <v>-1371703</v>
      </c>
      <c r="I301" t="s">
        <v>13</v>
      </c>
    </row>
    <row r="302" spans="1:9" x14ac:dyDescent="0.35">
      <c r="A302">
        <v>5625385</v>
      </c>
      <c r="B302" t="s">
        <v>9</v>
      </c>
      <c r="C302" t="s">
        <v>10</v>
      </c>
      <c r="D302" s="2">
        <v>44927</v>
      </c>
      <c r="E302" s="2">
        <v>45291</v>
      </c>
      <c r="F302" t="s">
        <v>546</v>
      </c>
      <c r="G302" t="s">
        <v>547</v>
      </c>
      <c r="H302">
        <v>-927941</v>
      </c>
      <c r="I302" t="s">
        <v>13</v>
      </c>
    </row>
    <row r="303" spans="1:9" x14ac:dyDescent="0.35">
      <c r="A303">
        <v>5625386</v>
      </c>
      <c r="B303" t="s">
        <v>9</v>
      </c>
      <c r="C303" t="s">
        <v>10</v>
      </c>
      <c r="D303" s="2">
        <v>44927</v>
      </c>
      <c r="E303" s="2">
        <v>45291</v>
      </c>
      <c r="F303" t="s">
        <v>548</v>
      </c>
      <c r="G303" t="s">
        <v>549</v>
      </c>
      <c r="H303">
        <v>-1307164</v>
      </c>
      <c r="I303" t="s">
        <v>13</v>
      </c>
    </row>
    <row r="304" spans="1:9" x14ac:dyDescent="0.35">
      <c r="A304">
        <v>5625387</v>
      </c>
      <c r="B304" t="s">
        <v>9</v>
      </c>
      <c r="C304" t="s">
        <v>10</v>
      </c>
      <c r="D304" s="2">
        <v>44927</v>
      </c>
      <c r="E304" s="2">
        <v>45291</v>
      </c>
      <c r="F304" t="s">
        <v>550</v>
      </c>
      <c r="G304" t="s">
        <v>56</v>
      </c>
      <c r="H304">
        <v>-267102</v>
      </c>
      <c r="I304" t="s">
        <v>13</v>
      </c>
    </row>
    <row r="305" spans="1:9" x14ac:dyDescent="0.35">
      <c r="A305">
        <v>5625388</v>
      </c>
      <c r="B305" t="s">
        <v>9</v>
      </c>
      <c r="C305" t="s">
        <v>10</v>
      </c>
      <c r="D305" s="2">
        <v>44927</v>
      </c>
      <c r="E305" s="2">
        <v>45291</v>
      </c>
      <c r="F305" t="s">
        <v>551</v>
      </c>
      <c r="G305" t="s">
        <v>444</v>
      </c>
      <c r="H305">
        <v>-268733</v>
      </c>
      <c r="I305" t="s">
        <v>13</v>
      </c>
    </row>
    <row r="306" spans="1:9" x14ac:dyDescent="0.35">
      <c r="A306">
        <v>5625389</v>
      </c>
      <c r="B306" t="s">
        <v>9</v>
      </c>
      <c r="C306" t="s">
        <v>10</v>
      </c>
      <c r="D306" s="2">
        <v>44927</v>
      </c>
      <c r="E306" s="2">
        <v>45291</v>
      </c>
      <c r="F306" t="s">
        <v>552</v>
      </c>
      <c r="G306" t="s">
        <v>56</v>
      </c>
      <c r="H306">
        <v>1631</v>
      </c>
      <c r="I306" t="s">
        <v>13</v>
      </c>
    </row>
    <row r="307" spans="1:9" x14ac:dyDescent="0.35">
      <c r="A307">
        <v>5625390</v>
      </c>
      <c r="B307" t="s">
        <v>9</v>
      </c>
      <c r="C307" t="s">
        <v>10</v>
      </c>
      <c r="D307" s="2">
        <v>44927</v>
      </c>
      <c r="E307" s="2">
        <v>45291</v>
      </c>
      <c r="F307" t="s">
        <v>553</v>
      </c>
      <c r="G307" t="s">
        <v>554</v>
      </c>
      <c r="H307">
        <v>281436</v>
      </c>
      <c r="I307" t="s">
        <v>13</v>
      </c>
    </row>
    <row r="308" spans="1:9" x14ac:dyDescent="0.35">
      <c r="A308">
        <v>5625391</v>
      </c>
      <c r="B308" t="s">
        <v>9</v>
      </c>
      <c r="C308" t="s">
        <v>10</v>
      </c>
      <c r="D308" s="2">
        <v>44927</v>
      </c>
      <c r="E308" s="2">
        <v>45291</v>
      </c>
      <c r="F308" t="s">
        <v>555</v>
      </c>
      <c r="G308" t="s">
        <v>556</v>
      </c>
      <c r="H308">
        <v>-211250</v>
      </c>
      <c r="I308" t="s">
        <v>13</v>
      </c>
    </row>
    <row r="309" spans="1:9" x14ac:dyDescent="0.35">
      <c r="A309">
        <v>5625392</v>
      </c>
      <c r="B309" t="s">
        <v>9</v>
      </c>
      <c r="C309" t="s">
        <v>10</v>
      </c>
      <c r="D309" s="2">
        <v>44927</v>
      </c>
      <c r="E309" s="2">
        <v>45291</v>
      </c>
      <c r="F309" t="s">
        <v>557</v>
      </c>
      <c r="G309" t="s">
        <v>558</v>
      </c>
      <c r="H309">
        <v>-211250</v>
      </c>
      <c r="I309" t="s">
        <v>13</v>
      </c>
    </row>
    <row r="310" spans="1:9" x14ac:dyDescent="0.35">
      <c r="A310">
        <v>5625393</v>
      </c>
      <c r="B310" t="s">
        <v>9</v>
      </c>
      <c r="C310" t="s">
        <v>10</v>
      </c>
      <c r="D310" s="2">
        <v>44927</v>
      </c>
      <c r="E310" s="2">
        <v>45291</v>
      </c>
      <c r="F310" t="s">
        <v>559</v>
      </c>
      <c r="G310" t="s">
        <v>560</v>
      </c>
      <c r="H310">
        <v>0</v>
      </c>
      <c r="I310" t="s">
        <v>13</v>
      </c>
    </row>
    <row r="311" spans="1:9" x14ac:dyDescent="0.35">
      <c r="A311">
        <v>5625394</v>
      </c>
      <c r="B311" t="s">
        <v>9</v>
      </c>
      <c r="C311" t="s">
        <v>10</v>
      </c>
      <c r="D311" s="2">
        <v>44927</v>
      </c>
      <c r="E311" s="2">
        <v>45291</v>
      </c>
      <c r="F311" t="s">
        <v>561</v>
      </c>
      <c r="G311" t="s">
        <v>562</v>
      </c>
      <c r="H311">
        <v>70186</v>
      </c>
      <c r="I311" t="s">
        <v>13</v>
      </c>
    </row>
    <row r="312" spans="1:9" x14ac:dyDescent="0.35">
      <c r="A312">
        <v>5625395</v>
      </c>
      <c r="B312" t="s">
        <v>9</v>
      </c>
      <c r="C312" t="s">
        <v>10</v>
      </c>
      <c r="D312" s="2">
        <v>44927</v>
      </c>
      <c r="E312" s="2">
        <v>45291</v>
      </c>
      <c r="F312" t="s">
        <v>563</v>
      </c>
      <c r="G312" t="s">
        <v>564</v>
      </c>
      <c r="H312">
        <v>-319734</v>
      </c>
      <c r="I312" t="s">
        <v>13</v>
      </c>
    </row>
    <row r="313" spans="1:9" x14ac:dyDescent="0.35">
      <c r="A313">
        <v>5625396</v>
      </c>
      <c r="B313" t="s">
        <v>9</v>
      </c>
      <c r="C313" t="s">
        <v>10</v>
      </c>
      <c r="D313" s="2">
        <v>44927</v>
      </c>
      <c r="E313" s="2">
        <v>45291</v>
      </c>
      <c r="F313" t="s">
        <v>565</v>
      </c>
      <c r="G313" t="s">
        <v>368</v>
      </c>
      <c r="H313">
        <v>-422012</v>
      </c>
      <c r="I313" t="s">
        <v>13</v>
      </c>
    </row>
    <row r="314" spans="1:9" x14ac:dyDescent="0.35">
      <c r="A314">
        <v>5625397</v>
      </c>
      <c r="B314" t="s">
        <v>9</v>
      </c>
      <c r="C314" t="s">
        <v>10</v>
      </c>
      <c r="D314" s="2">
        <v>44927</v>
      </c>
      <c r="E314" s="2">
        <v>45291</v>
      </c>
      <c r="F314" t="s">
        <v>566</v>
      </c>
      <c r="G314" t="s">
        <v>374</v>
      </c>
      <c r="H314">
        <v>100138</v>
      </c>
      <c r="I314" t="s">
        <v>13</v>
      </c>
    </row>
    <row r="315" spans="1:9" x14ac:dyDescent="0.35">
      <c r="A315">
        <v>5625398</v>
      </c>
      <c r="B315" t="s">
        <v>9</v>
      </c>
      <c r="C315" t="s">
        <v>10</v>
      </c>
      <c r="D315" s="2">
        <v>44927</v>
      </c>
      <c r="E315" s="2">
        <v>45291</v>
      </c>
      <c r="F315" t="s">
        <v>567</v>
      </c>
      <c r="G315" t="s">
        <v>56</v>
      </c>
      <c r="H315">
        <v>2140</v>
      </c>
      <c r="I315" t="s">
        <v>13</v>
      </c>
    </row>
    <row r="316" spans="1:9" x14ac:dyDescent="0.35">
      <c r="A316">
        <v>5625399</v>
      </c>
      <c r="B316" t="s">
        <v>9</v>
      </c>
      <c r="C316" t="s">
        <v>10</v>
      </c>
      <c r="D316" s="2">
        <v>44927</v>
      </c>
      <c r="E316" s="2">
        <v>45291</v>
      </c>
      <c r="F316" t="s">
        <v>568</v>
      </c>
      <c r="G316" t="s">
        <v>56</v>
      </c>
      <c r="H316">
        <v>2140</v>
      </c>
      <c r="I316" t="s">
        <v>13</v>
      </c>
    </row>
    <row r="317" spans="1:9" x14ac:dyDescent="0.35">
      <c r="A317">
        <v>5625400</v>
      </c>
      <c r="B317" t="s">
        <v>9</v>
      </c>
      <c r="C317" t="s">
        <v>10</v>
      </c>
      <c r="D317" s="2">
        <v>44927</v>
      </c>
      <c r="E317" s="2">
        <v>45291</v>
      </c>
      <c r="F317" t="s">
        <v>569</v>
      </c>
      <c r="G317" t="s">
        <v>570</v>
      </c>
      <c r="H317">
        <v>0</v>
      </c>
      <c r="I317" t="s">
        <v>13</v>
      </c>
    </row>
    <row r="318" spans="1:9" x14ac:dyDescent="0.35">
      <c r="A318">
        <v>5625401</v>
      </c>
      <c r="B318" t="s">
        <v>9</v>
      </c>
      <c r="C318" t="s">
        <v>10</v>
      </c>
      <c r="D318" s="2">
        <v>44927</v>
      </c>
      <c r="E318" s="2">
        <v>45291</v>
      </c>
      <c r="F318" t="s">
        <v>571</v>
      </c>
      <c r="G318" t="s">
        <v>572</v>
      </c>
      <c r="H318">
        <v>-249548</v>
      </c>
      <c r="I318" t="s">
        <v>13</v>
      </c>
    </row>
    <row r="319" spans="1:9" x14ac:dyDescent="0.35">
      <c r="A319">
        <v>5625402</v>
      </c>
      <c r="B319" t="s">
        <v>9</v>
      </c>
      <c r="C319" t="s">
        <v>10</v>
      </c>
      <c r="D319" s="2">
        <v>44927</v>
      </c>
      <c r="E319" s="2">
        <v>45291</v>
      </c>
      <c r="F319" t="s">
        <v>573</v>
      </c>
      <c r="G319" t="s">
        <v>574</v>
      </c>
      <c r="H319">
        <v>-249548</v>
      </c>
      <c r="I319" t="s">
        <v>13</v>
      </c>
    </row>
    <row r="320" spans="1:9" x14ac:dyDescent="0.35">
      <c r="A320">
        <v>5625403</v>
      </c>
      <c r="B320" t="s">
        <v>9</v>
      </c>
      <c r="C320" t="s">
        <v>10</v>
      </c>
      <c r="D320" s="2">
        <v>44927</v>
      </c>
      <c r="E320" s="2">
        <v>45291</v>
      </c>
      <c r="F320" t="s">
        <v>575</v>
      </c>
      <c r="G320" t="s">
        <v>576</v>
      </c>
      <c r="H320">
        <v>874684</v>
      </c>
      <c r="I320" t="s">
        <v>13</v>
      </c>
    </row>
    <row r="321" spans="1:9" x14ac:dyDescent="0.35">
      <c r="A321">
        <v>5625404</v>
      </c>
      <c r="B321" t="s">
        <v>9</v>
      </c>
      <c r="C321" t="s">
        <v>10</v>
      </c>
      <c r="D321" s="2">
        <v>44927</v>
      </c>
      <c r="E321" s="2">
        <v>45291</v>
      </c>
      <c r="F321" t="s">
        <v>577</v>
      </c>
      <c r="G321" t="s">
        <v>578</v>
      </c>
      <c r="H321">
        <v>637650</v>
      </c>
      <c r="I321" t="s">
        <v>13</v>
      </c>
    </row>
    <row r="322" spans="1:9" x14ac:dyDescent="0.35">
      <c r="A322">
        <v>5625405</v>
      </c>
      <c r="B322" t="s">
        <v>9</v>
      </c>
      <c r="C322" t="s">
        <v>10</v>
      </c>
      <c r="D322" s="2">
        <v>44927</v>
      </c>
      <c r="E322" s="2">
        <v>45291</v>
      </c>
      <c r="F322" t="s">
        <v>579</v>
      </c>
      <c r="G322" t="s">
        <v>580</v>
      </c>
      <c r="H322">
        <v>200478</v>
      </c>
      <c r="I322" t="s">
        <v>13</v>
      </c>
    </row>
    <row r="323" spans="1:9" x14ac:dyDescent="0.35">
      <c r="A323">
        <v>5625406</v>
      </c>
      <c r="B323" t="s">
        <v>9</v>
      </c>
      <c r="C323" t="s">
        <v>10</v>
      </c>
      <c r="D323" s="2">
        <v>44927</v>
      </c>
      <c r="E323" s="2">
        <v>45291</v>
      </c>
      <c r="F323" t="s">
        <v>581</v>
      </c>
      <c r="G323" t="s">
        <v>582</v>
      </c>
      <c r="H323">
        <v>36556</v>
      </c>
      <c r="I323" t="s">
        <v>13</v>
      </c>
    </row>
    <row r="324" spans="1:9" x14ac:dyDescent="0.35">
      <c r="A324">
        <v>5625407</v>
      </c>
      <c r="B324" t="s">
        <v>9</v>
      </c>
      <c r="C324" t="s">
        <v>10</v>
      </c>
      <c r="D324" s="2">
        <v>44927</v>
      </c>
      <c r="E324" s="2">
        <v>45291</v>
      </c>
      <c r="F324" t="s">
        <v>583</v>
      </c>
      <c r="G324" t="s">
        <v>56</v>
      </c>
      <c r="H324">
        <v>0</v>
      </c>
      <c r="I324" t="s">
        <v>13</v>
      </c>
    </row>
    <row r="325" spans="1:9" x14ac:dyDescent="0.35">
      <c r="A325">
        <v>5625408</v>
      </c>
      <c r="B325" t="s">
        <v>9</v>
      </c>
      <c r="C325" t="s">
        <v>10</v>
      </c>
      <c r="D325" s="2">
        <v>44927</v>
      </c>
      <c r="E325" s="2">
        <v>45291</v>
      </c>
      <c r="F325" t="s">
        <v>584</v>
      </c>
      <c r="G325" t="s">
        <v>585</v>
      </c>
      <c r="H325">
        <v>459046</v>
      </c>
      <c r="I325" t="s">
        <v>13</v>
      </c>
    </row>
    <row r="326" spans="1:9" x14ac:dyDescent="0.35">
      <c r="A326">
        <v>5625409</v>
      </c>
      <c r="B326" t="s">
        <v>9</v>
      </c>
      <c r="C326" t="s">
        <v>10</v>
      </c>
      <c r="D326" s="2">
        <v>44927</v>
      </c>
      <c r="E326" s="2">
        <v>45291</v>
      </c>
      <c r="F326" t="s">
        <v>586</v>
      </c>
      <c r="G326" t="s">
        <v>587</v>
      </c>
      <c r="H326">
        <v>235011</v>
      </c>
      <c r="I326" t="s">
        <v>13</v>
      </c>
    </row>
    <row r="327" spans="1:9" x14ac:dyDescent="0.35">
      <c r="A327">
        <v>5625410</v>
      </c>
      <c r="B327" t="s">
        <v>9</v>
      </c>
      <c r="C327" t="s">
        <v>10</v>
      </c>
      <c r="D327" s="2">
        <v>44927</v>
      </c>
      <c r="E327" s="2">
        <v>45291</v>
      </c>
      <c r="F327" t="s">
        <v>588</v>
      </c>
      <c r="G327" t="s">
        <v>589</v>
      </c>
      <c r="H327">
        <v>221234</v>
      </c>
      <c r="I327" t="s">
        <v>13</v>
      </c>
    </row>
    <row r="328" spans="1:9" x14ac:dyDescent="0.35">
      <c r="A328">
        <v>5625411</v>
      </c>
      <c r="B328" t="s">
        <v>9</v>
      </c>
      <c r="C328" t="s">
        <v>10</v>
      </c>
      <c r="D328" s="2">
        <v>44927</v>
      </c>
      <c r="E328" s="2">
        <v>45291</v>
      </c>
      <c r="F328" t="s">
        <v>590</v>
      </c>
      <c r="G328" t="s">
        <v>591</v>
      </c>
      <c r="H328">
        <v>2801</v>
      </c>
      <c r="I328" t="s">
        <v>13</v>
      </c>
    </row>
    <row r="329" spans="1:9" x14ac:dyDescent="0.35">
      <c r="A329">
        <v>5625412</v>
      </c>
      <c r="B329" t="s">
        <v>9</v>
      </c>
      <c r="C329" t="s">
        <v>10</v>
      </c>
      <c r="D329" s="2">
        <v>44927</v>
      </c>
      <c r="E329" s="2">
        <v>45291</v>
      </c>
      <c r="F329" t="s">
        <v>592</v>
      </c>
      <c r="G329" t="s">
        <v>593</v>
      </c>
      <c r="H329">
        <v>284206</v>
      </c>
      <c r="I329" t="s">
        <v>13</v>
      </c>
    </row>
    <row r="330" spans="1:9" x14ac:dyDescent="0.35">
      <c r="A330">
        <v>5625413</v>
      </c>
      <c r="B330" t="s">
        <v>9</v>
      </c>
      <c r="C330" t="s">
        <v>10</v>
      </c>
      <c r="D330" s="2">
        <v>44927</v>
      </c>
      <c r="E330" s="2">
        <v>45291</v>
      </c>
      <c r="F330" t="s">
        <v>594</v>
      </c>
      <c r="G330" t="s">
        <v>595</v>
      </c>
      <c r="H330">
        <v>202074</v>
      </c>
      <c r="I330" t="s">
        <v>13</v>
      </c>
    </row>
    <row r="331" spans="1:9" x14ac:dyDescent="0.35">
      <c r="A331">
        <v>5625414</v>
      </c>
      <c r="B331" t="s">
        <v>9</v>
      </c>
      <c r="C331" t="s">
        <v>10</v>
      </c>
      <c r="D331" s="2">
        <v>44927</v>
      </c>
      <c r="E331" s="2">
        <v>45291</v>
      </c>
      <c r="F331" t="s">
        <v>596</v>
      </c>
      <c r="G331" t="s">
        <v>597</v>
      </c>
      <c r="H331">
        <v>49211</v>
      </c>
      <c r="I331" t="s">
        <v>13</v>
      </c>
    </row>
    <row r="332" spans="1:9" x14ac:dyDescent="0.35">
      <c r="A332">
        <v>5625415</v>
      </c>
      <c r="B332" t="s">
        <v>9</v>
      </c>
      <c r="C332" t="s">
        <v>10</v>
      </c>
      <c r="D332" s="2">
        <v>44927</v>
      </c>
      <c r="E332" s="2">
        <v>45291</v>
      </c>
      <c r="F332" t="s">
        <v>598</v>
      </c>
      <c r="G332" t="s">
        <v>560</v>
      </c>
      <c r="H332">
        <v>32921</v>
      </c>
      <c r="I332" t="s">
        <v>13</v>
      </c>
    </row>
    <row r="333" spans="1:9" x14ac:dyDescent="0.35">
      <c r="A333">
        <v>5625416</v>
      </c>
      <c r="B333" t="s">
        <v>9</v>
      </c>
      <c r="C333" t="s">
        <v>10</v>
      </c>
      <c r="D333" s="2">
        <v>44927</v>
      </c>
      <c r="E333" s="2">
        <v>45291</v>
      </c>
      <c r="F333" t="s">
        <v>599</v>
      </c>
      <c r="G333" t="s">
        <v>600</v>
      </c>
      <c r="H333">
        <v>-1867484</v>
      </c>
      <c r="I333" t="s">
        <v>13</v>
      </c>
    </row>
    <row r="334" spans="1:9" x14ac:dyDescent="0.35">
      <c r="A334">
        <v>5625417</v>
      </c>
      <c r="B334" t="s">
        <v>9</v>
      </c>
      <c r="C334" t="s">
        <v>10</v>
      </c>
      <c r="D334" s="2">
        <v>44927</v>
      </c>
      <c r="E334" s="2">
        <v>45291</v>
      </c>
      <c r="F334" t="s">
        <v>601</v>
      </c>
      <c r="G334" t="s">
        <v>602</v>
      </c>
      <c r="H334">
        <v>0</v>
      </c>
      <c r="I334" t="s">
        <v>13</v>
      </c>
    </row>
    <row r="335" spans="1:9" x14ac:dyDescent="0.35">
      <c r="A335">
        <v>5625418</v>
      </c>
      <c r="B335" t="s">
        <v>9</v>
      </c>
      <c r="C335" t="s">
        <v>10</v>
      </c>
      <c r="D335" s="2">
        <v>44927</v>
      </c>
      <c r="E335" s="2">
        <v>45291</v>
      </c>
      <c r="F335" t="s">
        <v>603</v>
      </c>
      <c r="G335" t="s">
        <v>604</v>
      </c>
      <c r="H335">
        <v>0</v>
      </c>
      <c r="I335" t="s">
        <v>13</v>
      </c>
    </row>
    <row r="336" spans="1:9" x14ac:dyDescent="0.35">
      <c r="A336">
        <v>5625419</v>
      </c>
      <c r="B336" t="s">
        <v>9</v>
      </c>
      <c r="C336" t="s">
        <v>10</v>
      </c>
      <c r="D336" s="2">
        <v>44927</v>
      </c>
      <c r="E336" s="2">
        <v>45291</v>
      </c>
      <c r="F336" t="s">
        <v>605</v>
      </c>
      <c r="G336" t="s">
        <v>606</v>
      </c>
      <c r="H336">
        <v>-1866620</v>
      </c>
      <c r="I336" t="s">
        <v>13</v>
      </c>
    </row>
    <row r="337" spans="1:9" x14ac:dyDescent="0.35">
      <c r="A337">
        <v>5625420</v>
      </c>
      <c r="B337" t="s">
        <v>9</v>
      </c>
      <c r="C337" t="s">
        <v>10</v>
      </c>
      <c r="D337" s="2">
        <v>44927</v>
      </c>
      <c r="E337" s="2">
        <v>45291</v>
      </c>
      <c r="F337" t="s">
        <v>607</v>
      </c>
      <c r="G337" t="s">
        <v>608</v>
      </c>
      <c r="H337">
        <v>-864</v>
      </c>
      <c r="I337" t="s">
        <v>13</v>
      </c>
    </row>
    <row r="338" spans="1:9" x14ac:dyDescent="0.35">
      <c r="A338">
        <v>5625421</v>
      </c>
      <c r="B338" t="s">
        <v>9</v>
      </c>
      <c r="C338" t="s">
        <v>10</v>
      </c>
      <c r="D338" s="2">
        <v>44927</v>
      </c>
      <c r="E338" s="2">
        <v>45291</v>
      </c>
      <c r="F338" t="s">
        <v>609</v>
      </c>
      <c r="G338" t="s">
        <v>56</v>
      </c>
      <c r="H338">
        <v>0</v>
      </c>
      <c r="I338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2FB7-10E8-46FC-BB86-AAC3313FD545}">
  <dimension ref="A1:I313"/>
  <sheetViews>
    <sheetView topLeftCell="A50" workbookViewId="0">
      <selection activeCell="G32" sqref="G32"/>
    </sheetView>
  </sheetViews>
  <sheetFormatPr defaultRowHeight="14.5" x14ac:dyDescent="0.35"/>
  <cols>
    <col min="4" max="5" width="10.08984375" bestFit="1" customWidth="1"/>
    <col min="7" max="7" width="7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6134452</v>
      </c>
      <c r="B2" t="s">
        <v>9</v>
      </c>
      <c r="C2" t="s">
        <v>610</v>
      </c>
      <c r="D2" s="2">
        <v>45657</v>
      </c>
      <c r="E2" s="2">
        <v>45657</v>
      </c>
      <c r="F2" t="s">
        <v>11</v>
      </c>
      <c r="G2" t="s">
        <v>12</v>
      </c>
      <c r="H2">
        <v>6839725</v>
      </c>
      <c r="I2" t="s">
        <v>13</v>
      </c>
    </row>
    <row r="3" spans="1:9" x14ac:dyDescent="0.35">
      <c r="A3">
        <v>6134453</v>
      </c>
      <c r="B3" t="s">
        <v>9</v>
      </c>
      <c r="C3" t="s">
        <v>610</v>
      </c>
      <c r="D3" s="2">
        <v>45657</v>
      </c>
      <c r="E3" s="2">
        <v>45657</v>
      </c>
      <c r="F3" t="s">
        <v>14</v>
      </c>
      <c r="G3" t="s">
        <v>15</v>
      </c>
      <c r="H3">
        <v>3459140</v>
      </c>
      <c r="I3" t="s">
        <v>13</v>
      </c>
    </row>
    <row r="4" spans="1:9" x14ac:dyDescent="0.35">
      <c r="A4">
        <v>6134454</v>
      </c>
      <c r="B4" t="s">
        <v>9</v>
      </c>
      <c r="C4" t="s">
        <v>610</v>
      </c>
      <c r="D4" s="2">
        <v>45657</v>
      </c>
      <c r="E4" s="2">
        <v>45657</v>
      </c>
      <c r="F4" t="s">
        <v>16</v>
      </c>
      <c r="G4" t="s">
        <v>17</v>
      </c>
      <c r="H4">
        <v>1488511</v>
      </c>
      <c r="I4" t="s">
        <v>13</v>
      </c>
    </row>
    <row r="5" spans="1:9" x14ac:dyDescent="0.35">
      <c r="A5">
        <v>6134455</v>
      </c>
      <c r="B5" t="s">
        <v>9</v>
      </c>
      <c r="C5" t="s">
        <v>610</v>
      </c>
      <c r="D5" s="2">
        <v>45657</v>
      </c>
      <c r="E5" s="2">
        <v>45657</v>
      </c>
      <c r="F5" t="s">
        <v>18</v>
      </c>
      <c r="G5" t="s">
        <v>19</v>
      </c>
      <c r="H5">
        <v>0</v>
      </c>
      <c r="I5" t="s">
        <v>13</v>
      </c>
    </row>
    <row r="6" spans="1:9" x14ac:dyDescent="0.35">
      <c r="A6">
        <v>6134456</v>
      </c>
      <c r="B6" t="s">
        <v>9</v>
      </c>
      <c r="C6" t="s">
        <v>610</v>
      </c>
      <c r="D6" s="2">
        <v>45657</v>
      </c>
      <c r="E6" s="2">
        <v>45657</v>
      </c>
      <c r="F6" t="s">
        <v>20</v>
      </c>
      <c r="G6" t="s">
        <v>21</v>
      </c>
      <c r="H6">
        <v>0</v>
      </c>
      <c r="I6" t="s">
        <v>13</v>
      </c>
    </row>
    <row r="7" spans="1:9" x14ac:dyDescent="0.35">
      <c r="A7">
        <v>6134457</v>
      </c>
      <c r="B7" t="s">
        <v>9</v>
      </c>
      <c r="C7" t="s">
        <v>610</v>
      </c>
      <c r="D7" s="2">
        <v>45657</v>
      </c>
      <c r="E7" s="2">
        <v>45657</v>
      </c>
      <c r="F7" t="s">
        <v>22</v>
      </c>
      <c r="G7" t="s">
        <v>23</v>
      </c>
      <c r="H7">
        <v>0</v>
      </c>
      <c r="I7" t="s">
        <v>13</v>
      </c>
    </row>
    <row r="8" spans="1:9" x14ac:dyDescent="0.35">
      <c r="A8">
        <v>6134458</v>
      </c>
      <c r="B8" t="s">
        <v>9</v>
      </c>
      <c r="C8" t="s">
        <v>610</v>
      </c>
      <c r="D8" s="2">
        <v>45657</v>
      </c>
      <c r="E8" s="2">
        <v>45657</v>
      </c>
      <c r="F8" t="s">
        <v>24</v>
      </c>
      <c r="G8" t="s">
        <v>25</v>
      </c>
      <c r="H8">
        <v>0</v>
      </c>
      <c r="I8" t="s">
        <v>13</v>
      </c>
    </row>
    <row r="9" spans="1:9" x14ac:dyDescent="0.35">
      <c r="A9">
        <v>6134459</v>
      </c>
      <c r="B9" t="s">
        <v>9</v>
      </c>
      <c r="C9" t="s">
        <v>610</v>
      </c>
      <c r="D9" s="2">
        <v>45657</v>
      </c>
      <c r="E9" s="2">
        <v>45657</v>
      </c>
      <c r="F9" t="s">
        <v>26</v>
      </c>
      <c r="G9" t="s">
        <v>27</v>
      </c>
      <c r="H9">
        <v>0</v>
      </c>
      <c r="I9" t="s">
        <v>13</v>
      </c>
    </row>
    <row r="10" spans="1:9" x14ac:dyDescent="0.35">
      <c r="A10">
        <v>6134460</v>
      </c>
      <c r="B10" t="s">
        <v>9</v>
      </c>
      <c r="C10" t="s">
        <v>610</v>
      </c>
      <c r="D10" s="2">
        <v>45657</v>
      </c>
      <c r="E10" s="2">
        <v>45657</v>
      </c>
      <c r="F10" t="s">
        <v>28</v>
      </c>
      <c r="G10" t="s">
        <v>29</v>
      </c>
      <c r="H10">
        <v>0</v>
      </c>
      <c r="I10" t="s">
        <v>13</v>
      </c>
    </row>
    <row r="11" spans="1:9" x14ac:dyDescent="0.35">
      <c r="A11">
        <v>6134461</v>
      </c>
      <c r="B11" t="s">
        <v>9</v>
      </c>
      <c r="C11" t="s">
        <v>610</v>
      </c>
      <c r="D11" s="2">
        <v>45657</v>
      </c>
      <c r="E11" s="2">
        <v>45657</v>
      </c>
      <c r="F11" t="s">
        <v>30</v>
      </c>
      <c r="G11" t="s">
        <v>31</v>
      </c>
      <c r="H11">
        <v>997875</v>
      </c>
      <c r="I11" t="s">
        <v>13</v>
      </c>
    </row>
    <row r="12" spans="1:9" x14ac:dyDescent="0.35">
      <c r="A12">
        <v>6134462</v>
      </c>
      <c r="B12" t="s">
        <v>9</v>
      </c>
      <c r="C12" t="s">
        <v>610</v>
      </c>
      <c r="D12" s="2">
        <v>45657</v>
      </c>
      <c r="E12" s="2">
        <v>45657</v>
      </c>
      <c r="F12" t="s">
        <v>32</v>
      </c>
      <c r="G12" t="s">
        <v>33</v>
      </c>
      <c r="H12">
        <v>0</v>
      </c>
      <c r="I12" t="s">
        <v>13</v>
      </c>
    </row>
    <row r="13" spans="1:9" x14ac:dyDescent="0.35">
      <c r="A13">
        <v>6134463</v>
      </c>
      <c r="B13" t="s">
        <v>9</v>
      </c>
      <c r="C13" t="s">
        <v>610</v>
      </c>
      <c r="D13" s="2">
        <v>45657</v>
      </c>
      <c r="E13" s="2">
        <v>45657</v>
      </c>
      <c r="F13" t="s">
        <v>34</v>
      </c>
      <c r="G13" t="s">
        <v>35</v>
      </c>
      <c r="H13">
        <v>0</v>
      </c>
      <c r="I13" t="s">
        <v>13</v>
      </c>
    </row>
    <row r="14" spans="1:9" x14ac:dyDescent="0.35">
      <c r="A14">
        <v>6134464</v>
      </c>
      <c r="B14" t="s">
        <v>9</v>
      </c>
      <c r="C14" t="s">
        <v>610</v>
      </c>
      <c r="D14" s="2">
        <v>45657</v>
      </c>
      <c r="E14" s="2">
        <v>45657</v>
      </c>
      <c r="F14" t="s">
        <v>36</v>
      </c>
      <c r="G14" t="s">
        <v>37</v>
      </c>
      <c r="H14">
        <v>709119</v>
      </c>
      <c r="I14" t="s">
        <v>13</v>
      </c>
    </row>
    <row r="15" spans="1:9" x14ac:dyDescent="0.35">
      <c r="A15">
        <v>6134465</v>
      </c>
      <c r="B15" t="s">
        <v>9</v>
      </c>
      <c r="C15" t="s">
        <v>610</v>
      </c>
      <c r="D15" s="2">
        <v>45657</v>
      </c>
      <c r="E15" s="2">
        <v>45657</v>
      </c>
      <c r="F15" t="s">
        <v>38</v>
      </c>
      <c r="G15" t="s">
        <v>39</v>
      </c>
      <c r="H15">
        <v>0</v>
      </c>
      <c r="I15" t="s">
        <v>13</v>
      </c>
    </row>
    <row r="16" spans="1:9" x14ac:dyDescent="0.35">
      <c r="A16">
        <v>6134466</v>
      </c>
      <c r="B16" t="s">
        <v>9</v>
      </c>
      <c r="C16" t="s">
        <v>610</v>
      </c>
      <c r="D16" s="2">
        <v>45657</v>
      </c>
      <c r="E16" s="2">
        <v>45657</v>
      </c>
      <c r="F16" t="s">
        <v>40</v>
      </c>
      <c r="G16" t="s">
        <v>41</v>
      </c>
      <c r="H16">
        <v>179347</v>
      </c>
      <c r="I16" t="s">
        <v>13</v>
      </c>
    </row>
    <row r="17" spans="1:9" x14ac:dyDescent="0.35">
      <c r="A17">
        <v>6134467</v>
      </c>
      <c r="B17" t="s">
        <v>9</v>
      </c>
      <c r="C17" t="s">
        <v>610</v>
      </c>
      <c r="D17" s="2">
        <v>45657</v>
      </c>
      <c r="E17" s="2">
        <v>45657</v>
      </c>
      <c r="F17" t="s">
        <v>42</v>
      </c>
      <c r="G17" t="s">
        <v>43</v>
      </c>
      <c r="H17">
        <v>0</v>
      </c>
      <c r="I17" t="s">
        <v>13</v>
      </c>
    </row>
    <row r="18" spans="1:9" x14ac:dyDescent="0.35">
      <c r="A18">
        <v>6134468</v>
      </c>
      <c r="B18" t="s">
        <v>9</v>
      </c>
      <c r="C18" t="s">
        <v>610</v>
      </c>
      <c r="D18" s="2">
        <v>45657</v>
      </c>
      <c r="E18" s="2">
        <v>45657</v>
      </c>
      <c r="F18" t="s">
        <v>44</v>
      </c>
      <c r="G18" t="s">
        <v>45</v>
      </c>
      <c r="H18">
        <v>46421</v>
      </c>
      <c r="I18" t="s">
        <v>13</v>
      </c>
    </row>
    <row r="19" spans="1:9" x14ac:dyDescent="0.35">
      <c r="A19">
        <v>6134469</v>
      </c>
      <c r="B19" t="s">
        <v>9</v>
      </c>
      <c r="C19" t="s">
        <v>610</v>
      </c>
      <c r="D19" s="2">
        <v>45657</v>
      </c>
      <c r="E19" s="2">
        <v>45657</v>
      </c>
      <c r="F19" t="s">
        <v>49</v>
      </c>
      <c r="G19" t="s">
        <v>50</v>
      </c>
      <c r="H19">
        <v>37867</v>
      </c>
      <c r="I19" t="s">
        <v>13</v>
      </c>
    </row>
    <row r="20" spans="1:9" x14ac:dyDescent="0.35">
      <c r="A20">
        <v>6134470</v>
      </c>
      <c r="B20" t="s">
        <v>9</v>
      </c>
      <c r="C20" t="s">
        <v>610</v>
      </c>
      <c r="D20" s="2">
        <v>45657</v>
      </c>
      <c r="E20" s="2">
        <v>45657</v>
      </c>
      <c r="F20" t="s">
        <v>51</v>
      </c>
      <c r="G20" t="s">
        <v>52</v>
      </c>
      <c r="H20">
        <v>0</v>
      </c>
      <c r="I20" t="s">
        <v>13</v>
      </c>
    </row>
    <row r="21" spans="1:9" x14ac:dyDescent="0.35">
      <c r="A21">
        <v>6134471</v>
      </c>
      <c r="B21" t="s">
        <v>9</v>
      </c>
      <c r="C21" t="s">
        <v>610</v>
      </c>
      <c r="D21" s="2">
        <v>45657</v>
      </c>
      <c r="E21" s="2">
        <v>45657</v>
      </c>
      <c r="F21" t="s">
        <v>53</v>
      </c>
      <c r="G21" t="s">
        <v>54</v>
      </c>
      <c r="H21">
        <v>0</v>
      </c>
      <c r="I21" t="s">
        <v>13</v>
      </c>
    </row>
    <row r="22" spans="1:9" x14ac:dyDescent="0.35">
      <c r="A22">
        <v>6134472</v>
      </c>
      <c r="B22" t="s">
        <v>9</v>
      </c>
      <c r="C22" t="s">
        <v>610</v>
      </c>
      <c r="D22" s="2">
        <v>45657</v>
      </c>
      <c r="E22" s="2">
        <v>45657</v>
      </c>
      <c r="F22" t="s">
        <v>55</v>
      </c>
      <c r="G22" t="s">
        <v>56</v>
      </c>
      <c r="H22">
        <v>37867</v>
      </c>
      <c r="I22" t="s">
        <v>13</v>
      </c>
    </row>
    <row r="23" spans="1:9" x14ac:dyDescent="0.35">
      <c r="A23">
        <v>6134473</v>
      </c>
      <c r="B23" t="s">
        <v>9</v>
      </c>
      <c r="C23" t="s">
        <v>610</v>
      </c>
      <c r="D23" s="2">
        <v>45657</v>
      </c>
      <c r="E23" s="2">
        <v>45657</v>
      </c>
      <c r="F23" t="s">
        <v>57</v>
      </c>
      <c r="G23" t="s">
        <v>64</v>
      </c>
      <c r="H23">
        <v>0</v>
      </c>
      <c r="I23" t="s">
        <v>13</v>
      </c>
    </row>
    <row r="24" spans="1:9" x14ac:dyDescent="0.35">
      <c r="A24">
        <v>6134474</v>
      </c>
      <c r="B24" t="s">
        <v>9</v>
      </c>
      <c r="C24" t="s">
        <v>610</v>
      </c>
      <c r="D24" s="2">
        <v>45657</v>
      </c>
      <c r="E24" s="2">
        <v>45657</v>
      </c>
      <c r="F24" t="s">
        <v>59</v>
      </c>
      <c r="G24" t="s">
        <v>611</v>
      </c>
      <c r="H24">
        <v>37867</v>
      </c>
      <c r="I24" t="s">
        <v>13</v>
      </c>
    </row>
    <row r="25" spans="1:9" x14ac:dyDescent="0.35">
      <c r="A25">
        <v>6134475</v>
      </c>
      <c r="B25" t="s">
        <v>9</v>
      </c>
      <c r="C25" t="s">
        <v>610</v>
      </c>
      <c r="D25" s="2">
        <v>45657</v>
      </c>
      <c r="E25" s="2">
        <v>45657</v>
      </c>
      <c r="F25" t="s">
        <v>67</v>
      </c>
      <c r="G25" t="s">
        <v>68</v>
      </c>
      <c r="H25">
        <v>3380585</v>
      </c>
      <c r="I25" t="s">
        <v>13</v>
      </c>
    </row>
    <row r="26" spans="1:9" x14ac:dyDescent="0.35">
      <c r="A26">
        <v>6134476</v>
      </c>
      <c r="B26" t="s">
        <v>9</v>
      </c>
      <c r="C26" t="s">
        <v>610</v>
      </c>
      <c r="D26" s="2">
        <v>45657</v>
      </c>
      <c r="E26" s="2">
        <v>45657</v>
      </c>
      <c r="F26" t="s">
        <v>69</v>
      </c>
      <c r="G26" t="s">
        <v>70</v>
      </c>
      <c r="H26">
        <v>494299</v>
      </c>
      <c r="I26" t="s">
        <v>13</v>
      </c>
    </row>
    <row r="27" spans="1:9" x14ac:dyDescent="0.35">
      <c r="A27">
        <v>6134477</v>
      </c>
      <c r="B27" t="s">
        <v>9</v>
      </c>
      <c r="C27" t="s">
        <v>610</v>
      </c>
      <c r="D27" s="2">
        <v>45657</v>
      </c>
      <c r="E27" s="2">
        <v>45657</v>
      </c>
      <c r="F27" t="s">
        <v>71</v>
      </c>
      <c r="G27" t="s">
        <v>21</v>
      </c>
      <c r="H27">
        <v>13165</v>
      </c>
      <c r="I27" t="s">
        <v>13</v>
      </c>
    </row>
    <row r="28" spans="1:9" x14ac:dyDescent="0.35">
      <c r="A28">
        <v>6134478</v>
      </c>
      <c r="B28" t="s">
        <v>9</v>
      </c>
      <c r="C28" t="s">
        <v>610</v>
      </c>
      <c r="D28" s="2">
        <v>45657</v>
      </c>
      <c r="E28" s="2">
        <v>45657</v>
      </c>
      <c r="F28" t="s">
        <v>72</v>
      </c>
      <c r="G28" t="s">
        <v>25</v>
      </c>
      <c r="H28">
        <v>0</v>
      </c>
      <c r="I28" t="s">
        <v>13</v>
      </c>
    </row>
    <row r="29" spans="1:9" x14ac:dyDescent="0.35">
      <c r="A29">
        <v>6134479</v>
      </c>
      <c r="B29" t="s">
        <v>9</v>
      </c>
      <c r="C29" t="s">
        <v>610</v>
      </c>
      <c r="D29" s="2">
        <v>45657</v>
      </c>
      <c r="E29" s="2">
        <v>45657</v>
      </c>
      <c r="F29" t="s">
        <v>73</v>
      </c>
      <c r="G29" t="s">
        <v>27</v>
      </c>
      <c r="H29">
        <v>0</v>
      </c>
      <c r="I29" t="s">
        <v>13</v>
      </c>
    </row>
    <row r="30" spans="1:9" x14ac:dyDescent="0.35">
      <c r="A30">
        <v>6134480</v>
      </c>
      <c r="B30" t="s">
        <v>9</v>
      </c>
      <c r="C30" t="s">
        <v>610</v>
      </c>
      <c r="D30" s="2">
        <v>45657</v>
      </c>
      <c r="E30" s="2">
        <v>45657</v>
      </c>
      <c r="F30" t="s">
        <v>74</v>
      </c>
      <c r="G30" t="s">
        <v>29</v>
      </c>
      <c r="H30">
        <v>0</v>
      </c>
      <c r="I30" t="s">
        <v>13</v>
      </c>
    </row>
    <row r="31" spans="1:9" x14ac:dyDescent="0.35">
      <c r="A31">
        <v>6134481</v>
      </c>
      <c r="B31" t="s">
        <v>9</v>
      </c>
      <c r="C31" t="s">
        <v>610</v>
      </c>
      <c r="D31" s="2">
        <v>45657</v>
      </c>
      <c r="E31" s="2">
        <v>45657</v>
      </c>
      <c r="F31" t="s">
        <v>75</v>
      </c>
      <c r="G31" t="s">
        <v>31</v>
      </c>
      <c r="H31">
        <v>0</v>
      </c>
      <c r="I31" t="s">
        <v>13</v>
      </c>
    </row>
    <row r="32" spans="1:9" x14ac:dyDescent="0.35">
      <c r="A32">
        <v>6134482</v>
      </c>
      <c r="B32" t="s">
        <v>9</v>
      </c>
      <c r="C32" t="s">
        <v>610</v>
      </c>
      <c r="D32" s="2">
        <v>45657</v>
      </c>
      <c r="E32" s="2">
        <v>45657</v>
      </c>
      <c r="F32" t="s">
        <v>76</v>
      </c>
      <c r="G32" t="s">
        <v>33</v>
      </c>
      <c r="H32">
        <v>0</v>
      </c>
      <c r="I32" t="s">
        <v>13</v>
      </c>
    </row>
    <row r="33" spans="1:9" x14ac:dyDescent="0.35">
      <c r="A33">
        <v>6134483</v>
      </c>
      <c r="B33" t="s">
        <v>9</v>
      </c>
      <c r="C33" t="s">
        <v>610</v>
      </c>
      <c r="D33" s="2">
        <v>45657</v>
      </c>
      <c r="E33" s="2">
        <v>45657</v>
      </c>
      <c r="F33" t="s">
        <v>77</v>
      </c>
      <c r="G33" t="s">
        <v>35</v>
      </c>
      <c r="H33">
        <v>0</v>
      </c>
      <c r="I33" t="s">
        <v>13</v>
      </c>
    </row>
    <row r="34" spans="1:9" x14ac:dyDescent="0.35">
      <c r="A34">
        <v>6134484</v>
      </c>
      <c r="B34" t="s">
        <v>9</v>
      </c>
      <c r="C34" t="s">
        <v>610</v>
      </c>
      <c r="D34" s="2">
        <v>45657</v>
      </c>
      <c r="E34" s="2">
        <v>45657</v>
      </c>
      <c r="F34" t="s">
        <v>78</v>
      </c>
      <c r="G34" t="s">
        <v>37</v>
      </c>
      <c r="H34">
        <v>0</v>
      </c>
      <c r="I34" t="s">
        <v>13</v>
      </c>
    </row>
    <row r="35" spans="1:9" x14ac:dyDescent="0.35">
      <c r="A35">
        <v>6134485</v>
      </c>
      <c r="B35" t="s">
        <v>9</v>
      </c>
      <c r="C35" t="s">
        <v>610</v>
      </c>
      <c r="D35" s="2">
        <v>45657</v>
      </c>
      <c r="E35" s="2">
        <v>45657</v>
      </c>
      <c r="F35" t="s">
        <v>79</v>
      </c>
      <c r="G35" t="s">
        <v>39</v>
      </c>
      <c r="H35">
        <v>0</v>
      </c>
      <c r="I35" t="s">
        <v>13</v>
      </c>
    </row>
    <row r="36" spans="1:9" x14ac:dyDescent="0.35">
      <c r="A36">
        <v>6134486</v>
      </c>
      <c r="B36" t="s">
        <v>9</v>
      </c>
      <c r="C36" t="s">
        <v>610</v>
      </c>
      <c r="D36" s="2">
        <v>45657</v>
      </c>
      <c r="E36" s="2">
        <v>45657</v>
      </c>
      <c r="F36" t="s">
        <v>80</v>
      </c>
      <c r="G36" t="s">
        <v>81</v>
      </c>
      <c r="H36">
        <v>291036</v>
      </c>
      <c r="I36" t="s">
        <v>13</v>
      </c>
    </row>
    <row r="37" spans="1:9" x14ac:dyDescent="0.35">
      <c r="A37">
        <v>6134487</v>
      </c>
      <c r="B37" t="s">
        <v>9</v>
      </c>
      <c r="C37" t="s">
        <v>610</v>
      </c>
      <c r="D37" s="2">
        <v>45657</v>
      </c>
      <c r="E37" s="2">
        <v>45657</v>
      </c>
      <c r="F37" t="s">
        <v>82</v>
      </c>
      <c r="G37" t="s">
        <v>83</v>
      </c>
      <c r="H37">
        <v>0</v>
      </c>
      <c r="I37" t="s">
        <v>13</v>
      </c>
    </row>
    <row r="38" spans="1:9" x14ac:dyDescent="0.35">
      <c r="A38">
        <v>6134488</v>
      </c>
      <c r="B38" t="s">
        <v>9</v>
      </c>
      <c r="C38" t="s">
        <v>610</v>
      </c>
      <c r="D38" s="2">
        <v>45657</v>
      </c>
      <c r="E38" s="2">
        <v>45657</v>
      </c>
      <c r="F38" t="s">
        <v>84</v>
      </c>
      <c r="G38" t="s">
        <v>45</v>
      </c>
      <c r="H38">
        <v>0</v>
      </c>
      <c r="I38" t="s">
        <v>13</v>
      </c>
    </row>
    <row r="39" spans="1:9" x14ac:dyDescent="0.35">
      <c r="A39">
        <v>6134489</v>
      </c>
      <c r="B39" t="s">
        <v>9</v>
      </c>
      <c r="C39" t="s">
        <v>610</v>
      </c>
      <c r="D39" s="2">
        <v>45657</v>
      </c>
      <c r="E39" s="2">
        <v>45657</v>
      </c>
      <c r="F39" t="s">
        <v>85</v>
      </c>
      <c r="G39" t="s">
        <v>86</v>
      </c>
      <c r="H39">
        <v>0</v>
      </c>
      <c r="I39" t="s">
        <v>13</v>
      </c>
    </row>
    <row r="40" spans="1:9" x14ac:dyDescent="0.35">
      <c r="A40">
        <v>6134490</v>
      </c>
      <c r="B40" t="s">
        <v>9</v>
      </c>
      <c r="C40" t="s">
        <v>610</v>
      </c>
      <c r="D40" s="2">
        <v>45657</v>
      </c>
      <c r="E40" s="2">
        <v>45657</v>
      </c>
      <c r="F40" t="s">
        <v>87</v>
      </c>
      <c r="G40" t="s">
        <v>88</v>
      </c>
      <c r="H40">
        <v>0</v>
      </c>
      <c r="I40" t="s">
        <v>13</v>
      </c>
    </row>
    <row r="41" spans="1:9" x14ac:dyDescent="0.35">
      <c r="A41">
        <v>6134491</v>
      </c>
      <c r="B41" t="s">
        <v>9</v>
      </c>
      <c r="C41" t="s">
        <v>610</v>
      </c>
      <c r="D41" s="2">
        <v>45657</v>
      </c>
      <c r="E41" s="2">
        <v>45657</v>
      </c>
      <c r="F41" t="s">
        <v>89</v>
      </c>
      <c r="G41" t="s">
        <v>90</v>
      </c>
      <c r="H41">
        <v>0</v>
      </c>
      <c r="I41" t="s">
        <v>13</v>
      </c>
    </row>
    <row r="42" spans="1:9" x14ac:dyDescent="0.35">
      <c r="A42">
        <v>6134492</v>
      </c>
      <c r="B42" t="s">
        <v>9</v>
      </c>
      <c r="C42" t="s">
        <v>610</v>
      </c>
      <c r="D42" s="2">
        <v>45657</v>
      </c>
      <c r="E42" s="2">
        <v>45657</v>
      </c>
      <c r="F42" t="s">
        <v>91</v>
      </c>
      <c r="G42" t="s">
        <v>92</v>
      </c>
      <c r="H42">
        <v>0</v>
      </c>
      <c r="I42" t="s">
        <v>13</v>
      </c>
    </row>
    <row r="43" spans="1:9" x14ac:dyDescent="0.35">
      <c r="A43">
        <v>6134493</v>
      </c>
      <c r="B43" t="s">
        <v>9</v>
      </c>
      <c r="C43" t="s">
        <v>610</v>
      </c>
      <c r="D43" s="2">
        <v>45657</v>
      </c>
      <c r="E43" s="2">
        <v>45657</v>
      </c>
      <c r="F43" t="s">
        <v>93</v>
      </c>
      <c r="G43" t="s">
        <v>94</v>
      </c>
      <c r="H43">
        <v>190098</v>
      </c>
      <c r="I43" t="s">
        <v>13</v>
      </c>
    </row>
    <row r="44" spans="1:9" x14ac:dyDescent="0.35">
      <c r="A44">
        <v>6134494</v>
      </c>
      <c r="B44" t="s">
        <v>9</v>
      </c>
      <c r="C44" t="s">
        <v>610</v>
      </c>
      <c r="D44" s="2">
        <v>45657</v>
      </c>
      <c r="E44" s="2">
        <v>45657</v>
      </c>
      <c r="F44" t="s">
        <v>95</v>
      </c>
      <c r="G44" t="s">
        <v>52</v>
      </c>
      <c r="H44">
        <v>0</v>
      </c>
      <c r="I44" t="s">
        <v>13</v>
      </c>
    </row>
    <row r="45" spans="1:9" x14ac:dyDescent="0.35">
      <c r="A45">
        <v>6134495</v>
      </c>
      <c r="B45" t="s">
        <v>9</v>
      </c>
      <c r="C45" t="s">
        <v>610</v>
      </c>
      <c r="D45" s="2">
        <v>45657</v>
      </c>
      <c r="E45" s="2">
        <v>45657</v>
      </c>
      <c r="F45" t="s">
        <v>96</v>
      </c>
      <c r="G45" t="s">
        <v>54</v>
      </c>
      <c r="H45">
        <v>0</v>
      </c>
      <c r="I45" t="s">
        <v>13</v>
      </c>
    </row>
    <row r="46" spans="1:9" x14ac:dyDescent="0.35">
      <c r="A46">
        <v>6134496</v>
      </c>
      <c r="B46" t="s">
        <v>9</v>
      </c>
      <c r="C46" t="s">
        <v>610</v>
      </c>
      <c r="D46" s="2">
        <v>45657</v>
      </c>
      <c r="E46" s="2">
        <v>45657</v>
      </c>
      <c r="F46" t="s">
        <v>97</v>
      </c>
      <c r="G46" t="s">
        <v>612</v>
      </c>
      <c r="H46">
        <v>96684</v>
      </c>
      <c r="I46" t="s">
        <v>13</v>
      </c>
    </row>
    <row r="47" spans="1:9" x14ac:dyDescent="0.35">
      <c r="A47">
        <v>6134497</v>
      </c>
      <c r="B47" t="s">
        <v>9</v>
      </c>
      <c r="C47" t="s">
        <v>610</v>
      </c>
      <c r="D47" s="2">
        <v>45657</v>
      </c>
      <c r="E47" s="2">
        <v>45657</v>
      </c>
      <c r="F47" t="s">
        <v>99</v>
      </c>
      <c r="G47" t="s">
        <v>98</v>
      </c>
      <c r="H47">
        <v>36827</v>
      </c>
      <c r="I47" t="s">
        <v>13</v>
      </c>
    </row>
    <row r="48" spans="1:9" x14ac:dyDescent="0.35">
      <c r="A48">
        <v>6134498</v>
      </c>
      <c r="B48" t="s">
        <v>9</v>
      </c>
      <c r="C48" t="s">
        <v>610</v>
      </c>
      <c r="D48" s="2">
        <v>45657</v>
      </c>
      <c r="E48" s="2">
        <v>45657</v>
      </c>
      <c r="F48" t="s">
        <v>100</v>
      </c>
      <c r="G48" t="s">
        <v>94</v>
      </c>
      <c r="H48">
        <v>56587</v>
      </c>
      <c r="I48" t="s">
        <v>13</v>
      </c>
    </row>
    <row r="49" spans="1:9" x14ac:dyDescent="0.35">
      <c r="A49">
        <v>6134499</v>
      </c>
      <c r="B49" t="s">
        <v>9</v>
      </c>
      <c r="C49" t="s">
        <v>610</v>
      </c>
      <c r="D49" s="2">
        <v>45657</v>
      </c>
      <c r="E49" s="2">
        <v>45657</v>
      </c>
      <c r="F49" t="s">
        <v>102</v>
      </c>
      <c r="G49" t="s">
        <v>103</v>
      </c>
      <c r="H49">
        <v>835625</v>
      </c>
      <c r="I49" t="s">
        <v>13</v>
      </c>
    </row>
    <row r="50" spans="1:9" x14ac:dyDescent="0.35">
      <c r="A50">
        <v>6134500</v>
      </c>
      <c r="B50" t="s">
        <v>9</v>
      </c>
      <c r="C50" t="s">
        <v>610</v>
      </c>
      <c r="D50" s="2">
        <v>45657</v>
      </c>
      <c r="E50" s="2">
        <v>45657</v>
      </c>
      <c r="F50" t="s">
        <v>104</v>
      </c>
      <c r="G50" t="s">
        <v>105</v>
      </c>
      <c r="H50">
        <v>0</v>
      </c>
      <c r="I50" t="s">
        <v>13</v>
      </c>
    </row>
    <row r="51" spans="1:9" x14ac:dyDescent="0.35">
      <c r="A51">
        <v>6134501</v>
      </c>
      <c r="B51" t="s">
        <v>9</v>
      </c>
      <c r="C51" t="s">
        <v>610</v>
      </c>
      <c r="D51" s="2">
        <v>45657</v>
      </c>
      <c r="E51" s="2">
        <v>45657</v>
      </c>
      <c r="F51" t="s">
        <v>106</v>
      </c>
      <c r="G51" t="s">
        <v>107</v>
      </c>
      <c r="H51">
        <v>0</v>
      </c>
      <c r="I51" t="s">
        <v>13</v>
      </c>
    </row>
    <row r="52" spans="1:9" x14ac:dyDescent="0.35">
      <c r="A52">
        <v>6134502</v>
      </c>
      <c r="B52" t="s">
        <v>9</v>
      </c>
      <c r="C52" t="s">
        <v>610</v>
      </c>
      <c r="D52" s="2">
        <v>45657</v>
      </c>
      <c r="E52" s="2">
        <v>45657</v>
      </c>
      <c r="F52" t="s">
        <v>108</v>
      </c>
      <c r="G52" t="s">
        <v>109</v>
      </c>
      <c r="H52">
        <v>0</v>
      </c>
      <c r="I52" t="s">
        <v>13</v>
      </c>
    </row>
    <row r="53" spans="1:9" x14ac:dyDescent="0.35">
      <c r="A53">
        <v>6134503</v>
      </c>
      <c r="B53" t="s">
        <v>9</v>
      </c>
      <c r="C53" t="s">
        <v>610</v>
      </c>
      <c r="D53" s="2">
        <v>45657</v>
      </c>
      <c r="E53" s="2">
        <v>45657</v>
      </c>
      <c r="F53" t="s">
        <v>110</v>
      </c>
      <c r="G53" t="s">
        <v>111</v>
      </c>
      <c r="H53">
        <v>0</v>
      </c>
      <c r="I53" t="s">
        <v>13</v>
      </c>
    </row>
    <row r="54" spans="1:9" x14ac:dyDescent="0.35">
      <c r="A54">
        <v>6134504</v>
      </c>
      <c r="B54" t="s">
        <v>9</v>
      </c>
      <c r="C54" t="s">
        <v>610</v>
      </c>
      <c r="D54" s="2">
        <v>45657</v>
      </c>
      <c r="E54" s="2">
        <v>45657</v>
      </c>
      <c r="F54" t="s">
        <v>112</v>
      </c>
      <c r="G54" t="s">
        <v>113</v>
      </c>
      <c r="H54">
        <v>0</v>
      </c>
      <c r="I54" t="s">
        <v>13</v>
      </c>
    </row>
    <row r="55" spans="1:9" x14ac:dyDescent="0.35">
      <c r="A55">
        <v>6134505</v>
      </c>
      <c r="B55" t="s">
        <v>9</v>
      </c>
      <c r="C55" t="s">
        <v>610</v>
      </c>
      <c r="D55" s="2">
        <v>45657</v>
      </c>
      <c r="E55" s="2">
        <v>45657</v>
      </c>
      <c r="F55" t="s">
        <v>116</v>
      </c>
      <c r="G55" t="s">
        <v>117</v>
      </c>
      <c r="H55">
        <v>1604695</v>
      </c>
      <c r="I55" t="s">
        <v>13</v>
      </c>
    </row>
    <row r="56" spans="1:9" x14ac:dyDescent="0.35">
      <c r="A56">
        <v>6134506</v>
      </c>
      <c r="B56" t="s">
        <v>9</v>
      </c>
      <c r="C56" t="s">
        <v>610</v>
      </c>
      <c r="D56" s="2">
        <v>45657</v>
      </c>
      <c r="E56" s="2">
        <v>45657</v>
      </c>
      <c r="F56" t="s">
        <v>118</v>
      </c>
      <c r="G56" t="s">
        <v>119</v>
      </c>
      <c r="H56">
        <v>1430130</v>
      </c>
      <c r="I56" t="s">
        <v>13</v>
      </c>
    </row>
    <row r="57" spans="1:9" x14ac:dyDescent="0.35">
      <c r="A57">
        <v>6134507</v>
      </c>
      <c r="B57" t="s">
        <v>9</v>
      </c>
      <c r="C57" t="s">
        <v>610</v>
      </c>
      <c r="D57" s="2">
        <v>45657</v>
      </c>
      <c r="E57" s="2">
        <v>45657</v>
      </c>
      <c r="F57" t="s">
        <v>120</v>
      </c>
      <c r="G57" t="s">
        <v>121</v>
      </c>
      <c r="H57">
        <v>174565</v>
      </c>
      <c r="I57" t="s">
        <v>13</v>
      </c>
    </row>
    <row r="58" spans="1:9" x14ac:dyDescent="0.35">
      <c r="A58">
        <v>6134508</v>
      </c>
      <c r="B58" t="s">
        <v>9</v>
      </c>
      <c r="C58" t="s">
        <v>610</v>
      </c>
      <c r="D58" s="2">
        <v>45657</v>
      </c>
      <c r="E58" s="2">
        <v>45657</v>
      </c>
      <c r="F58" t="s">
        <v>126</v>
      </c>
      <c r="G58" t="s">
        <v>127</v>
      </c>
      <c r="H58">
        <v>0</v>
      </c>
      <c r="I58" t="s">
        <v>13</v>
      </c>
    </row>
    <row r="59" spans="1:9" x14ac:dyDescent="0.35">
      <c r="A59">
        <v>6134509</v>
      </c>
      <c r="B59" t="s">
        <v>9</v>
      </c>
      <c r="C59" t="s">
        <v>610</v>
      </c>
      <c r="D59" s="2">
        <v>45657</v>
      </c>
      <c r="E59" s="2">
        <v>45657</v>
      </c>
      <c r="F59" t="s">
        <v>128</v>
      </c>
      <c r="G59" t="s">
        <v>129</v>
      </c>
      <c r="H59">
        <v>445966</v>
      </c>
      <c r="I59" t="s">
        <v>13</v>
      </c>
    </row>
    <row r="60" spans="1:9" x14ac:dyDescent="0.35">
      <c r="A60">
        <v>6134510</v>
      </c>
      <c r="B60" t="s">
        <v>9</v>
      </c>
      <c r="C60" t="s">
        <v>610</v>
      </c>
      <c r="D60" s="2">
        <v>45657</v>
      </c>
      <c r="E60" s="2">
        <v>45657</v>
      </c>
      <c r="F60" t="s">
        <v>130</v>
      </c>
      <c r="G60" t="s">
        <v>131</v>
      </c>
      <c r="H60">
        <v>0</v>
      </c>
      <c r="I60" t="s">
        <v>13</v>
      </c>
    </row>
    <row r="61" spans="1:9" x14ac:dyDescent="0.35">
      <c r="A61">
        <v>6134511</v>
      </c>
      <c r="B61" t="s">
        <v>9</v>
      </c>
      <c r="C61" t="s">
        <v>610</v>
      </c>
      <c r="D61" s="2">
        <v>45657</v>
      </c>
      <c r="E61" s="2">
        <v>45657</v>
      </c>
      <c r="F61" t="s">
        <v>132</v>
      </c>
      <c r="G61" t="s">
        <v>133</v>
      </c>
      <c r="H61">
        <v>0</v>
      </c>
      <c r="I61" t="s">
        <v>13</v>
      </c>
    </row>
    <row r="62" spans="1:9" x14ac:dyDescent="0.35">
      <c r="A62">
        <v>6134512</v>
      </c>
      <c r="B62" t="s">
        <v>9</v>
      </c>
      <c r="C62" t="s">
        <v>610</v>
      </c>
      <c r="D62" s="2">
        <v>45657</v>
      </c>
      <c r="E62" s="2">
        <v>45657</v>
      </c>
      <c r="F62" t="s">
        <v>135</v>
      </c>
      <c r="G62" t="s">
        <v>136</v>
      </c>
      <c r="H62">
        <v>0</v>
      </c>
      <c r="I62" t="s">
        <v>13</v>
      </c>
    </row>
    <row r="63" spans="1:9" x14ac:dyDescent="0.35">
      <c r="A63">
        <v>6134513</v>
      </c>
      <c r="B63" t="s">
        <v>9</v>
      </c>
      <c r="C63" t="s">
        <v>610</v>
      </c>
      <c r="D63" s="2">
        <v>45657</v>
      </c>
      <c r="E63" s="2">
        <v>45657</v>
      </c>
      <c r="F63" t="s">
        <v>137</v>
      </c>
      <c r="G63" t="s">
        <v>138</v>
      </c>
      <c r="H63">
        <v>6839725</v>
      </c>
      <c r="I63" t="s">
        <v>13</v>
      </c>
    </row>
    <row r="64" spans="1:9" x14ac:dyDescent="0.35">
      <c r="A64">
        <v>6134514</v>
      </c>
      <c r="B64" t="s">
        <v>9</v>
      </c>
      <c r="C64" t="s">
        <v>610</v>
      </c>
      <c r="D64" s="2">
        <v>45657</v>
      </c>
      <c r="E64" s="2">
        <v>45657</v>
      </c>
      <c r="F64" t="s">
        <v>139</v>
      </c>
      <c r="G64" t="s">
        <v>140</v>
      </c>
      <c r="H64">
        <v>1349606</v>
      </c>
      <c r="I64" t="s">
        <v>13</v>
      </c>
    </row>
    <row r="65" spans="1:9" x14ac:dyDescent="0.35">
      <c r="A65">
        <v>6134515</v>
      </c>
      <c r="B65" t="s">
        <v>9</v>
      </c>
      <c r="C65" t="s">
        <v>610</v>
      </c>
      <c r="D65" s="2">
        <v>45657</v>
      </c>
      <c r="E65" s="2">
        <v>45657</v>
      </c>
      <c r="F65" t="s">
        <v>141</v>
      </c>
      <c r="G65" t="s">
        <v>142</v>
      </c>
      <c r="H65">
        <v>173259</v>
      </c>
      <c r="I65" t="s">
        <v>13</v>
      </c>
    </row>
    <row r="66" spans="1:9" x14ac:dyDescent="0.35">
      <c r="A66">
        <v>6134516</v>
      </c>
      <c r="B66" t="s">
        <v>9</v>
      </c>
      <c r="C66" t="s">
        <v>610</v>
      </c>
      <c r="D66" s="2">
        <v>45657</v>
      </c>
      <c r="E66" s="2">
        <v>45657</v>
      </c>
      <c r="F66" t="s">
        <v>143</v>
      </c>
      <c r="G66" t="s">
        <v>144</v>
      </c>
      <c r="H66">
        <v>0</v>
      </c>
      <c r="I66" t="s">
        <v>13</v>
      </c>
    </row>
    <row r="67" spans="1:9" x14ac:dyDescent="0.35">
      <c r="A67">
        <v>6134517</v>
      </c>
      <c r="B67" t="s">
        <v>9</v>
      </c>
      <c r="C67" t="s">
        <v>610</v>
      </c>
      <c r="D67" s="2">
        <v>45657</v>
      </c>
      <c r="E67" s="2">
        <v>45657</v>
      </c>
      <c r="F67" t="s">
        <v>145</v>
      </c>
      <c r="G67" t="s">
        <v>146</v>
      </c>
      <c r="H67">
        <v>0</v>
      </c>
      <c r="I67" t="s">
        <v>13</v>
      </c>
    </row>
    <row r="68" spans="1:9" x14ac:dyDescent="0.35">
      <c r="A68">
        <v>6134518</v>
      </c>
      <c r="B68" t="s">
        <v>9</v>
      </c>
      <c r="C68" t="s">
        <v>610</v>
      </c>
      <c r="D68" s="2">
        <v>45657</v>
      </c>
      <c r="E68" s="2">
        <v>45657</v>
      </c>
      <c r="F68" t="s">
        <v>147</v>
      </c>
      <c r="G68" t="s">
        <v>148</v>
      </c>
      <c r="H68">
        <v>455388</v>
      </c>
      <c r="I68" t="s">
        <v>13</v>
      </c>
    </row>
    <row r="69" spans="1:9" x14ac:dyDescent="0.35">
      <c r="A69">
        <v>6134519</v>
      </c>
      <c r="B69" t="s">
        <v>9</v>
      </c>
      <c r="C69" t="s">
        <v>610</v>
      </c>
      <c r="D69" s="2">
        <v>45657</v>
      </c>
      <c r="E69" s="2">
        <v>45657</v>
      </c>
      <c r="F69" t="s">
        <v>149</v>
      </c>
      <c r="G69" t="s">
        <v>150</v>
      </c>
      <c r="H69">
        <v>0</v>
      </c>
      <c r="I69" t="s">
        <v>13</v>
      </c>
    </row>
    <row r="70" spans="1:9" x14ac:dyDescent="0.35">
      <c r="A70">
        <v>6134520</v>
      </c>
      <c r="B70" t="s">
        <v>9</v>
      </c>
      <c r="C70" t="s">
        <v>610</v>
      </c>
      <c r="D70" s="2">
        <v>45657</v>
      </c>
      <c r="E70" s="2">
        <v>45657</v>
      </c>
      <c r="F70" t="s">
        <v>151</v>
      </c>
      <c r="G70" t="s">
        <v>152</v>
      </c>
      <c r="H70">
        <v>0</v>
      </c>
      <c r="I70" t="s">
        <v>13</v>
      </c>
    </row>
    <row r="71" spans="1:9" x14ac:dyDescent="0.35">
      <c r="A71">
        <v>6134521</v>
      </c>
      <c r="B71" t="s">
        <v>9</v>
      </c>
      <c r="C71" t="s">
        <v>610</v>
      </c>
      <c r="D71" s="2">
        <v>45657</v>
      </c>
      <c r="E71" s="2">
        <v>45657</v>
      </c>
      <c r="F71" t="s">
        <v>153</v>
      </c>
      <c r="G71" t="s">
        <v>154</v>
      </c>
      <c r="H71">
        <v>79549</v>
      </c>
      <c r="I71" t="s">
        <v>13</v>
      </c>
    </row>
    <row r="72" spans="1:9" x14ac:dyDescent="0.35">
      <c r="A72">
        <v>6134522</v>
      </c>
      <c r="B72" t="s">
        <v>9</v>
      </c>
      <c r="C72" t="s">
        <v>610</v>
      </c>
      <c r="D72" s="2">
        <v>45657</v>
      </c>
      <c r="E72" s="2">
        <v>45657</v>
      </c>
      <c r="F72" t="s">
        <v>155</v>
      </c>
      <c r="G72" t="s">
        <v>156</v>
      </c>
      <c r="H72">
        <v>0</v>
      </c>
      <c r="I72" t="s">
        <v>13</v>
      </c>
    </row>
    <row r="73" spans="1:9" x14ac:dyDescent="0.35">
      <c r="A73">
        <v>6134523</v>
      </c>
      <c r="B73" t="s">
        <v>9</v>
      </c>
      <c r="C73" t="s">
        <v>610</v>
      </c>
      <c r="D73" s="2">
        <v>45657</v>
      </c>
      <c r="E73" s="2">
        <v>45657</v>
      </c>
      <c r="F73" t="s">
        <v>157</v>
      </c>
      <c r="G73" t="s">
        <v>158</v>
      </c>
      <c r="H73">
        <v>0</v>
      </c>
      <c r="I73" t="s">
        <v>13</v>
      </c>
    </row>
    <row r="74" spans="1:9" x14ac:dyDescent="0.35">
      <c r="A74">
        <v>6134524</v>
      </c>
      <c r="B74" t="s">
        <v>9</v>
      </c>
      <c r="C74" t="s">
        <v>610</v>
      </c>
      <c r="D74" s="2">
        <v>45657</v>
      </c>
      <c r="E74" s="2">
        <v>45657</v>
      </c>
      <c r="F74" t="s">
        <v>161</v>
      </c>
      <c r="G74" t="s">
        <v>162</v>
      </c>
      <c r="H74">
        <v>0</v>
      </c>
      <c r="I74" t="s">
        <v>13</v>
      </c>
    </row>
    <row r="75" spans="1:9" x14ac:dyDescent="0.35">
      <c r="A75">
        <v>6134525</v>
      </c>
      <c r="B75" t="s">
        <v>9</v>
      </c>
      <c r="C75" t="s">
        <v>610</v>
      </c>
      <c r="D75" s="2">
        <v>45657</v>
      </c>
      <c r="E75" s="2">
        <v>45657</v>
      </c>
      <c r="F75" t="s">
        <v>163</v>
      </c>
      <c r="G75" t="s">
        <v>164</v>
      </c>
      <c r="H75">
        <v>0</v>
      </c>
      <c r="I75" t="s">
        <v>13</v>
      </c>
    </row>
    <row r="76" spans="1:9" x14ac:dyDescent="0.35">
      <c r="A76">
        <v>6134526</v>
      </c>
      <c r="B76" t="s">
        <v>9</v>
      </c>
      <c r="C76" t="s">
        <v>610</v>
      </c>
      <c r="D76" s="2">
        <v>45657</v>
      </c>
      <c r="E76" s="2">
        <v>45657</v>
      </c>
      <c r="F76" t="s">
        <v>165</v>
      </c>
      <c r="G76" t="s">
        <v>166</v>
      </c>
      <c r="H76">
        <v>251373</v>
      </c>
      <c r="I76" t="s">
        <v>13</v>
      </c>
    </row>
    <row r="77" spans="1:9" x14ac:dyDescent="0.35">
      <c r="A77">
        <v>6134527</v>
      </c>
      <c r="B77" t="s">
        <v>9</v>
      </c>
      <c r="C77" t="s">
        <v>610</v>
      </c>
      <c r="D77" s="2">
        <v>45657</v>
      </c>
      <c r="E77" s="2">
        <v>45657</v>
      </c>
      <c r="F77" t="s">
        <v>167</v>
      </c>
      <c r="G77" t="s">
        <v>166</v>
      </c>
      <c r="H77">
        <v>0</v>
      </c>
      <c r="I77" t="s">
        <v>13</v>
      </c>
    </row>
    <row r="78" spans="1:9" x14ac:dyDescent="0.35">
      <c r="A78">
        <v>6134528</v>
      </c>
      <c r="B78" t="s">
        <v>9</v>
      </c>
      <c r="C78" t="s">
        <v>610</v>
      </c>
      <c r="D78" s="2">
        <v>45657</v>
      </c>
      <c r="E78" s="2">
        <v>45657</v>
      </c>
      <c r="F78" t="s">
        <v>168</v>
      </c>
      <c r="G78" t="s">
        <v>169</v>
      </c>
      <c r="H78">
        <v>0</v>
      </c>
      <c r="I78" t="s">
        <v>13</v>
      </c>
    </row>
    <row r="79" spans="1:9" x14ac:dyDescent="0.35">
      <c r="A79">
        <v>6134529</v>
      </c>
      <c r="B79" t="s">
        <v>9</v>
      </c>
      <c r="C79" t="s">
        <v>610</v>
      </c>
      <c r="D79" s="2">
        <v>45657</v>
      </c>
      <c r="E79" s="2">
        <v>45657</v>
      </c>
      <c r="F79" t="s">
        <v>170</v>
      </c>
      <c r="G79" t="s">
        <v>171</v>
      </c>
      <c r="H79">
        <v>0</v>
      </c>
      <c r="I79" t="s">
        <v>13</v>
      </c>
    </row>
    <row r="80" spans="1:9" x14ac:dyDescent="0.35">
      <c r="A80">
        <v>6134530</v>
      </c>
      <c r="B80" t="s">
        <v>9</v>
      </c>
      <c r="C80" t="s">
        <v>610</v>
      </c>
      <c r="D80" s="2">
        <v>45657</v>
      </c>
      <c r="E80" s="2">
        <v>45657</v>
      </c>
      <c r="F80" t="s">
        <v>172</v>
      </c>
      <c r="G80" t="s">
        <v>173</v>
      </c>
      <c r="H80">
        <v>0</v>
      </c>
      <c r="I80" t="s">
        <v>13</v>
      </c>
    </row>
    <row r="81" spans="1:9" x14ac:dyDescent="0.35">
      <c r="A81">
        <v>6134531</v>
      </c>
      <c r="B81" t="s">
        <v>9</v>
      </c>
      <c r="C81" t="s">
        <v>610</v>
      </c>
      <c r="D81" s="2">
        <v>45657</v>
      </c>
      <c r="E81" s="2">
        <v>45657</v>
      </c>
      <c r="F81" t="s">
        <v>174</v>
      </c>
      <c r="G81" t="s">
        <v>175</v>
      </c>
      <c r="H81">
        <v>0</v>
      </c>
      <c r="I81" t="s">
        <v>13</v>
      </c>
    </row>
    <row r="82" spans="1:9" x14ac:dyDescent="0.35">
      <c r="A82">
        <v>6134532</v>
      </c>
      <c r="B82" t="s">
        <v>9</v>
      </c>
      <c r="C82" t="s">
        <v>610</v>
      </c>
      <c r="D82" s="2">
        <v>45657</v>
      </c>
      <c r="E82" s="2">
        <v>45657</v>
      </c>
      <c r="F82" t="s">
        <v>176</v>
      </c>
      <c r="G82" t="s">
        <v>177</v>
      </c>
      <c r="H82">
        <v>373302</v>
      </c>
      <c r="I82" t="s">
        <v>13</v>
      </c>
    </row>
    <row r="83" spans="1:9" x14ac:dyDescent="0.35">
      <c r="A83">
        <v>6134533</v>
      </c>
      <c r="B83" t="s">
        <v>9</v>
      </c>
      <c r="C83" t="s">
        <v>610</v>
      </c>
      <c r="D83" s="2">
        <v>45657</v>
      </c>
      <c r="E83" s="2">
        <v>45657</v>
      </c>
      <c r="F83" t="s">
        <v>178</v>
      </c>
      <c r="G83" t="s">
        <v>179</v>
      </c>
      <c r="H83">
        <v>0</v>
      </c>
      <c r="I83" t="s">
        <v>13</v>
      </c>
    </row>
    <row r="84" spans="1:9" x14ac:dyDescent="0.35">
      <c r="A84">
        <v>6134534</v>
      </c>
      <c r="B84" t="s">
        <v>9</v>
      </c>
      <c r="C84" t="s">
        <v>610</v>
      </c>
      <c r="D84" s="2">
        <v>45657</v>
      </c>
      <c r="E84" s="2">
        <v>45657</v>
      </c>
      <c r="F84" t="s">
        <v>180</v>
      </c>
      <c r="G84" t="s">
        <v>181</v>
      </c>
      <c r="H84">
        <v>0</v>
      </c>
      <c r="I84" t="s">
        <v>13</v>
      </c>
    </row>
    <row r="85" spans="1:9" x14ac:dyDescent="0.35">
      <c r="A85">
        <v>6134535</v>
      </c>
      <c r="B85" t="s">
        <v>9</v>
      </c>
      <c r="C85" t="s">
        <v>610</v>
      </c>
      <c r="D85" s="2">
        <v>45657</v>
      </c>
      <c r="E85" s="2">
        <v>45657</v>
      </c>
      <c r="F85" t="s">
        <v>182</v>
      </c>
      <c r="G85" t="s">
        <v>183</v>
      </c>
      <c r="H85">
        <v>0</v>
      </c>
      <c r="I85" t="s">
        <v>13</v>
      </c>
    </row>
    <row r="86" spans="1:9" x14ac:dyDescent="0.35">
      <c r="A86">
        <v>6134536</v>
      </c>
      <c r="B86" t="s">
        <v>9</v>
      </c>
      <c r="C86" t="s">
        <v>610</v>
      </c>
      <c r="D86" s="2">
        <v>45657</v>
      </c>
      <c r="E86" s="2">
        <v>45657</v>
      </c>
      <c r="F86" t="s">
        <v>184</v>
      </c>
      <c r="G86" t="s">
        <v>185</v>
      </c>
      <c r="H86">
        <v>0</v>
      </c>
      <c r="I86" t="s">
        <v>13</v>
      </c>
    </row>
    <row r="87" spans="1:9" x14ac:dyDescent="0.35">
      <c r="A87">
        <v>6134537</v>
      </c>
      <c r="B87" t="s">
        <v>9</v>
      </c>
      <c r="C87" t="s">
        <v>610</v>
      </c>
      <c r="D87" s="2">
        <v>45657</v>
      </c>
      <c r="E87" s="2">
        <v>45657</v>
      </c>
      <c r="F87" t="s">
        <v>186</v>
      </c>
      <c r="G87" t="s">
        <v>56</v>
      </c>
      <c r="H87">
        <v>373302</v>
      </c>
      <c r="I87" t="s">
        <v>13</v>
      </c>
    </row>
    <row r="88" spans="1:9" x14ac:dyDescent="0.35">
      <c r="A88">
        <v>6134538</v>
      </c>
      <c r="B88" t="s">
        <v>9</v>
      </c>
      <c r="C88" t="s">
        <v>610</v>
      </c>
      <c r="D88" s="2">
        <v>45657</v>
      </c>
      <c r="E88" s="2">
        <v>45657</v>
      </c>
      <c r="F88" t="s">
        <v>187</v>
      </c>
      <c r="G88" t="s">
        <v>188</v>
      </c>
      <c r="H88">
        <v>19344</v>
      </c>
      <c r="I88" t="s">
        <v>13</v>
      </c>
    </row>
    <row r="89" spans="1:9" x14ac:dyDescent="0.35">
      <c r="A89">
        <v>6134539</v>
      </c>
      <c r="B89" t="s">
        <v>9</v>
      </c>
      <c r="C89" t="s">
        <v>610</v>
      </c>
      <c r="D89" s="2">
        <v>45657</v>
      </c>
      <c r="E89" s="2">
        <v>45657</v>
      </c>
      <c r="F89" t="s">
        <v>189</v>
      </c>
      <c r="G89" t="s">
        <v>190</v>
      </c>
      <c r="H89">
        <v>0</v>
      </c>
      <c r="I89" t="s">
        <v>13</v>
      </c>
    </row>
    <row r="90" spans="1:9" x14ac:dyDescent="0.35">
      <c r="A90">
        <v>6134540</v>
      </c>
      <c r="B90" t="s">
        <v>9</v>
      </c>
      <c r="C90" t="s">
        <v>610</v>
      </c>
      <c r="D90" s="2">
        <v>45657</v>
      </c>
      <c r="E90" s="2">
        <v>45657</v>
      </c>
      <c r="F90" t="s">
        <v>191</v>
      </c>
      <c r="G90" t="s">
        <v>192</v>
      </c>
      <c r="H90">
        <v>0</v>
      </c>
      <c r="I90" t="s">
        <v>13</v>
      </c>
    </row>
    <row r="91" spans="1:9" x14ac:dyDescent="0.35">
      <c r="A91">
        <v>6134541</v>
      </c>
      <c r="B91" t="s">
        <v>9</v>
      </c>
      <c r="C91" t="s">
        <v>610</v>
      </c>
      <c r="D91" s="2">
        <v>45657</v>
      </c>
      <c r="E91" s="2">
        <v>45657</v>
      </c>
      <c r="F91" t="s">
        <v>195</v>
      </c>
      <c r="G91" t="s">
        <v>198</v>
      </c>
      <c r="H91">
        <v>139171</v>
      </c>
      <c r="I91" t="s">
        <v>13</v>
      </c>
    </row>
    <row r="92" spans="1:9" x14ac:dyDescent="0.35">
      <c r="A92">
        <v>6134542</v>
      </c>
      <c r="B92" t="s">
        <v>9</v>
      </c>
      <c r="C92" t="s">
        <v>610</v>
      </c>
      <c r="D92" s="2">
        <v>45657</v>
      </c>
      <c r="E92" s="2">
        <v>45657</v>
      </c>
      <c r="F92" t="s">
        <v>197</v>
      </c>
      <c r="G92" t="s">
        <v>613</v>
      </c>
      <c r="H92">
        <v>38068</v>
      </c>
      <c r="I92" t="s">
        <v>13</v>
      </c>
    </row>
    <row r="93" spans="1:9" x14ac:dyDescent="0.35">
      <c r="A93">
        <v>6134543</v>
      </c>
      <c r="B93" t="s">
        <v>9</v>
      </c>
      <c r="C93" t="s">
        <v>610</v>
      </c>
      <c r="D93" s="2">
        <v>45657</v>
      </c>
      <c r="E93" s="2">
        <v>45657</v>
      </c>
      <c r="F93" t="s">
        <v>199</v>
      </c>
      <c r="G93" t="s">
        <v>202</v>
      </c>
      <c r="H93">
        <v>170842</v>
      </c>
      <c r="I93" t="s">
        <v>13</v>
      </c>
    </row>
    <row r="94" spans="1:9" x14ac:dyDescent="0.35">
      <c r="A94">
        <v>6134544</v>
      </c>
      <c r="B94" t="s">
        <v>9</v>
      </c>
      <c r="C94" t="s">
        <v>610</v>
      </c>
      <c r="D94" s="2">
        <v>45657</v>
      </c>
      <c r="E94" s="2">
        <v>45657</v>
      </c>
      <c r="F94" t="s">
        <v>201</v>
      </c>
      <c r="G94" t="s">
        <v>204</v>
      </c>
      <c r="H94">
        <v>5877</v>
      </c>
      <c r="I94" t="s">
        <v>13</v>
      </c>
    </row>
    <row r="95" spans="1:9" x14ac:dyDescent="0.35">
      <c r="A95">
        <v>6134545</v>
      </c>
      <c r="B95" t="s">
        <v>9</v>
      </c>
      <c r="C95" t="s">
        <v>610</v>
      </c>
      <c r="D95" s="2">
        <v>45657</v>
      </c>
      <c r="E95" s="2">
        <v>45657</v>
      </c>
      <c r="F95" t="s">
        <v>207</v>
      </c>
      <c r="G95" t="s">
        <v>208</v>
      </c>
      <c r="H95">
        <v>16735</v>
      </c>
      <c r="I95" t="s">
        <v>13</v>
      </c>
    </row>
    <row r="96" spans="1:9" x14ac:dyDescent="0.35">
      <c r="A96">
        <v>6134546</v>
      </c>
      <c r="B96" t="s">
        <v>9</v>
      </c>
      <c r="C96" t="s">
        <v>610</v>
      </c>
      <c r="D96" s="2">
        <v>45657</v>
      </c>
      <c r="E96" s="2">
        <v>45657</v>
      </c>
      <c r="F96" t="s">
        <v>209</v>
      </c>
      <c r="G96" t="s">
        <v>210</v>
      </c>
      <c r="H96">
        <v>0</v>
      </c>
      <c r="I96" t="s">
        <v>13</v>
      </c>
    </row>
    <row r="97" spans="1:9" x14ac:dyDescent="0.35">
      <c r="A97">
        <v>6134547</v>
      </c>
      <c r="B97" t="s">
        <v>9</v>
      </c>
      <c r="C97" t="s">
        <v>610</v>
      </c>
      <c r="D97" s="2">
        <v>45657</v>
      </c>
      <c r="E97" s="2">
        <v>45657</v>
      </c>
      <c r="F97" t="s">
        <v>211</v>
      </c>
      <c r="G97" t="s">
        <v>212</v>
      </c>
      <c r="H97">
        <v>0</v>
      </c>
      <c r="I97" t="s">
        <v>13</v>
      </c>
    </row>
    <row r="98" spans="1:9" x14ac:dyDescent="0.35">
      <c r="A98">
        <v>6134548</v>
      </c>
      <c r="B98" t="s">
        <v>9</v>
      </c>
      <c r="C98" t="s">
        <v>610</v>
      </c>
      <c r="D98" s="2">
        <v>45657</v>
      </c>
      <c r="E98" s="2">
        <v>45657</v>
      </c>
      <c r="F98" t="s">
        <v>213</v>
      </c>
      <c r="G98" t="s">
        <v>214</v>
      </c>
      <c r="H98">
        <v>0</v>
      </c>
      <c r="I98" t="s">
        <v>13</v>
      </c>
    </row>
    <row r="99" spans="1:9" x14ac:dyDescent="0.35">
      <c r="A99">
        <v>6134549</v>
      </c>
      <c r="B99" t="s">
        <v>9</v>
      </c>
      <c r="C99" t="s">
        <v>610</v>
      </c>
      <c r="D99" s="2">
        <v>45657</v>
      </c>
      <c r="E99" s="2">
        <v>45657</v>
      </c>
      <c r="F99" t="s">
        <v>215</v>
      </c>
      <c r="G99" t="s">
        <v>216</v>
      </c>
      <c r="H99">
        <v>0</v>
      </c>
      <c r="I99" t="s">
        <v>13</v>
      </c>
    </row>
    <row r="100" spans="1:9" x14ac:dyDescent="0.35">
      <c r="A100">
        <v>6134550</v>
      </c>
      <c r="B100" t="s">
        <v>9</v>
      </c>
      <c r="C100" t="s">
        <v>610</v>
      </c>
      <c r="D100" s="2">
        <v>45657</v>
      </c>
      <c r="E100" s="2">
        <v>45657</v>
      </c>
      <c r="F100" t="s">
        <v>217</v>
      </c>
      <c r="G100" t="s">
        <v>218</v>
      </c>
      <c r="H100">
        <v>0</v>
      </c>
      <c r="I100" t="s">
        <v>13</v>
      </c>
    </row>
    <row r="101" spans="1:9" x14ac:dyDescent="0.35">
      <c r="A101">
        <v>6134551</v>
      </c>
      <c r="B101" t="s">
        <v>9</v>
      </c>
      <c r="C101" t="s">
        <v>610</v>
      </c>
      <c r="D101" s="2">
        <v>45657</v>
      </c>
      <c r="E101" s="2">
        <v>45657</v>
      </c>
      <c r="F101" t="s">
        <v>219</v>
      </c>
      <c r="G101" t="s">
        <v>220</v>
      </c>
      <c r="H101">
        <v>0</v>
      </c>
      <c r="I101" t="s">
        <v>13</v>
      </c>
    </row>
    <row r="102" spans="1:9" x14ac:dyDescent="0.35">
      <c r="A102">
        <v>6134552</v>
      </c>
      <c r="B102" t="s">
        <v>9</v>
      </c>
      <c r="C102" t="s">
        <v>610</v>
      </c>
      <c r="D102" s="2">
        <v>45657</v>
      </c>
      <c r="E102" s="2">
        <v>45657</v>
      </c>
      <c r="F102" t="s">
        <v>221</v>
      </c>
      <c r="G102" t="s">
        <v>222</v>
      </c>
      <c r="H102">
        <v>0</v>
      </c>
      <c r="I102" t="s">
        <v>13</v>
      </c>
    </row>
    <row r="103" spans="1:9" x14ac:dyDescent="0.35">
      <c r="A103">
        <v>6134553</v>
      </c>
      <c r="B103" t="s">
        <v>9</v>
      </c>
      <c r="C103" t="s">
        <v>610</v>
      </c>
      <c r="D103" s="2">
        <v>45657</v>
      </c>
      <c r="E103" s="2">
        <v>45657</v>
      </c>
      <c r="F103" t="s">
        <v>223</v>
      </c>
      <c r="G103" t="s">
        <v>224</v>
      </c>
      <c r="H103">
        <v>0</v>
      </c>
      <c r="I103" t="s">
        <v>13</v>
      </c>
    </row>
    <row r="104" spans="1:9" x14ac:dyDescent="0.35">
      <c r="A104">
        <v>6134554</v>
      </c>
      <c r="B104" t="s">
        <v>9</v>
      </c>
      <c r="C104" t="s">
        <v>610</v>
      </c>
      <c r="D104" s="2">
        <v>45657</v>
      </c>
      <c r="E104" s="2">
        <v>45657</v>
      </c>
      <c r="F104" t="s">
        <v>225</v>
      </c>
      <c r="G104" t="s">
        <v>226</v>
      </c>
      <c r="H104">
        <v>0</v>
      </c>
      <c r="I104" t="s">
        <v>13</v>
      </c>
    </row>
    <row r="105" spans="1:9" x14ac:dyDescent="0.35">
      <c r="A105">
        <v>6134555</v>
      </c>
      <c r="B105" t="s">
        <v>9</v>
      </c>
      <c r="C105" t="s">
        <v>610</v>
      </c>
      <c r="D105" s="2">
        <v>45657</v>
      </c>
      <c r="E105" s="2">
        <v>45657</v>
      </c>
      <c r="F105" t="s">
        <v>227</v>
      </c>
      <c r="G105" t="s">
        <v>228</v>
      </c>
      <c r="H105">
        <v>0</v>
      </c>
      <c r="I105" t="s">
        <v>13</v>
      </c>
    </row>
    <row r="106" spans="1:9" x14ac:dyDescent="0.35">
      <c r="A106">
        <v>6134556</v>
      </c>
      <c r="B106" t="s">
        <v>9</v>
      </c>
      <c r="C106" t="s">
        <v>610</v>
      </c>
      <c r="D106" s="2">
        <v>45657</v>
      </c>
      <c r="E106" s="2">
        <v>45657</v>
      </c>
      <c r="F106" t="s">
        <v>229</v>
      </c>
      <c r="G106" t="s">
        <v>230</v>
      </c>
      <c r="H106">
        <v>0</v>
      </c>
      <c r="I106" t="s">
        <v>13</v>
      </c>
    </row>
    <row r="107" spans="1:9" x14ac:dyDescent="0.35">
      <c r="A107">
        <v>6134557</v>
      </c>
      <c r="B107" t="s">
        <v>9</v>
      </c>
      <c r="C107" t="s">
        <v>610</v>
      </c>
      <c r="D107" s="2">
        <v>45657</v>
      </c>
      <c r="E107" s="2">
        <v>45657</v>
      </c>
      <c r="F107" t="s">
        <v>231</v>
      </c>
      <c r="G107" t="s">
        <v>232</v>
      </c>
      <c r="H107">
        <v>0</v>
      </c>
      <c r="I107" t="s">
        <v>13</v>
      </c>
    </row>
    <row r="108" spans="1:9" x14ac:dyDescent="0.35">
      <c r="A108">
        <v>6134558</v>
      </c>
      <c r="B108" t="s">
        <v>9</v>
      </c>
      <c r="C108" t="s">
        <v>610</v>
      </c>
      <c r="D108" s="2">
        <v>45657</v>
      </c>
      <c r="E108" s="2">
        <v>45657</v>
      </c>
      <c r="F108" t="s">
        <v>233</v>
      </c>
      <c r="G108" t="s">
        <v>234</v>
      </c>
      <c r="H108">
        <v>1453740</v>
      </c>
      <c r="I108" t="s">
        <v>13</v>
      </c>
    </row>
    <row r="109" spans="1:9" x14ac:dyDescent="0.35">
      <c r="A109">
        <v>6134559</v>
      </c>
      <c r="B109" t="s">
        <v>9</v>
      </c>
      <c r="C109" t="s">
        <v>610</v>
      </c>
      <c r="D109" s="2">
        <v>45657</v>
      </c>
      <c r="E109" s="2">
        <v>45657</v>
      </c>
      <c r="F109" t="s">
        <v>235</v>
      </c>
      <c r="G109" t="s">
        <v>166</v>
      </c>
      <c r="H109">
        <v>1172151</v>
      </c>
      <c r="I109" t="s">
        <v>13</v>
      </c>
    </row>
    <row r="110" spans="1:9" x14ac:dyDescent="0.35">
      <c r="A110">
        <v>6134560</v>
      </c>
      <c r="B110" t="s">
        <v>9</v>
      </c>
      <c r="C110" t="s">
        <v>610</v>
      </c>
      <c r="D110" s="2">
        <v>45657</v>
      </c>
      <c r="E110" s="2">
        <v>45657</v>
      </c>
      <c r="F110" t="s">
        <v>236</v>
      </c>
      <c r="G110" t="s">
        <v>166</v>
      </c>
      <c r="H110">
        <v>0</v>
      </c>
      <c r="I110" t="s">
        <v>13</v>
      </c>
    </row>
    <row r="111" spans="1:9" x14ac:dyDescent="0.35">
      <c r="A111">
        <v>6134561</v>
      </c>
      <c r="B111" t="s">
        <v>9</v>
      </c>
      <c r="C111" t="s">
        <v>610</v>
      </c>
      <c r="D111" s="2">
        <v>45657</v>
      </c>
      <c r="E111" s="2">
        <v>45657</v>
      </c>
      <c r="F111" t="s">
        <v>237</v>
      </c>
      <c r="G111" t="s">
        <v>169</v>
      </c>
      <c r="H111">
        <v>0</v>
      </c>
      <c r="I111" t="s">
        <v>13</v>
      </c>
    </row>
    <row r="112" spans="1:9" x14ac:dyDescent="0.35">
      <c r="A112">
        <v>6134562</v>
      </c>
      <c r="B112" t="s">
        <v>9</v>
      </c>
      <c r="C112" t="s">
        <v>610</v>
      </c>
      <c r="D112" s="2">
        <v>45657</v>
      </c>
      <c r="E112" s="2">
        <v>45657</v>
      </c>
      <c r="F112" t="s">
        <v>238</v>
      </c>
      <c r="G112" t="s">
        <v>171</v>
      </c>
      <c r="H112">
        <v>0</v>
      </c>
      <c r="I112" t="s">
        <v>13</v>
      </c>
    </row>
    <row r="113" spans="1:9" x14ac:dyDescent="0.35">
      <c r="A113">
        <v>6134563</v>
      </c>
      <c r="B113" t="s">
        <v>9</v>
      </c>
      <c r="C113" t="s">
        <v>610</v>
      </c>
      <c r="D113" s="2">
        <v>45657</v>
      </c>
      <c r="E113" s="2">
        <v>45657</v>
      </c>
      <c r="F113" t="s">
        <v>239</v>
      </c>
      <c r="G113" t="s">
        <v>173</v>
      </c>
      <c r="H113">
        <v>0</v>
      </c>
      <c r="I113" t="s">
        <v>13</v>
      </c>
    </row>
    <row r="114" spans="1:9" x14ac:dyDescent="0.35">
      <c r="A114">
        <v>6134564</v>
      </c>
      <c r="B114" t="s">
        <v>9</v>
      </c>
      <c r="C114" t="s">
        <v>610</v>
      </c>
      <c r="D114" s="2">
        <v>45657</v>
      </c>
      <c r="E114" s="2">
        <v>45657</v>
      </c>
      <c r="F114" t="s">
        <v>240</v>
      </c>
      <c r="G114" t="s">
        <v>175</v>
      </c>
      <c r="H114">
        <v>0</v>
      </c>
      <c r="I114" t="s">
        <v>13</v>
      </c>
    </row>
    <row r="115" spans="1:9" x14ac:dyDescent="0.35">
      <c r="A115">
        <v>6134565</v>
      </c>
      <c r="B115" t="s">
        <v>9</v>
      </c>
      <c r="C115" t="s">
        <v>610</v>
      </c>
      <c r="D115" s="2">
        <v>45657</v>
      </c>
      <c r="E115" s="2">
        <v>45657</v>
      </c>
      <c r="F115" t="s">
        <v>241</v>
      </c>
      <c r="G115" t="s">
        <v>177</v>
      </c>
      <c r="H115">
        <v>279115</v>
      </c>
      <c r="I115" t="s">
        <v>13</v>
      </c>
    </row>
    <row r="116" spans="1:9" x14ac:dyDescent="0.35">
      <c r="A116">
        <v>6134566</v>
      </c>
      <c r="B116" t="s">
        <v>9</v>
      </c>
      <c r="C116" t="s">
        <v>610</v>
      </c>
      <c r="D116" s="2">
        <v>45657</v>
      </c>
      <c r="E116" s="2">
        <v>45657</v>
      </c>
      <c r="F116" t="s">
        <v>242</v>
      </c>
      <c r="G116" t="s">
        <v>179</v>
      </c>
      <c r="H116">
        <v>0</v>
      </c>
      <c r="I116" t="s">
        <v>13</v>
      </c>
    </row>
    <row r="117" spans="1:9" x14ac:dyDescent="0.35">
      <c r="A117">
        <v>6134567</v>
      </c>
      <c r="B117" t="s">
        <v>9</v>
      </c>
      <c r="C117" t="s">
        <v>610</v>
      </c>
      <c r="D117" s="2">
        <v>45657</v>
      </c>
      <c r="E117" s="2">
        <v>45657</v>
      </c>
      <c r="F117" t="s">
        <v>243</v>
      </c>
      <c r="G117" t="s">
        <v>181</v>
      </c>
      <c r="H117">
        <v>0</v>
      </c>
      <c r="I117" t="s">
        <v>13</v>
      </c>
    </row>
    <row r="118" spans="1:9" x14ac:dyDescent="0.35">
      <c r="A118">
        <v>6134568</v>
      </c>
      <c r="B118" t="s">
        <v>9</v>
      </c>
      <c r="C118" t="s">
        <v>610</v>
      </c>
      <c r="D118" s="2">
        <v>45657</v>
      </c>
      <c r="E118" s="2">
        <v>45657</v>
      </c>
      <c r="F118" t="s">
        <v>244</v>
      </c>
      <c r="G118" t="s">
        <v>183</v>
      </c>
      <c r="H118">
        <v>0</v>
      </c>
      <c r="I118" t="s">
        <v>13</v>
      </c>
    </row>
    <row r="119" spans="1:9" x14ac:dyDescent="0.35">
      <c r="A119">
        <v>6134569</v>
      </c>
      <c r="B119" t="s">
        <v>9</v>
      </c>
      <c r="C119" t="s">
        <v>610</v>
      </c>
      <c r="D119" s="2">
        <v>45657</v>
      </c>
      <c r="E119" s="2">
        <v>45657</v>
      </c>
      <c r="F119" t="s">
        <v>245</v>
      </c>
      <c r="G119" t="s">
        <v>185</v>
      </c>
      <c r="H119">
        <v>0</v>
      </c>
      <c r="I119" t="s">
        <v>13</v>
      </c>
    </row>
    <row r="120" spans="1:9" x14ac:dyDescent="0.35">
      <c r="A120">
        <v>6134570</v>
      </c>
      <c r="B120" t="s">
        <v>9</v>
      </c>
      <c r="C120" t="s">
        <v>610</v>
      </c>
      <c r="D120" s="2">
        <v>45657</v>
      </c>
      <c r="E120" s="2">
        <v>45657</v>
      </c>
      <c r="F120" t="s">
        <v>246</v>
      </c>
      <c r="G120" t="s">
        <v>56</v>
      </c>
      <c r="H120">
        <v>279115</v>
      </c>
      <c r="I120" t="s">
        <v>13</v>
      </c>
    </row>
    <row r="121" spans="1:9" x14ac:dyDescent="0.35">
      <c r="A121">
        <v>6134571</v>
      </c>
      <c r="B121" t="s">
        <v>9</v>
      </c>
      <c r="C121" t="s">
        <v>610</v>
      </c>
      <c r="D121" s="2">
        <v>45657</v>
      </c>
      <c r="E121" s="2">
        <v>45657</v>
      </c>
      <c r="F121" t="s">
        <v>247</v>
      </c>
      <c r="G121" t="s">
        <v>192</v>
      </c>
      <c r="H121">
        <v>0</v>
      </c>
      <c r="I121" t="s">
        <v>13</v>
      </c>
    </row>
    <row r="122" spans="1:9" x14ac:dyDescent="0.35">
      <c r="A122">
        <v>6134572</v>
      </c>
      <c r="B122" t="s">
        <v>9</v>
      </c>
      <c r="C122" t="s">
        <v>610</v>
      </c>
      <c r="D122" s="2">
        <v>45657</v>
      </c>
      <c r="E122" s="2">
        <v>45657</v>
      </c>
      <c r="F122" t="s">
        <v>248</v>
      </c>
      <c r="G122" t="s">
        <v>249</v>
      </c>
      <c r="H122">
        <v>0</v>
      </c>
      <c r="I122" t="s">
        <v>13</v>
      </c>
    </row>
    <row r="123" spans="1:9" x14ac:dyDescent="0.35">
      <c r="A123">
        <v>6134573</v>
      </c>
      <c r="B123" t="s">
        <v>9</v>
      </c>
      <c r="C123" t="s">
        <v>610</v>
      </c>
      <c r="D123" s="2">
        <v>45657</v>
      </c>
      <c r="E123" s="2">
        <v>45657</v>
      </c>
      <c r="F123" t="s">
        <v>250</v>
      </c>
      <c r="G123" t="s">
        <v>614</v>
      </c>
      <c r="H123">
        <v>16717</v>
      </c>
      <c r="I123" t="s">
        <v>13</v>
      </c>
    </row>
    <row r="124" spans="1:9" x14ac:dyDescent="0.35">
      <c r="A124">
        <v>6134574</v>
      </c>
      <c r="B124" t="s">
        <v>9</v>
      </c>
      <c r="C124" t="s">
        <v>610</v>
      </c>
      <c r="D124" s="2">
        <v>45657</v>
      </c>
      <c r="E124" s="2">
        <v>45657</v>
      </c>
      <c r="F124" t="s">
        <v>251</v>
      </c>
      <c r="G124" t="s">
        <v>154</v>
      </c>
      <c r="H124">
        <v>23409</v>
      </c>
      <c r="I124" t="s">
        <v>13</v>
      </c>
    </row>
    <row r="125" spans="1:9" x14ac:dyDescent="0.35">
      <c r="A125">
        <v>6134575</v>
      </c>
      <c r="B125" t="s">
        <v>9</v>
      </c>
      <c r="C125" t="s">
        <v>610</v>
      </c>
      <c r="D125" s="2">
        <v>45657</v>
      </c>
      <c r="E125" s="2">
        <v>45657</v>
      </c>
      <c r="F125" t="s">
        <v>253</v>
      </c>
      <c r="G125" t="s">
        <v>615</v>
      </c>
      <c r="H125">
        <v>0</v>
      </c>
      <c r="I125" t="s">
        <v>13</v>
      </c>
    </row>
    <row r="126" spans="1:9" x14ac:dyDescent="0.35">
      <c r="A126">
        <v>6134576</v>
      </c>
      <c r="B126" t="s">
        <v>9</v>
      </c>
      <c r="C126" t="s">
        <v>610</v>
      </c>
      <c r="D126" s="2">
        <v>45657</v>
      </c>
      <c r="E126" s="2">
        <v>45657</v>
      </c>
      <c r="F126" t="s">
        <v>256</v>
      </c>
      <c r="G126" t="s">
        <v>204</v>
      </c>
      <c r="H126">
        <v>4496</v>
      </c>
      <c r="I126" t="s">
        <v>13</v>
      </c>
    </row>
    <row r="127" spans="1:9" x14ac:dyDescent="0.35">
      <c r="A127">
        <v>6134577</v>
      </c>
      <c r="B127" t="s">
        <v>9</v>
      </c>
      <c r="C127" t="s">
        <v>610</v>
      </c>
      <c r="D127" s="2">
        <v>45657</v>
      </c>
      <c r="E127" s="2">
        <v>45657</v>
      </c>
      <c r="F127" t="s">
        <v>257</v>
      </c>
      <c r="G127" t="s">
        <v>613</v>
      </c>
      <c r="H127">
        <v>151692</v>
      </c>
      <c r="I127" t="s">
        <v>13</v>
      </c>
    </row>
    <row r="128" spans="1:9" x14ac:dyDescent="0.35">
      <c r="A128">
        <v>6134578</v>
      </c>
      <c r="B128" t="s">
        <v>9</v>
      </c>
      <c r="C128" t="s">
        <v>610</v>
      </c>
      <c r="D128" s="2">
        <v>45657</v>
      </c>
      <c r="E128" s="2">
        <v>45657</v>
      </c>
      <c r="F128" t="s">
        <v>259</v>
      </c>
      <c r="G128" t="s">
        <v>206</v>
      </c>
      <c r="H128">
        <v>82801</v>
      </c>
      <c r="I128" t="s">
        <v>13</v>
      </c>
    </row>
    <row r="129" spans="1:9" x14ac:dyDescent="0.35">
      <c r="A129">
        <v>6134579</v>
      </c>
      <c r="B129" t="s">
        <v>9</v>
      </c>
      <c r="C129" t="s">
        <v>610</v>
      </c>
      <c r="D129" s="2">
        <v>45657</v>
      </c>
      <c r="E129" s="2">
        <v>45657</v>
      </c>
      <c r="F129" t="s">
        <v>616</v>
      </c>
      <c r="G129" t="s">
        <v>617</v>
      </c>
      <c r="H129">
        <v>0</v>
      </c>
      <c r="I129" t="s">
        <v>13</v>
      </c>
    </row>
    <row r="130" spans="1:9" x14ac:dyDescent="0.35">
      <c r="A130">
        <v>6134580</v>
      </c>
      <c r="B130" t="s">
        <v>9</v>
      </c>
      <c r="C130" t="s">
        <v>610</v>
      </c>
      <c r="D130" s="2">
        <v>45657</v>
      </c>
      <c r="E130" s="2">
        <v>45657</v>
      </c>
      <c r="F130" t="s">
        <v>260</v>
      </c>
      <c r="G130" t="s">
        <v>81</v>
      </c>
      <c r="H130">
        <v>69</v>
      </c>
      <c r="I130" t="s">
        <v>13</v>
      </c>
    </row>
    <row r="131" spans="1:9" x14ac:dyDescent="0.35">
      <c r="A131">
        <v>6134581</v>
      </c>
      <c r="B131" t="s">
        <v>9</v>
      </c>
      <c r="C131" t="s">
        <v>610</v>
      </c>
      <c r="D131" s="2">
        <v>45657</v>
      </c>
      <c r="E131" s="2">
        <v>45657</v>
      </c>
      <c r="F131" t="s">
        <v>261</v>
      </c>
      <c r="G131" t="s">
        <v>83</v>
      </c>
      <c r="H131">
        <v>0</v>
      </c>
      <c r="I131" t="s">
        <v>13</v>
      </c>
    </row>
    <row r="132" spans="1:9" x14ac:dyDescent="0.35">
      <c r="A132">
        <v>6134582</v>
      </c>
      <c r="B132" t="s">
        <v>9</v>
      </c>
      <c r="C132" t="s">
        <v>610</v>
      </c>
      <c r="D132" s="2">
        <v>45657</v>
      </c>
      <c r="E132" s="2">
        <v>45657</v>
      </c>
      <c r="F132" t="s">
        <v>262</v>
      </c>
      <c r="G132" t="s">
        <v>208</v>
      </c>
      <c r="H132">
        <v>2405</v>
      </c>
      <c r="I132" t="s">
        <v>13</v>
      </c>
    </row>
    <row r="133" spans="1:9" x14ac:dyDescent="0.35">
      <c r="A133">
        <v>6134583</v>
      </c>
      <c r="B133" t="s">
        <v>9</v>
      </c>
      <c r="C133" t="s">
        <v>610</v>
      </c>
      <c r="D133" s="2">
        <v>45657</v>
      </c>
      <c r="E133" s="2">
        <v>45657</v>
      </c>
      <c r="F133" t="s">
        <v>263</v>
      </c>
      <c r="G133" t="s">
        <v>210</v>
      </c>
      <c r="H133">
        <v>0</v>
      </c>
      <c r="I133" t="s">
        <v>13</v>
      </c>
    </row>
    <row r="134" spans="1:9" x14ac:dyDescent="0.35">
      <c r="A134">
        <v>6134584</v>
      </c>
      <c r="B134" t="s">
        <v>9</v>
      </c>
      <c r="C134" t="s">
        <v>610</v>
      </c>
      <c r="D134" s="2">
        <v>45657</v>
      </c>
      <c r="E134" s="2">
        <v>45657</v>
      </c>
      <c r="F134" t="s">
        <v>264</v>
      </c>
      <c r="G134" t="s">
        <v>212</v>
      </c>
      <c r="H134">
        <v>0</v>
      </c>
      <c r="I134" t="s">
        <v>13</v>
      </c>
    </row>
    <row r="135" spans="1:9" x14ac:dyDescent="0.35">
      <c r="A135">
        <v>6134585</v>
      </c>
      <c r="B135" t="s">
        <v>9</v>
      </c>
      <c r="C135" t="s">
        <v>610</v>
      </c>
      <c r="D135" s="2">
        <v>45657</v>
      </c>
      <c r="E135" s="2">
        <v>45657</v>
      </c>
      <c r="F135" t="s">
        <v>265</v>
      </c>
      <c r="G135" t="s">
        <v>214</v>
      </c>
      <c r="H135">
        <v>0</v>
      </c>
      <c r="I135" t="s">
        <v>13</v>
      </c>
    </row>
    <row r="136" spans="1:9" x14ac:dyDescent="0.35">
      <c r="A136">
        <v>6134586</v>
      </c>
      <c r="B136" t="s">
        <v>9</v>
      </c>
      <c r="C136" t="s">
        <v>610</v>
      </c>
      <c r="D136" s="2">
        <v>45657</v>
      </c>
      <c r="E136" s="2">
        <v>45657</v>
      </c>
      <c r="F136" t="s">
        <v>266</v>
      </c>
      <c r="G136" t="s">
        <v>216</v>
      </c>
      <c r="H136">
        <v>0</v>
      </c>
      <c r="I136" t="s">
        <v>13</v>
      </c>
    </row>
    <row r="137" spans="1:9" x14ac:dyDescent="0.35">
      <c r="A137">
        <v>6134587</v>
      </c>
      <c r="B137" t="s">
        <v>9</v>
      </c>
      <c r="C137" t="s">
        <v>610</v>
      </c>
      <c r="D137" s="2">
        <v>45657</v>
      </c>
      <c r="E137" s="2">
        <v>45657</v>
      </c>
      <c r="F137" t="s">
        <v>267</v>
      </c>
      <c r="G137" t="s">
        <v>218</v>
      </c>
      <c r="H137">
        <v>0</v>
      </c>
      <c r="I137" t="s">
        <v>13</v>
      </c>
    </row>
    <row r="138" spans="1:9" x14ac:dyDescent="0.35">
      <c r="A138">
        <v>6134588</v>
      </c>
      <c r="B138" t="s">
        <v>9</v>
      </c>
      <c r="C138" t="s">
        <v>610</v>
      </c>
      <c r="D138" s="2">
        <v>45657</v>
      </c>
      <c r="E138" s="2">
        <v>45657</v>
      </c>
      <c r="F138" t="s">
        <v>268</v>
      </c>
      <c r="G138" t="s">
        <v>220</v>
      </c>
      <c r="H138">
        <v>0</v>
      </c>
      <c r="I138" t="s">
        <v>13</v>
      </c>
    </row>
    <row r="139" spans="1:9" x14ac:dyDescent="0.35">
      <c r="A139">
        <v>6134589</v>
      </c>
      <c r="B139" t="s">
        <v>9</v>
      </c>
      <c r="C139" t="s">
        <v>610</v>
      </c>
      <c r="D139" s="2">
        <v>45657</v>
      </c>
      <c r="E139" s="2">
        <v>45657</v>
      </c>
      <c r="F139" t="s">
        <v>269</v>
      </c>
      <c r="G139" t="s">
        <v>222</v>
      </c>
      <c r="H139">
        <v>0</v>
      </c>
      <c r="I139" t="s">
        <v>13</v>
      </c>
    </row>
    <row r="140" spans="1:9" x14ac:dyDescent="0.35">
      <c r="A140">
        <v>6134590</v>
      </c>
      <c r="B140" t="s">
        <v>9</v>
      </c>
      <c r="C140" t="s">
        <v>610</v>
      </c>
      <c r="D140" s="2">
        <v>45657</v>
      </c>
      <c r="E140" s="2">
        <v>45657</v>
      </c>
      <c r="F140" t="s">
        <v>270</v>
      </c>
      <c r="G140" t="s">
        <v>224</v>
      </c>
      <c r="H140">
        <v>0</v>
      </c>
      <c r="I140" t="s">
        <v>13</v>
      </c>
    </row>
    <row r="141" spans="1:9" x14ac:dyDescent="0.35">
      <c r="A141">
        <v>6134591</v>
      </c>
      <c r="B141" t="s">
        <v>9</v>
      </c>
      <c r="C141" t="s">
        <v>610</v>
      </c>
      <c r="D141" s="2">
        <v>45657</v>
      </c>
      <c r="E141" s="2">
        <v>45657</v>
      </c>
      <c r="F141" t="s">
        <v>271</v>
      </c>
      <c r="G141" t="s">
        <v>226</v>
      </c>
      <c r="H141">
        <v>0</v>
      </c>
      <c r="I141" t="s">
        <v>13</v>
      </c>
    </row>
    <row r="142" spans="1:9" x14ac:dyDescent="0.35">
      <c r="A142">
        <v>6134592</v>
      </c>
      <c r="B142" t="s">
        <v>9</v>
      </c>
      <c r="C142" t="s">
        <v>610</v>
      </c>
      <c r="D142" s="2">
        <v>45657</v>
      </c>
      <c r="E142" s="2">
        <v>45657</v>
      </c>
      <c r="F142" t="s">
        <v>272</v>
      </c>
      <c r="G142" t="s">
        <v>228</v>
      </c>
      <c r="H142">
        <v>0</v>
      </c>
      <c r="I142" t="s">
        <v>13</v>
      </c>
    </row>
    <row r="143" spans="1:9" x14ac:dyDescent="0.35">
      <c r="A143">
        <v>6134593</v>
      </c>
      <c r="B143" t="s">
        <v>9</v>
      </c>
      <c r="C143" t="s">
        <v>610</v>
      </c>
      <c r="D143" s="2">
        <v>45657</v>
      </c>
      <c r="E143" s="2">
        <v>45657</v>
      </c>
      <c r="F143" t="s">
        <v>273</v>
      </c>
      <c r="G143" t="s">
        <v>230</v>
      </c>
      <c r="H143">
        <v>0</v>
      </c>
      <c r="I143" t="s">
        <v>13</v>
      </c>
    </row>
    <row r="144" spans="1:9" x14ac:dyDescent="0.35">
      <c r="A144">
        <v>6134594</v>
      </c>
      <c r="B144" t="s">
        <v>9</v>
      </c>
      <c r="C144" t="s">
        <v>610</v>
      </c>
      <c r="D144" s="2">
        <v>45657</v>
      </c>
      <c r="E144" s="2">
        <v>45657</v>
      </c>
      <c r="F144" t="s">
        <v>274</v>
      </c>
      <c r="G144" t="s">
        <v>232</v>
      </c>
      <c r="H144">
        <v>0</v>
      </c>
      <c r="I144" t="s">
        <v>13</v>
      </c>
    </row>
    <row r="145" spans="1:9" x14ac:dyDescent="0.35">
      <c r="A145">
        <v>6134595</v>
      </c>
      <c r="B145" t="s">
        <v>9</v>
      </c>
      <c r="C145" t="s">
        <v>610</v>
      </c>
      <c r="D145" s="2">
        <v>45657</v>
      </c>
      <c r="E145" s="2">
        <v>45657</v>
      </c>
      <c r="F145" t="s">
        <v>275</v>
      </c>
      <c r="G145" t="s">
        <v>276</v>
      </c>
      <c r="H145">
        <v>0</v>
      </c>
      <c r="I145" t="s">
        <v>13</v>
      </c>
    </row>
    <row r="146" spans="1:9" x14ac:dyDescent="0.35">
      <c r="A146">
        <v>6134596</v>
      </c>
      <c r="B146" t="s">
        <v>9</v>
      </c>
      <c r="C146" t="s">
        <v>610</v>
      </c>
      <c r="D146" s="2">
        <v>45657</v>
      </c>
      <c r="E146" s="2">
        <v>45657</v>
      </c>
      <c r="F146" t="s">
        <v>277</v>
      </c>
      <c r="G146" t="s">
        <v>278</v>
      </c>
      <c r="H146">
        <v>0</v>
      </c>
      <c r="I146" t="s">
        <v>13</v>
      </c>
    </row>
    <row r="147" spans="1:9" x14ac:dyDescent="0.35">
      <c r="A147">
        <v>6134597</v>
      </c>
      <c r="B147" t="s">
        <v>9</v>
      </c>
      <c r="C147" t="s">
        <v>610</v>
      </c>
      <c r="D147" s="2">
        <v>45657</v>
      </c>
      <c r="E147" s="2">
        <v>45657</v>
      </c>
      <c r="F147" t="s">
        <v>279</v>
      </c>
      <c r="G147" t="s">
        <v>280</v>
      </c>
      <c r="H147">
        <v>0</v>
      </c>
      <c r="I147" t="s">
        <v>13</v>
      </c>
    </row>
    <row r="148" spans="1:9" x14ac:dyDescent="0.35">
      <c r="A148">
        <v>6134598</v>
      </c>
      <c r="B148" t="s">
        <v>9</v>
      </c>
      <c r="C148" t="s">
        <v>610</v>
      </c>
      <c r="D148" s="2">
        <v>45657</v>
      </c>
      <c r="E148" s="2">
        <v>45657</v>
      </c>
      <c r="F148" t="s">
        <v>281</v>
      </c>
      <c r="G148" t="s">
        <v>282</v>
      </c>
      <c r="H148">
        <v>0</v>
      </c>
      <c r="I148" t="s">
        <v>13</v>
      </c>
    </row>
    <row r="149" spans="1:9" x14ac:dyDescent="0.35">
      <c r="A149">
        <v>6134599</v>
      </c>
      <c r="B149" t="s">
        <v>9</v>
      </c>
      <c r="C149" t="s">
        <v>610</v>
      </c>
      <c r="D149" s="2">
        <v>45657</v>
      </c>
      <c r="E149" s="2">
        <v>45657</v>
      </c>
      <c r="F149" t="s">
        <v>283</v>
      </c>
      <c r="G149" t="s">
        <v>284</v>
      </c>
      <c r="H149">
        <v>4036379</v>
      </c>
      <c r="I149" t="s">
        <v>13</v>
      </c>
    </row>
    <row r="150" spans="1:9" x14ac:dyDescent="0.35">
      <c r="A150">
        <v>6134600</v>
      </c>
      <c r="B150" t="s">
        <v>9</v>
      </c>
      <c r="C150" t="s">
        <v>610</v>
      </c>
      <c r="D150" s="2">
        <v>45657</v>
      </c>
      <c r="E150" s="2">
        <v>45657</v>
      </c>
      <c r="F150" t="s">
        <v>285</v>
      </c>
      <c r="G150" t="s">
        <v>286</v>
      </c>
      <c r="H150">
        <v>3906885</v>
      </c>
      <c r="I150" t="s">
        <v>13</v>
      </c>
    </row>
    <row r="151" spans="1:9" x14ac:dyDescent="0.35">
      <c r="A151">
        <v>6134601</v>
      </c>
      <c r="B151" t="s">
        <v>9</v>
      </c>
      <c r="C151" t="s">
        <v>610</v>
      </c>
      <c r="D151" s="2">
        <v>45657</v>
      </c>
      <c r="E151" s="2">
        <v>45657</v>
      </c>
      <c r="F151" t="s">
        <v>287</v>
      </c>
      <c r="G151" t="s">
        <v>288</v>
      </c>
      <c r="H151">
        <v>189427</v>
      </c>
      <c r="I151" t="s">
        <v>13</v>
      </c>
    </row>
    <row r="152" spans="1:9" x14ac:dyDescent="0.35">
      <c r="A152">
        <v>6134602</v>
      </c>
      <c r="B152" t="s">
        <v>9</v>
      </c>
      <c r="C152" t="s">
        <v>610</v>
      </c>
      <c r="D152" s="2">
        <v>45657</v>
      </c>
      <c r="E152" s="2">
        <v>45657</v>
      </c>
      <c r="F152" t="s">
        <v>289</v>
      </c>
      <c r="G152" t="s">
        <v>290</v>
      </c>
      <c r="H152">
        <v>0</v>
      </c>
      <c r="I152" t="s">
        <v>13</v>
      </c>
    </row>
    <row r="153" spans="1:9" x14ac:dyDescent="0.35">
      <c r="A153">
        <v>6134603</v>
      </c>
      <c r="B153" t="s">
        <v>9</v>
      </c>
      <c r="C153" t="s">
        <v>610</v>
      </c>
      <c r="D153" s="2">
        <v>45657</v>
      </c>
      <c r="E153" s="2">
        <v>45657</v>
      </c>
      <c r="F153" t="s">
        <v>291</v>
      </c>
      <c r="G153" t="s">
        <v>292</v>
      </c>
      <c r="H153">
        <v>0</v>
      </c>
      <c r="I153" t="s">
        <v>13</v>
      </c>
    </row>
    <row r="154" spans="1:9" x14ac:dyDescent="0.35">
      <c r="A154">
        <v>6134604</v>
      </c>
      <c r="B154" t="s">
        <v>9</v>
      </c>
      <c r="C154" t="s">
        <v>610</v>
      </c>
      <c r="D154" s="2">
        <v>45657</v>
      </c>
      <c r="E154" s="2">
        <v>45657</v>
      </c>
      <c r="F154" t="s">
        <v>293</v>
      </c>
      <c r="G154" t="s">
        <v>294</v>
      </c>
      <c r="H154">
        <v>0</v>
      </c>
      <c r="I154" t="s">
        <v>13</v>
      </c>
    </row>
    <row r="155" spans="1:9" x14ac:dyDescent="0.35">
      <c r="A155">
        <v>6134605</v>
      </c>
      <c r="B155" t="s">
        <v>9</v>
      </c>
      <c r="C155" t="s">
        <v>610</v>
      </c>
      <c r="D155" s="2">
        <v>45657</v>
      </c>
      <c r="E155" s="2">
        <v>45657</v>
      </c>
      <c r="F155" t="s">
        <v>295</v>
      </c>
      <c r="G155" t="s">
        <v>296</v>
      </c>
      <c r="H155">
        <v>0</v>
      </c>
      <c r="I155" t="s">
        <v>13</v>
      </c>
    </row>
    <row r="156" spans="1:9" x14ac:dyDescent="0.35">
      <c r="A156">
        <v>6134606</v>
      </c>
      <c r="B156" t="s">
        <v>9</v>
      </c>
      <c r="C156" t="s">
        <v>610</v>
      </c>
      <c r="D156" s="2">
        <v>45657</v>
      </c>
      <c r="E156" s="2">
        <v>45657</v>
      </c>
      <c r="F156" t="s">
        <v>297</v>
      </c>
      <c r="G156" t="s">
        <v>298</v>
      </c>
      <c r="H156">
        <v>0</v>
      </c>
      <c r="I156" t="s">
        <v>13</v>
      </c>
    </row>
    <row r="157" spans="1:9" x14ac:dyDescent="0.35">
      <c r="A157">
        <v>6134607</v>
      </c>
      <c r="B157" t="s">
        <v>9</v>
      </c>
      <c r="C157" t="s">
        <v>610</v>
      </c>
      <c r="D157" s="2">
        <v>45657</v>
      </c>
      <c r="E157" s="2">
        <v>45657</v>
      </c>
      <c r="F157" t="s">
        <v>299</v>
      </c>
      <c r="G157" t="s">
        <v>249</v>
      </c>
      <c r="H157">
        <v>0</v>
      </c>
      <c r="I157" t="s">
        <v>13</v>
      </c>
    </row>
    <row r="158" spans="1:9" x14ac:dyDescent="0.35">
      <c r="A158">
        <v>6134608</v>
      </c>
      <c r="B158" t="s">
        <v>9</v>
      </c>
      <c r="C158" t="s">
        <v>610</v>
      </c>
      <c r="D158" s="2">
        <v>45657</v>
      </c>
      <c r="E158" s="2">
        <v>45657</v>
      </c>
      <c r="F158" t="s">
        <v>308</v>
      </c>
      <c r="G158" t="s">
        <v>309</v>
      </c>
      <c r="H158">
        <v>0</v>
      </c>
      <c r="I158" t="s">
        <v>13</v>
      </c>
    </row>
    <row r="159" spans="1:9" x14ac:dyDescent="0.35">
      <c r="A159">
        <v>6134609</v>
      </c>
      <c r="B159" t="s">
        <v>9</v>
      </c>
      <c r="C159" t="s">
        <v>610</v>
      </c>
      <c r="D159" s="2">
        <v>45657</v>
      </c>
      <c r="E159" s="2">
        <v>45657</v>
      </c>
      <c r="F159" t="s">
        <v>310</v>
      </c>
      <c r="G159" t="s">
        <v>311</v>
      </c>
      <c r="H159">
        <v>90801</v>
      </c>
      <c r="I159" t="s">
        <v>13</v>
      </c>
    </row>
    <row r="160" spans="1:9" x14ac:dyDescent="0.35">
      <c r="A160">
        <v>6134610</v>
      </c>
      <c r="B160" t="s">
        <v>9</v>
      </c>
      <c r="C160" t="s">
        <v>610</v>
      </c>
      <c r="D160" s="2">
        <v>45657</v>
      </c>
      <c r="E160" s="2">
        <v>45657</v>
      </c>
      <c r="F160" t="s">
        <v>312</v>
      </c>
      <c r="G160" t="s">
        <v>313</v>
      </c>
      <c r="H160">
        <v>39258</v>
      </c>
      <c r="I160" t="s">
        <v>13</v>
      </c>
    </row>
    <row r="161" spans="1:9" x14ac:dyDescent="0.35">
      <c r="A161">
        <v>6134611</v>
      </c>
      <c r="B161" t="s">
        <v>9</v>
      </c>
      <c r="C161" t="s">
        <v>610</v>
      </c>
      <c r="D161" s="2">
        <v>45657</v>
      </c>
      <c r="E161" s="2">
        <v>45657</v>
      </c>
      <c r="F161" t="s">
        <v>314</v>
      </c>
      <c r="G161" t="s">
        <v>315</v>
      </c>
      <c r="H161">
        <v>0</v>
      </c>
      <c r="I161" t="s">
        <v>13</v>
      </c>
    </row>
    <row r="162" spans="1:9" x14ac:dyDescent="0.35">
      <c r="A162">
        <v>6134612</v>
      </c>
      <c r="B162" t="s">
        <v>9</v>
      </c>
      <c r="C162" t="s">
        <v>610</v>
      </c>
      <c r="D162" s="2">
        <v>45657</v>
      </c>
      <c r="E162" s="2">
        <v>45657</v>
      </c>
      <c r="F162" t="s">
        <v>316</v>
      </c>
      <c r="G162" t="s">
        <v>317</v>
      </c>
      <c r="H162">
        <v>0</v>
      </c>
      <c r="I162" t="s">
        <v>13</v>
      </c>
    </row>
    <row r="163" spans="1:9" x14ac:dyDescent="0.35">
      <c r="A163">
        <v>6134613</v>
      </c>
      <c r="B163" t="s">
        <v>9</v>
      </c>
      <c r="C163" t="s">
        <v>610</v>
      </c>
      <c r="D163" s="2">
        <v>45657</v>
      </c>
      <c r="E163" s="2">
        <v>45657</v>
      </c>
      <c r="F163" t="s">
        <v>318</v>
      </c>
      <c r="G163" t="s">
        <v>319</v>
      </c>
      <c r="H163">
        <v>0</v>
      </c>
      <c r="I163" t="s">
        <v>13</v>
      </c>
    </row>
    <row r="164" spans="1:9" x14ac:dyDescent="0.35">
      <c r="A164">
        <v>6134614</v>
      </c>
      <c r="B164" t="s">
        <v>9</v>
      </c>
      <c r="C164" t="s">
        <v>610</v>
      </c>
      <c r="D164" s="2">
        <v>45657</v>
      </c>
      <c r="E164" s="2">
        <v>45657</v>
      </c>
      <c r="F164" t="s">
        <v>320</v>
      </c>
      <c r="G164" t="s">
        <v>321</v>
      </c>
      <c r="H164">
        <v>0</v>
      </c>
      <c r="I164" t="s">
        <v>13</v>
      </c>
    </row>
    <row r="165" spans="1:9" x14ac:dyDescent="0.35">
      <c r="A165">
        <v>6134615</v>
      </c>
      <c r="B165" t="s">
        <v>9</v>
      </c>
      <c r="C165" t="s">
        <v>610</v>
      </c>
      <c r="D165" s="2">
        <v>45657</v>
      </c>
      <c r="E165" s="2">
        <v>45657</v>
      </c>
      <c r="F165" t="s">
        <v>322</v>
      </c>
      <c r="G165" t="s">
        <v>323</v>
      </c>
      <c r="H165">
        <v>0</v>
      </c>
      <c r="I165" t="s">
        <v>13</v>
      </c>
    </row>
    <row r="166" spans="1:9" x14ac:dyDescent="0.35">
      <c r="A166">
        <v>6134616</v>
      </c>
      <c r="B166" t="s">
        <v>9</v>
      </c>
      <c r="C166" t="s">
        <v>610</v>
      </c>
      <c r="D166" s="2">
        <v>45657</v>
      </c>
      <c r="E166" s="2">
        <v>45657</v>
      </c>
      <c r="F166" t="s">
        <v>324</v>
      </c>
      <c r="G166" t="s">
        <v>325</v>
      </c>
      <c r="H166">
        <v>0</v>
      </c>
      <c r="I166" t="s">
        <v>13</v>
      </c>
    </row>
    <row r="167" spans="1:9" x14ac:dyDescent="0.35">
      <c r="A167">
        <v>6134617</v>
      </c>
      <c r="B167" t="s">
        <v>9</v>
      </c>
      <c r="C167" t="s">
        <v>610</v>
      </c>
      <c r="D167" s="2">
        <v>45657</v>
      </c>
      <c r="E167" s="2">
        <v>45657</v>
      </c>
      <c r="F167" t="s">
        <v>326</v>
      </c>
      <c r="G167" t="s">
        <v>327</v>
      </c>
      <c r="H167">
        <v>0</v>
      </c>
      <c r="I167" t="s">
        <v>13</v>
      </c>
    </row>
    <row r="168" spans="1:9" x14ac:dyDescent="0.35">
      <c r="A168">
        <v>6134618</v>
      </c>
      <c r="B168" t="s">
        <v>9</v>
      </c>
      <c r="C168" t="s">
        <v>610</v>
      </c>
      <c r="D168" s="2">
        <v>45657</v>
      </c>
      <c r="E168" s="2">
        <v>45657</v>
      </c>
      <c r="F168" t="s">
        <v>328</v>
      </c>
      <c r="G168" t="s">
        <v>298</v>
      </c>
      <c r="H168">
        <v>0</v>
      </c>
      <c r="I168" t="s">
        <v>13</v>
      </c>
    </row>
    <row r="169" spans="1:9" x14ac:dyDescent="0.35">
      <c r="A169">
        <v>6134619</v>
      </c>
      <c r="B169" t="s">
        <v>9</v>
      </c>
      <c r="C169" t="s">
        <v>610</v>
      </c>
      <c r="D169" s="2">
        <v>45657</v>
      </c>
      <c r="E169" s="2">
        <v>45657</v>
      </c>
      <c r="F169" t="s">
        <v>618</v>
      </c>
      <c r="G169" t="s">
        <v>619</v>
      </c>
      <c r="H169">
        <v>51543</v>
      </c>
      <c r="I169" t="s">
        <v>13</v>
      </c>
    </row>
    <row r="170" spans="1:9" x14ac:dyDescent="0.35">
      <c r="A170">
        <v>6134620</v>
      </c>
      <c r="B170" t="s">
        <v>9</v>
      </c>
      <c r="C170" t="s">
        <v>610</v>
      </c>
      <c r="D170" s="2">
        <v>45657</v>
      </c>
      <c r="E170" s="2">
        <v>45657</v>
      </c>
      <c r="F170" t="s">
        <v>329</v>
      </c>
      <c r="G170" t="s">
        <v>330</v>
      </c>
      <c r="H170">
        <v>0</v>
      </c>
      <c r="I170" t="s">
        <v>13</v>
      </c>
    </row>
    <row r="171" spans="1:9" x14ac:dyDescent="0.35">
      <c r="A171">
        <v>6134621</v>
      </c>
      <c r="B171" t="s">
        <v>9</v>
      </c>
      <c r="C171" t="s">
        <v>610</v>
      </c>
      <c r="D171" s="2">
        <v>45657</v>
      </c>
      <c r="E171" s="2">
        <v>45657</v>
      </c>
      <c r="F171" t="s">
        <v>331</v>
      </c>
      <c r="G171" t="s">
        <v>332</v>
      </c>
      <c r="H171">
        <v>0</v>
      </c>
      <c r="I171" t="s">
        <v>13</v>
      </c>
    </row>
    <row r="172" spans="1:9" x14ac:dyDescent="0.35">
      <c r="A172">
        <v>6134622</v>
      </c>
      <c r="B172" t="s">
        <v>9</v>
      </c>
      <c r="C172" t="s">
        <v>610</v>
      </c>
      <c r="D172" s="2">
        <v>45657</v>
      </c>
      <c r="E172" s="2">
        <v>45657</v>
      </c>
      <c r="F172" t="s">
        <v>333</v>
      </c>
      <c r="G172" t="s">
        <v>334</v>
      </c>
      <c r="H172">
        <v>0</v>
      </c>
      <c r="I172" t="s">
        <v>13</v>
      </c>
    </row>
    <row r="173" spans="1:9" x14ac:dyDescent="0.35">
      <c r="A173">
        <v>6134623</v>
      </c>
      <c r="B173" t="s">
        <v>9</v>
      </c>
      <c r="C173" t="s">
        <v>610</v>
      </c>
      <c r="D173" s="2">
        <v>45657</v>
      </c>
      <c r="E173" s="2">
        <v>45657</v>
      </c>
      <c r="F173" t="s">
        <v>335</v>
      </c>
      <c r="G173" t="s">
        <v>336</v>
      </c>
      <c r="H173">
        <v>-151521</v>
      </c>
      <c r="I173" t="s">
        <v>13</v>
      </c>
    </row>
    <row r="174" spans="1:9" x14ac:dyDescent="0.35">
      <c r="A174">
        <v>6134624</v>
      </c>
      <c r="B174" t="s">
        <v>9</v>
      </c>
      <c r="C174" t="s">
        <v>610</v>
      </c>
      <c r="D174" s="2">
        <v>45657</v>
      </c>
      <c r="E174" s="2">
        <v>45657</v>
      </c>
      <c r="F174" t="s">
        <v>344</v>
      </c>
      <c r="G174" t="s">
        <v>345</v>
      </c>
      <c r="H174">
        <v>787</v>
      </c>
      <c r="I174" t="s">
        <v>13</v>
      </c>
    </row>
    <row r="175" spans="1:9" x14ac:dyDescent="0.35">
      <c r="A175">
        <v>6134625</v>
      </c>
      <c r="B175" t="s">
        <v>9</v>
      </c>
      <c r="C175" t="s">
        <v>610</v>
      </c>
      <c r="D175" s="2">
        <v>45292</v>
      </c>
      <c r="E175" s="2">
        <v>45657</v>
      </c>
      <c r="F175" t="s">
        <v>346</v>
      </c>
      <c r="G175" t="s">
        <v>347</v>
      </c>
      <c r="H175">
        <v>4108311</v>
      </c>
      <c r="I175" t="s">
        <v>13</v>
      </c>
    </row>
    <row r="176" spans="1:9" x14ac:dyDescent="0.35">
      <c r="A176">
        <v>6134626</v>
      </c>
      <c r="B176" t="s">
        <v>9</v>
      </c>
      <c r="C176" t="s">
        <v>610</v>
      </c>
      <c r="D176" s="2">
        <v>45292</v>
      </c>
      <c r="E176" s="2">
        <v>45657</v>
      </c>
      <c r="F176" t="s">
        <v>348</v>
      </c>
      <c r="G176" t="s">
        <v>349</v>
      </c>
      <c r="H176">
        <v>-2335615</v>
      </c>
      <c r="I176" t="s">
        <v>13</v>
      </c>
    </row>
    <row r="177" spans="1:9" x14ac:dyDescent="0.35">
      <c r="A177">
        <v>6134627</v>
      </c>
      <c r="B177" t="s">
        <v>9</v>
      </c>
      <c r="C177" t="s">
        <v>610</v>
      </c>
      <c r="D177" s="2">
        <v>45292</v>
      </c>
      <c r="E177" s="2">
        <v>45657</v>
      </c>
      <c r="F177" t="s">
        <v>350</v>
      </c>
      <c r="G177" t="s">
        <v>351</v>
      </c>
      <c r="H177">
        <v>1772696</v>
      </c>
      <c r="I177" t="s">
        <v>13</v>
      </c>
    </row>
    <row r="178" spans="1:9" x14ac:dyDescent="0.35">
      <c r="A178">
        <v>6134628</v>
      </c>
      <c r="B178" t="s">
        <v>9</v>
      </c>
      <c r="C178" t="s">
        <v>610</v>
      </c>
      <c r="D178" s="2">
        <v>45292</v>
      </c>
      <c r="E178" s="2">
        <v>45657</v>
      </c>
      <c r="F178" t="s">
        <v>352</v>
      </c>
      <c r="G178" t="s">
        <v>353</v>
      </c>
      <c r="H178">
        <v>-1721460</v>
      </c>
      <c r="I178" t="s">
        <v>13</v>
      </c>
    </row>
    <row r="179" spans="1:9" x14ac:dyDescent="0.35">
      <c r="A179">
        <v>6134629</v>
      </c>
      <c r="B179" t="s">
        <v>9</v>
      </c>
      <c r="C179" t="s">
        <v>610</v>
      </c>
      <c r="D179" s="2">
        <v>45292</v>
      </c>
      <c r="E179" s="2">
        <v>45657</v>
      </c>
      <c r="F179" t="s">
        <v>354</v>
      </c>
      <c r="G179" t="s">
        <v>355</v>
      </c>
      <c r="H179">
        <v>-1305082</v>
      </c>
      <c r="I179" t="s">
        <v>13</v>
      </c>
    </row>
    <row r="180" spans="1:9" x14ac:dyDescent="0.35">
      <c r="A180">
        <v>6134630</v>
      </c>
      <c r="B180" t="s">
        <v>9</v>
      </c>
      <c r="C180" t="s">
        <v>610</v>
      </c>
      <c r="D180" s="2">
        <v>45292</v>
      </c>
      <c r="E180" s="2">
        <v>45657</v>
      </c>
      <c r="F180" t="s">
        <v>356</v>
      </c>
      <c r="G180" t="s">
        <v>357</v>
      </c>
      <c r="H180">
        <v>-263819</v>
      </c>
      <c r="I180" t="s">
        <v>13</v>
      </c>
    </row>
    <row r="181" spans="1:9" x14ac:dyDescent="0.35">
      <c r="A181">
        <v>6134631</v>
      </c>
      <c r="B181" t="s">
        <v>9</v>
      </c>
      <c r="C181" t="s">
        <v>610</v>
      </c>
      <c r="D181" s="2">
        <v>45292</v>
      </c>
      <c r="E181" s="2">
        <v>45657</v>
      </c>
      <c r="F181" t="s">
        <v>358</v>
      </c>
      <c r="G181" t="s">
        <v>359</v>
      </c>
      <c r="H181">
        <v>-15993</v>
      </c>
      <c r="I181" t="s">
        <v>13</v>
      </c>
    </row>
    <row r="182" spans="1:9" x14ac:dyDescent="0.35">
      <c r="A182">
        <v>6134632</v>
      </c>
      <c r="B182" t="s">
        <v>9</v>
      </c>
      <c r="C182" t="s">
        <v>610</v>
      </c>
      <c r="D182" s="2">
        <v>45292</v>
      </c>
      <c r="E182" s="2">
        <v>45657</v>
      </c>
      <c r="F182" t="s">
        <v>360</v>
      </c>
      <c r="G182" t="s">
        <v>361</v>
      </c>
      <c r="H182">
        <v>-157867</v>
      </c>
      <c r="I182" t="s">
        <v>13</v>
      </c>
    </row>
    <row r="183" spans="1:9" x14ac:dyDescent="0.35">
      <c r="A183">
        <v>6134633</v>
      </c>
      <c r="B183" t="s">
        <v>9</v>
      </c>
      <c r="C183" t="s">
        <v>610</v>
      </c>
      <c r="D183" s="2">
        <v>45292</v>
      </c>
      <c r="E183" s="2">
        <v>45657</v>
      </c>
      <c r="F183" t="s">
        <v>620</v>
      </c>
      <c r="G183" t="s">
        <v>621</v>
      </c>
      <c r="H183">
        <v>-157867</v>
      </c>
      <c r="I183" t="s">
        <v>13</v>
      </c>
    </row>
    <row r="184" spans="1:9" x14ac:dyDescent="0.35">
      <c r="A184">
        <v>6134634</v>
      </c>
      <c r="B184" t="s">
        <v>9</v>
      </c>
      <c r="C184" t="s">
        <v>610</v>
      </c>
      <c r="D184" s="2">
        <v>45292</v>
      </c>
      <c r="E184" s="2">
        <v>45657</v>
      </c>
      <c r="F184" t="s">
        <v>362</v>
      </c>
      <c r="G184" t="s">
        <v>363</v>
      </c>
      <c r="H184">
        <v>0</v>
      </c>
      <c r="I184" t="s">
        <v>13</v>
      </c>
    </row>
    <row r="185" spans="1:9" x14ac:dyDescent="0.35">
      <c r="A185">
        <v>6134635</v>
      </c>
      <c r="B185" t="s">
        <v>9</v>
      </c>
      <c r="C185" t="s">
        <v>610</v>
      </c>
      <c r="D185" s="2">
        <v>45292</v>
      </c>
      <c r="E185" s="2">
        <v>45657</v>
      </c>
      <c r="F185" t="s">
        <v>367</v>
      </c>
      <c r="G185" t="s">
        <v>368</v>
      </c>
      <c r="H185">
        <v>21301</v>
      </c>
      <c r="I185" t="s">
        <v>13</v>
      </c>
    </row>
    <row r="186" spans="1:9" x14ac:dyDescent="0.35">
      <c r="A186">
        <v>6134636</v>
      </c>
      <c r="B186" t="s">
        <v>9</v>
      </c>
      <c r="C186" t="s">
        <v>610</v>
      </c>
      <c r="D186" s="2">
        <v>45292</v>
      </c>
      <c r="E186" s="2">
        <v>45657</v>
      </c>
      <c r="F186" t="s">
        <v>369</v>
      </c>
      <c r="G186" t="s">
        <v>370</v>
      </c>
      <c r="H186">
        <v>51236</v>
      </c>
      <c r="I186" t="s">
        <v>13</v>
      </c>
    </row>
    <row r="187" spans="1:9" x14ac:dyDescent="0.35">
      <c r="A187">
        <v>6134637</v>
      </c>
      <c r="B187" t="s">
        <v>9</v>
      </c>
      <c r="C187" t="s">
        <v>610</v>
      </c>
      <c r="D187" s="2">
        <v>45292</v>
      </c>
      <c r="E187" s="2">
        <v>45657</v>
      </c>
      <c r="F187" t="s">
        <v>371</v>
      </c>
      <c r="G187" t="s">
        <v>372</v>
      </c>
      <c r="H187">
        <v>12263</v>
      </c>
      <c r="I187" t="s">
        <v>13</v>
      </c>
    </row>
    <row r="188" spans="1:9" x14ac:dyDescent="0.35">
      <c r="A188">
        <v>6134638</v>
      </c>
      <c r="B188" t="s">
        <v>9</v>
      </c>
      <c r="C188" t="s">
        <v>610</v>
      </c>
      <c r="D188" s="2">
        <v>45292</v>
      </c>
      <c r="E188" s="2">
        <v>45657</v>
      </c>
      <c r="F188" t="s">
        <v>373</v>
      </c>
      <c r="G188" t="s">
        <v>374</v>
      </c>
      <c r="H188">
        <v>140569</v>
      </c>
      <c r="I188" t="s">
        <v>13</v>
      </c>
    </row>
    <row r="189" spans="1:9" x14ac:dyDescent="0.35">
      <c r="A189">
        <v>6134639</v>
      </c>
      <c r="B189" t="s">
        <v>9</v>
      </c>
      <c r="C189" t="s">
        <v>610</v>
      </c>
      <c r="D189" s="2">
        <v>45292</v>
      </c>
      <c r="E189" s="2">
        <v>45657</v>
      </c>
      <c r="F189" t="s">
        <v>381</v>
      </c>
      <c r="G189" t="s">
        <v>382</v>
      </c>
      <c r="H189">
        <v>-128306</v>
      </c>
      <c r="I189" t="s">
        <v>13</v>
      </c>
    </row>
    <row r="190" spans="1:9" x14ac:dyDescent="0.35">
      <c r="A190">
        <v>6134640</v>
      </c>
      <c r="B190" t="s">
        <v>9</v>
      </c>
      <c r="C190" t="s">
        <v>610</v>
      </c>
      <c r="D190" s="2">
        <v>45292</v>
      </c>
      <c r="E190" s="2">
        <v>45657</v>
      </c>
      <c r="F190" t="s">
        <v>383</v>
      </c>
      <c r="G190" t="s">
        <v>382</v>
      </c>
      <c r="H190">
        <v>-190859</v>
      </c>
      <c r="I190" t="s">
        <v>13</v>
      </c>
    </row>
    <row r="191" spans="1:9" x14ac:dyDescent="0.35">
      <c r="A191">
        <v>6134641</v>
      </c>
      <c r="B191" t="s">
        <v>9</v>
      </c>
      <c r="C191" t="s">
        <v>610</v>
      </c>
      <c r="D191" s="2">
        <v>45292</v>
      </c>
      <c r="E191" s="2">
        <v>45657</v>
      </c>
      <c r="F191" t="s">
        <v>384</v>
      </c>
      <c r="G191" t="s">
        <v>622</v>
      </c>
      <c r="H191">
        <v>62553</v>
      </c>
      <c r="I191" t="s">
        <v>13</v>
      </c>
    </row>
    <row r="192" spans="1:9" x14ac:dyDescent="0.35">
      <c r="A192">
        <v>6134642</v>
      </c>
      <c r="B192" t="s">
        <v>9</v>
      </c>
      <c r="C192" t="s">
        <v>610</v>
      </c>
      <c r="D192" s="2">
        <v>45292</v>
      </c>
      <c r="E192" s="2">
        <v>45657</v>
      </c>
      <c r="F192" t="s">
        <v>388</v>
      </c>
      <c r="G192" t="s">
        <v>389</v>
      </c>
      <c r="H192">
        <v>63499</v>
      </c>
      <c r="I192" t="s">
        <v>13</v>
      </c>
    </row>
    <row r="193" spans="1:9" x14ac:dyDescent="0.35">
      <c r="A193">
        <v>6134643</v>
      </c>
      <c r="B193" t="s">
        <v>9</v>
      </c>
      <c r="C193" t="s">
        <v>610</v>
      </c>
      <c r="D193" s="2">
        <v>45292</v>
      </c>
      <c r="E193" s="2">
        <v>45657</v>
      </c>
      <c r="F193" t="s">
        <v>390</v>
      </c>
      <c r="G193" t="s">
        <v>391</v>
      </c>
      <c r="H193">
        <v>43898</v>
      </c>
      <c r="I193" t="s">
        <v>13</v>
      </c>
    </row>
    <row r="194" spans="1:9" x14ac:dyDescent="0.35">
      <c r="A194">
        <v>6134644</v>
      </c>
      <c r="B194" t="s">
        <v>9</v>
      </c>
      <c r="C194" t="s">
        <v>610</v>
      </c>
      <c r="D194" s="2">
        <v>45292</v>
      </c>
      <c r="E194" s="2">
        <v>45657</v>
      </c>
      <c r="F194" t="s">
        <v>392</v>
      </c>
      <c r="G194" t="s">
        <v>393</v>
      </c>
      <c r="H194">
        <v>14459</v>
      </c>
      <c r="I194" t="s">
        <v>13</v>
      </c>
    </row>
    <row r="195" spans="1:9" x14ac:dyDescent="0.35">
      <c r="A195">
        <v>6134645</v>
      </c>
      <c r="B195" t="s">
        <v>9</v>
      </c>
      <c r="C195" t="s">
        <v>610</v>
      </c>
      <c r="D195" s="2">
        <v>45292</v>
      </c>
      <c r="E195" s="2">
        <v>45657</v>
      </c>
      <c r="F195" t="s">
        <v>394</v>
      </c>
      <c r="G195" t="s">
        <v>395</v>
      </c>
      <c r="H195">
        <v>29439</v>
      </c>
      <c r="I195" t="s">
        <v>13</v>
      </c>
    </row>
    <row r="196" spans="1:9" x14ac:dyDescent="0.35">
      <c r="A196">
        <v>6134646</v>
      </c>
      <c r="B196" t="s">
        <v>9</v>
      </c>
      <c r="C196" t="s">
        <v>610</v>
      </c>
      <c r="D196" s="2">
        <v>45292</v>
      </c>
      <c r="E196" s="2">
        <v>45657</v>
      </c>
      <c r="F196" t="s">
        <v>396</v>
      </c>
      <c r="G196" t="s">
        <v>397</v>
      </c>
      <c r="H196">
        <v>107397</v>
      </c>
      <c r="I196" t="s">
        <v>13</v>
      </c>
    </row>
    <row r="197" spans="1:9" x14ac:dyDescent="0.35">
      <c r="A197">
        <v>6134647</v>
      </c>
      <c r="B197" t="s">
        <v>9</v>
      </c>
      <c r="C197" t="s">
        <v>610</v>
      </c>
      <c r="D197" s="2">
        <v>45292</v>
      </c>
      <c r="E197" s="2">
        <v>45657</v>
      </c>
      <c r="F197" t="s">
        <v>398</v>
      </c>
      <c r="G197" t="s">
        <v>399</v>
      </c>
      <c r="H197">
        <v>0</v>
      </c>
      <c r="I197" t="s">
        <v>13</v>
      </c>
    </row>
    <row r="198" spans="1:9" x14ac:dyDescent="0.35">
      <c r="A198">
        <v>6134648</v>
      </c>
      <c r="B198" t="s">
        <v>9</v>
      </c>
      <c r="C198" t="s">
        <v>610</v>
      </c>
      <c r="D198" s="2">
        <v>45292</v>
      </c>
      <c r="E198" s="2">
        <v>45657</v>
      </c>
      <c r="F198" t="s">
        <v>400</v>
      </c>
      <c r="G198" t="s">
        <v>401</v>
      </c>
      <c r="H198">
        <v>0</v>
      </c>
      <c r="I198" t="s">
        <v>13</v>
      </c>
    </row>
    <row r="199" spans="1:9" x14ac:dyDescent="0.35">
      <c r="A199">
        <v>6134649</v>
      </c>
      <c r="B199" t="s">
        <v>9</v>
      </c>
      <c r="C199" t="s">
        <v>610</v>
      </c>
      <c r="D199" s="2">
        <v>45292</v>
      </c>
      <c r="E199" s="2">
        <v>45657</v>
      </c>
      <c r="F199" t="s">
        <v>402</v>
      </c>
      <c r="G199" t="s">
        <v>403</v>
      </c>
      <c r="H199">
        <v>0</v>
      </c>
      <c r="I199" t="s">
        <v>13</v>
      </c>
    </row>
    <row r="200" spans="1:9" x14ac:dyDescent="0.35">
      <c r="A200">
        <v>6134650</v>
      </c>
      <c r="B200" t="s">
        <v>9</v>
      </c>
      <c r="C200" t="s">
        <v>610</v>
      </c>
      <c r="D200" s="2">
        <v>45292</v>
      </c>
      <c r="E200" s="2">
        <v>45657</v>
      </c>
      <c r="F200" t="s">
        <v>406</v>
      </c>
      <c r="G200" t="s">
        <v>407</v>
      </c>
      <c r="H200">
        <v>107397</v>
      </c>
      <c r="I200" t="s">
        <v>13</v>
      </c>
    </row>
    <row r="201" spans="1:9" x14ac:dyDescent="0.35">
      <c r="A201">
        <v>6134651</v>
      </c>
      <c r="B201" t="s">
        <v>9</v>
      </c>
      <c r="C201" t="s">
        <v>610</v>
      </c>
      <c r="D201" s="2">
        <v>45292</v>
      </c>
      <c r="E201" s="2">
        <v>45657</v>
      </c>
      <c r="F201" t="s">
        <v>408</v>
      </c>
      <c r="G201" t="s">
        <v>409</v>
      </c>
      <c r="H201">
        <v>107979</v>
      </c>
      <c r="I201" t="s">
        <v>13</v>
      </c>
    </row>
    <row r="202" spans="1:9" x14ac:dyDescent="0.35">
      <c r="A202">
        <v>6134652</v>
      </c>
      <c r="B202" t="s">
        <v>9</v>
      </c>
      <c r="C202" t="s">
        <v>610</v>
      </c>
      <c r="D202" s="2">
        <v>45292</v>
      </c>
      <c r="E202" s="2">
        <v>45657</v>
      </c>
      <c r="F202" t="s">
        <v>410</v>
      </c>
      <c r="G202" t="s">
        <v>411</v>
      </c>
      <c r="H202">
        <v>-582</v>
      </c>
      <c r="I202" t="s">
        <v>13</v>
      </c>
    </row>
    <row r="203" spans="1:9" x14ac:dyDescent="0.35">
      <c r="A203">
        <v>6134653</v>
      </c>
      <c r="B203" t="s">
        <v>9</v>
      </c>
      <c r="C203" t="s">
        <v>610</v>
      </c>
      <c r="D203" s="2">
        <v>45292</v>
      </c>
      <c r="E203" s="2">
        <v>45657</v>
      </c>
      <c r="F203" t="s">
        <v>412</v>
      </c>
      <c r="G203" t="s">
        <v>413</v>
      </c>
      <c r="H203">
        <v>0</v>
      </c>
      <c r="I203" t="s">
        <v>13</v>
      </c>
    </row>
    <row r="204" spans="1:9" x14ac:dyDescent="0.35">
      <c r="A204">
        <v>6134654</v>
      </c>
      <c r="B204" t="s">
        <v>9</v>
      </c>
      <c r="C204" t="s">
        <v>610</v>
      </c>
      <c r="D204" s="2">
        <v>45292</v>
      </c>
      <c r="E204" s="2">
        <v>45657</v>
      </c>
      <c r="F204" t="s">
        <v>414</v>
      </c>
      <c r="G204" t="s">
        <v>415</v>
      </c>
      <c r="H204">
        <v>0</v>
      </c>
      <c r="I204" t="s">
        <v>13</v>
      </c>
    </row>
    <row r="205" spans="1:9" x14ac:dyDescent="0.35">
      <c r="A205">
        <v>6134655</v>
      </c>
      <c r="B205" t="s">
        <v>9</v>
      </c>
      <c r="C205" t="s">
        <v>610</v>
      </c>
      <c r="D205" s="2">
        <v>45292</v>
      </c>
      <c r="E205" s="2">
        <v>45657</v>
      </c>
      <c r="F205" t="s">
        <v>623</v>
      </c>
      <c r="G205" t="s">
        <v>624</v>
      </c>
      <c r="H205">
        <v>0</v>
      </c>
      <c r="I205" t="s">
        <v>13</v>
      </c>
    </row>
    <row r="206" spans="1:9" x14ac:dyDescent="0.35">
      <c r="A206">
        <v>6134656</v>
      </c>
      <c r="B206" t="s">
        <v>9</v>
      </c>
      <c r="C206" t="s">
        <v>610</v>
      </c>
      <c r="D206" s="2">
        <v>45292</v>
      </c>
      <c r="E206" s="2">
        <v>45657</v>
      </c>
      <c r="F206" t="s">
        <v>625</v>
      </c>
      <c r="G206" t="s">
        <v>626</v>
      </c>
      <c r="H206">
        <v>0</v>
      </c>
      <c r="I206" t="s">
        <v>13</v>
      </c>
    </row>
    <row r="207" spans="1:9" x14ac:dyDescent="0.35">
      <c r="A207">
        <v>6134657</v>
      </c>
      <c r="B207" t="s">
        <v>9</v>
      </c>
      <c r="C207" t="s">
        <v>610</v>
      </c>
      <c r="D207" s="2">
        <v>45292</v>
      </c>
      <c r="E207" s="2">
        <v>45657</v>
      </c>
      <c r="F207" t="s">
        <v>416</v>
      </c>
      <c r="G207" t="s">
        <v>417</v>
      </c>
      <c r="H207">
        <v>0</v>
      </c>
      <c r="I207" t="s">
        <v>13</v>
      </c>
    </row>
    <row r="208" spans="1:9" x14ac:dyDescent="0.35">
      <c r="A208">
        <v>6134658</v>
      </c>
      <c r="B208" t="s">
        <v>9</v>
      </c>
      <c r="C208" t="s">
        <v>610</v>
      </c>
      <c r="D208" s="2">
        <v>45292</v>
      </c>
      <c r="E208" s="2">
        <v>45657</v>
      </c>
      <c r="F208" t="s">
        <v>627</v>
      </c>
      <c r="G208" t="s">
        <v>624</v>
      </c>
      <c r="H208">
        <v>0</v>
      </c>
      <c r="I208" t="s">
        <v>13</v>
      </c>
    </row>
    <row r="209" spans="1:9" x14ac:dyDescent="0.35">
      <c r="A209">
        <v>6134659</v>
      </c>
      <c r="B209" t="s">
        <v>9</v>
      </c>
      <c r="C209" t="s">
        <v>610</v>
      </c>
      <c r="D209" s="2">
        <v>45292</v>
      </c>
      <c r="E209" s="2">
        <v>45657</v>
      </c>
      <c r="F209" t="s">
        <v>628</v>
      </c>
      <c r="G209" t="s">
        <v>626</v>
      </c>
      <c r="H209">
        <v>0</v>
      </c>
      <c r="I209" t="s">
        <v>13</v>
      </c>
    </row>
    <row r="210" spans="1:9" x14ac:dyDescent="0.35">
      <c r="A210">
        <v>6134660</v>
      </c>
      <c r="B210" t="s">
        <v>9</v>
      </c>
      <c r="C210" t="s">
        <v>610</v>
      </c>
      <c r="D210" s="2">
        <v>45292</v>
      </c>
      <c r="E210" s="2">
        <v>45657</v>
      </c>
      <c r="F210" t="s">
        <v>418</v>
      </c>
      <c r="G210" t="s">
        <v>419</v>
      </c>
      <c r="H210">
        <v>845031</v>
      </c>
      <c r="I210" t="s">
        <v>13</v>
      </c>
    </row>
    <row r="211" spans="1:9" x14ac:dyDescent="0.35">
      <c r="A211">
        <v>6134661</v>
      </c>
      <c r="B211" t="s">
        <v>9</v>
      </c>
      <c r="C211" t="s">
        <v>610</v>
      </c>
      <c r="D211" s="2">
        <v>45292</v>
      </c>
      <c r="E211" s="2">
        <v>45657</v>
      </c>
      <c r="F211" t="s">
        <v>420</v>
      </c>
      <c r="G211" t="s">
        <v>421</v>
      </c>
      <c r="H211">
        <v>719265</v>
      </c>
      <c r="I211" t="s">
        <v>13</v>
      </c>
    </row>
    <row r="212" spans="1:9" x14ac:dyDescent="0.35">
      <c r="A212">
        <v>6134662</v>
      </c>
      <c r="B212" t="s">
        <v>9</v>
      </c>
      <c r="C212" t="s">
        <v>610</v>
      </c>
      <c r="D212" s="2">
        <v>45292</v>
      </c>
      <c r="E212" s="2">
        <v>45657</v>
      </c>
      <c r="F212" t="s">
        <v>422</v>
      </c>
      <c r="G212" t="s">
        <v>423</v>
      </c>
      <c r="H212">
        <v>107397</v>
      </c>
      <c r="I212" t="s">
        <v>13</v>
      </c>
    </row>
    <row r="213" spans="1:9" x14ac:dyDescent="0.35">
      <c r="A213">
        <v>6134663</v>
      </c>
      <c r="B213" t="s">
        <v>9</v>
      </c>
      <c r="C213" t="s">
        <v>610</v>
      </c>
      <c r="D213" s="2">
        <v>45292</v>
      </c>
      <c r="E213" s="2">
        <v>45657</v>
      </c>
      <c r="F213" t="s">
        <v>424</v>
      </c>
      <c r="G213" t="s">
        <v>425</v>
      </c>
      <c r="H213">
        <v>202870</v>
      </c>
      <c r="I213" t="s">
        <v>13</v>
      </c>
    </row>
    <row r="214" spans="1:9" x14ac:dyDescent="0.35">
      <c r="A214">
        <v>6134664</v>
      </c>
      <c r="B214" t="s">
        <v>9</v>
      </c>
      <c r="C214" t="s">
        <v>610</v>
      </c>
      <c r="D214" s="2">
        <v>45292</v>
      </c>
      <c r="E214" s="2">
        <v>45657</v>
      </c>
      <c r="F214" t="s">
        <v>426</v>
      </c>
      <c r="G214" t="s">
        <v>427</v>
      </c>
      <c r="H214">
        <v>1646</v>
      </c>
      <c r="I214" t="s">
        <v>13</v>
      </c>
    </row>
    <row r="215" spans="1:9" x14ac:dyDescent="0.35">
      <c r="A215">
        <v>6134665</v>
      </c>
      <c r="B215" t="s">
        <v>9</v>
      </c>
      <c r="C215" t="s">
        <v>610</v>
      </c>
      <c r="D215" s="2">
        <v>45292</v>
      </c>
      <c r="E215" s="2">
        <v>45657</v>
      </c>
      <c r="F215" t="s">
        <v>428</v>
      </c>
      <c r="G215" t="s">
        <v>458</v>
      </c>
      <c r="H215">
        <v>-21301</v>
      </c>
      <c r="I215" t="s">
        <v>13</v>
      </c>
    </row>
    <row r="216" spans="1:9" x14ac:dyDescent="0.35">
      <c r="A216">
        <v>6134666</v>
      </c>
      <c r="B216" t="s">
        <v>9</v>
      </c>
      <c r="C216" t="s">
        <v>610</v>
      </c>
      <c r="D216" s="2">
        <v>45292</v>
      </c>
      <c r="E216" s="2">
        <v>45657</v>
      </c>
      <c r="F216" t="s">
        <v>430</v>
      </c>
      <c r="G216" t="s">
        <v>429</v>
      </c>
      <c r="H216">
        <v>91406</v>
      </c>
      <c r="I216" t="s">
        <v>13</v>
      </c>
    </row>
    <row r="217" spans="1:9" x14ac:dyDescent="0.35">
      <c r="A217">
        <v>6134667</v>
      </c>
      <c r="B217" t="s">
        <v>9</v>
      </c>
      <c r="C217" t="s">
        <v>610</v>
      </c>
      <c r="D217" s="2">
        <v>45292</v>
      </c>
      <c r="E217" s="2">
        <v>45657</v>
      </c>
      <c r="F217" t="s">
        <v>432</v>
      </c>
      <c r="G217" t="s">
        <v>629</v>
      </c>
      <c r="H217">
        <v>42986</v>
      </c>
      <c r="I217" t="s">
        <v>13</v>
      </c>
    </row>
    <row r="218" spans="1:9" x14ac:dyDescent="0.35">
      <c r="A218">
        <v>6134668</v>
      </c>
      <c r="B218" t="s">
        <v>9</v>
      </c>
      <c r="C218" t="s">
        <v>610</v>
      </c>
      <c r="D218" s="2">
        <v>45292</v>
      </c>
      <c r="E218" s="2">
        <v>45657</v>
      </c>
      <c r="F218" t="s">
        <v>434</v>
      </c>
      <c r="G218" t="s">
        <v>433</v>
      </c>
      <c r="H218">
        <v>-43898</v>
      </c>
      <c r="I218" t="s">
        <v>13</v>
      </c>
    </row>
    <row r="219" spans="1:9" x14ac:dyDescent="0.35">
      <c r="A219">
        <v>6134669</v>
      </c>
      <c r="B219" t="s">
        <v>9</v>
      </c>
      <c r="C219" t="s">
        <v>610</v>
      </c>
      <c r="D219" s="2">
        <v>45292</v>
      </c>
      <c r="E219" s="2">
        <v>45657</v>
      </c>
      <c r="F219" t="s">
        <v>436</v>
      </c>
      <c r="G219" t="s">
        <v>630</v>
      </c>
      <c r="H219">
        <v>15993</v>
      </c>
      <c r="I219" t="s">
        <v>13</v>
      </c>
    </row>
    <row r="220" spans="1:9" x14ac:dyDescent="0.35">
      <c r="A220">
        <v>6134670</v>
      </c>
      <c r="B220" t="s">
        <v>9</v>
      </c>
      <c r="C220" t="s">
        <v>610</v>
      </c>
      <c r="D220" s="2">
        <v>45292</v>
      </c>
      <c r="E220" s="2">
        <v>45657</v>
      </c>
      <c r="F220" t="s">
        <v>438</v>
      </c>
      <c r="G220" t="s">
        <v>437</v>
      </c>
      <c r="H220">
        <v>253235</v>
      </c>
      <c r="I220" t="s">
        <v>13</v>
      </c>
    </row>
    <row r="221" spans="1:9" x14ac:dyDescent="0.35">
      <c r="A221">
        <v>6134671</v>
      </c>
      <c r="B221" t="s">
        <v>9</v>
      </c>
      <c r="C221" t="s">
        <v>610</v>
      </c>
      <c r="D221" s="2">
        <v>45292</v>
      </c>
      <c r="E221" s="2">
        <v>45657</v>
      </c>
      <c r="F221" t="s">
        <v>440</v>
      </c>
      <c r="G221" t="s">
        <v>631</v>
      </c>
      <c r="H221">
        <v>0</v>
      </c>
      <c r="I221" t="s">
        <v>13</v>
      </c>
    </row>
    <row r="222" spans="1:9" x14ac:dyDescent="0.35">
      <c r="A222">
        <v>6134672</v>
      </c>
      <c r="B222" t="s">
        <v>9</v>
      </c>
      <c r="C222" t="s">
        <v>610</v>
      </c>
      <c r="D222" s="2">
        <v>45292</v>
      </c>
      <c r="E222" s="2">
        <v>45657</v>
      </c>
      <c r="F222" t="s">
        <v>442</v>
      </c>
      <c r="G222" t="s">
        <v>632</v>
      </c>
      <c r="H222">
        <v>-13078</v>
      </c>
      <c r="I222" t="s">
        <v>13</v>
      </c>
    </row>
    <row r="223" spans="1:9" x14ac:dyDescent="0.35">
      <c r="A223">
        <v>6134673</v>
      </c>
      <c r="B223" t="s">
        <v>9</v>
      </c>
      <c r="C223" t="s">
        <v>610</v>
      </c>
      <c r="D223" s="2">
        <v>45292</v>
      </c>
      <c r="E223" s="2">
        <v>45657</v>
      </c>
      <c r="F223" t="s">
        <v>443</v>
      </c>
      <c r="G223" t="s">
        <v>220</v>
      </c>
      <c r="H223">
        <v>0</v>
      </c>
      <c r="I223" t="s">
        <v>13</v>
      </c>
    </row>
    <row r="224" spans="1:9" x14ac:dyDescent="0.35">
      <c r="A224">
        <v>6134674</v>
      </c>
      <c r="B224" t="s">
        <v>9</v>
      </c>
      <c r="C224" t="s">
        <v>610</v>
      </c>
      <c r="D224" s="2">
        <v>45292</v>
      </c>
      <c r="E224" s="2">
        <v>45657</v>
      </c>
      <c r="F224" t="s">
        <v>445</v>
      </c>
      <c r="G224" t="s">
        <v>446</v>
      </c>
      <c r="H224">
        <v>0</v>
      </c>
      <c r="I224" t="s">
        <v>13</v>
      </c>
    </row>
    <row r="225" spans="1:9" x14ac:dyDescent="0.35">
      <c r="A225">
        <v>6134675</v>
      </c>
      <c r="B225" t="s">
        <v>9</v>
      </c>
      <c r="C225" t="s">
        <v>610</v>
      </c>
      <c r="D225" s="2">
        <v>45292</v>
      </c>
      <c r="E225" s="2">
        <v>45657</v>
      </c>
      <c r="F225" t="s">
        <v>447</v>
      </c>
      <c r="G225" t="s">
        <v>456</v>
      </c>
      <c r="H225">
        <v>19942</v>
      </c>
      <c r="I225" t="s">
        <v>13</v>
      </c>
    </row>
    <row r="226" spans="1:9" x14ac:dyDescent="0.35">
      <c r="A226">
        <v>6134676</v>
      </c>
      <c r="B226" t="s">
        <v>9</v>
      </c>
      <c r="C226" t="s">
        <v>610</v>
      </c>
      <c r="D226" s="2">
        <v>45292</v>
      </c>
      <c r="E226" s="2">
        <v>45657</v>
      </c>
      <c r="F226" t="s">
        <v>449</v>
      </c>
      <c r="G226" t="s">
        <v>450</v>
      </c>
      <c r="H226">
        <v>15181</v>
      </c>
      <c r="I226" t="s">
        <v>13</v>
      </c>
    </row>
    <row r="227" spans="1:9" x14ac:dyDescent="0.35">
      <c r="A227">
        <v>6134677</v>
      </c>
      <c r="B227" t="s">
        <v>9</v>
      </c>
      <c r="C227" t="s">
        <v>610</v>
      </c>
      <c r="D227" s="2">
        <v>45292</v>
      </c>
      <c r="E227" s="2">
        <v>45657</v>
      </c>
      <c r="F227" t="s">
        <v>451</v>
      </c>
      <c r="G227" t="s">
        <v>633</v>
      </c>
      <c r="H227">
        <v>46945</v>
      </c>
      <c r="I227" t="s">
        <v>13</v>
      </c>
    </row>
    <row r="228" spans="1:9" x14ac:dyDescent="0.35">
      <c r="A228">
        <v>6134678</v>
      </c>
      <c r="B228" t="s">
        <v>9</v>
      </c>
      <c r="C228" t="s">
        <v>610</v>
      </c>
      <c r="D228" s="2">
        <v>45292</v>
      </c>
      <c r="E228" s="2">
        <v>45657</v>
      </c>
      <c r="F228" t="s">
        <v>453</v>
      </c>
      <c r="G228" t="s">
        <v>454</v>
      </c>
      <c r="H228">
        <v>-59</v>
      </c>
      <c r="I228" t="s">
        <v>13</v>
      </c>
    </row>
    <row r="229" spans="1:9" x14ac:dyDescent="0.35">
      <c r="A229">
        <v>6134679</v>
      </c>
      <c r="B229" t="s">
        <v>9</v>
      </c>
      <c r="C229" t="s">
        <v>610</v>
      </c>
      <c r="D229" s="2">
        <v>45292</v>
      </c>
      <c r="E229" s="2">
        <v>45657</v>
      </c>
      <c r="F229" t="s">
        <v>455</v>
      </c>
      <c r="G229" t="s">
        <v>444</v>
      </c>
      <c r="H229">
        <v>0</v>
      </c>
      <c r="I229" t="s">
        <v>13</v>
      </c>
    </row>
    <row r="230" spans="1:9" x14ac:dyDescent="0.35">
      <c r="A230">
        <v>6134680</v>
      </c>
      <c r="B230" t="s">
        <v>9</v>
      </c>
      <c r="C230" t="s">
        <v>610</v>
      </c>
      <c r="D230" s="2">
        <v>45292</v>
      </c>
      <c r="E230" s="2">
        <v>45657</v>
      </c>
      <c r="F230" t="s">
        <v>457</v>
      </c>
      <c r="G230" t="s">
        <v>634</v>
      </c>
      <c r="H230">
        <v>0</v>
      </c>
      <c r="I230" t="s">
        <v>13</v>
      </c>
    </row>
    <row r="231" spans="1:9" x14ac:dyDescent="0.35">
      <c r="A231">
        <v>6134681</v>
      </c>
      <c r="B231" t="s">
        <v>9</v>
      </c>
      <c r="C231" t="s">
        <v>610</v>
      </c>
      <c r="D231" s="2">
        <v>45292</v>
      </c>
      <c r="E231" s="2">
        <v>45657</v>
      </c>
      <c r="F231" t="s">
        <v>459</v>
      </c>
      <c r="G231" t="s">
        <v>460</v>
      </c>
      <c r="H231">
        <v>125766</v>
      </c>
      <c r="I231" t="s">
        <v>13</v>
      </c>
    </row>
    <row r="232" spans="1:9" x14ac:dyDescent="0.35">
      <c r="A232">
        <v>6134682</v>
      </c>
      <c r="B232" t="s">
        <v>9</v>
      </c>
      <c r="C232" t="s">
        <v>610</v>
      </c>
      <c r="D232" s="2">
        <v>45292</v>
      </c>
      <c r="E232" s="2">
        <v>45657</v>
      </c>
      <c r="F232" t="s">
        <v>461</v>
      </c>
      <c r="G232" t="s">
        <v>462</v>
      </c>
      <c r="H232">
        <v>-19669</v>
      </c>
      <c r="I232" t="s">
        <v>13</v>
      </c>
    </row>
    <row r="233" spans="1:9" x14ac:dyDescent="0.35">
      <c r="A233">
        <v>6134683</v>
      </c>
      <c r="B233" t="s">
        <v>9</v>
      </c>
      <c r="C233" t="s">
        <v>610</v>
      </c>
      <c r="D233" s="2">
        <v>45292</v>
      </c>
      <c r="E233" s="2">
        <v>45657</v>
      </c>
      <c r="F233" t="s">
        <v>463</v>
      </c>
      <c r="G233" t="s">
        <v>37</v>
      </c>
      <c r="H233">
        <v>115652</v>
      </c>
      <c r="I233" t="s">
        <v>13</v>
      </c>
    </row>
    <row r="234" spans="1:9" x14ac:dyDescent="0.35">
      <c r="A234">
        <v>6134684</v>
      </c>
      <c r="B234" t="s">
        <v>9</v>
      </c>
      <c r="C234" t="s">
        <v>610</v>
      </c>
      <c r="D234" s="2">
        <v>45292</v>
      </c>
      <c r="E234" s="2">
        <v>45657</v>
      </c>
      <c r="F234" t="s">
        <v>464</v>
      </c>
      <c r="G234" t="s">
        <v>45</v>
      </c>
      <c r="H234">
        <v>-4053</v>
      </c>
      <c r="I234" t="s">
        <v>13</v>
      </c>
    </row>
    <row r="235" spans="1:9" x14ac:dyDescent="0.35">
      <c r="A235">
        <v>6134685</v>
      </c>
      <c r="B235" t="s">
        <v>9</v>
      </c>
      <c r="C235" t="s">
        <v>610</v>
      </c>
      <c r="D235" s="2">
        <v>45292</v>
      </c>
      <c r="E235" s="2">
        <v>45657</v>
      </c>
      <c r="F235" t="s">
        <v>465</v>
      </c>
      <c r="G235" t="s">
        <v>466</v>
      </c>
      <c r="H235">
        <v>65400</v>
      </c>
      <c r="I235" t="s">
        <v>13</v>
      </c>
    </row>
    <row r="236" spans="1:9" x14ac:dyDescent="0.35">
      <c r="A236">
        <v>6134686</v>
      </c>
      <c r="B236" t="s">
        <v>9</v>
      </c>
      <c r="C236" t="s">
        <v>610</v>
      </c>
      <c r="D236" s="2">
        <v>45292</v>
      </c>
      <c r="E236" s="2">
        <v>45657</v>
      </c>
      <c r="F236" t="s">
        <v>467</v>
      </c>
      <c r="G236" t="s">
        <v>148</v>
      </c>
      <c r="H236">
        <v>-23527</v>
      </c>
      <c r="I236" t="s">
        <v>13</v>
      </c>
    </row>
    <row r="237" spans="1:9" x14ac:dyDescent="0.35">
      <c r="A237">
        <v>6134687</v>
      </c>
      <c r="B237" t="s">
        <v>9</v>
      </c>
      <c r="C237" t="s">
        <v>610</v>
      </c>
      <c r="D237" s="2">
        <v>45292</v>
      </c>
      <c r="E237" s="2">
        <v>45657</v>
      </c>
      <c r="F237" t="s">
        <v>468</v>
      </c>
      <c r="G237" t="s">
        <v>469</v>
      </c>
      <c r="H237">
        <v>69897</v>
      </c>
      <c r="I237" t="s">
        <v>13</v>
      </c>
    </row>
    <row r="238" spans="1:9" x14ac:dyDescent="0.35">
      <c r="A238">
        <v>6134688</v>
      </c>
      <c r="B238" t="s">
        <v>9</v>
      </c>
      <c r="C238" t="s">
        <v>610</v>
      </c>
      <c r="D238" s="2">
        <v>45292</v>
      </c>
      <c r="E238" s="2">
        <v>45657</v>
      </c>
      <c r="F238" t="s">
        <v>470</v>
      </c>
      <c r="G238" t="s">
        <v>471</v>
      </c>
      <c r="H238">
        <v>95646</v>
      </c>
      <c r="I238" t="s">
        <v>13</v>
      </c>
    </row>
    <row r="239" spans="1:9" x14ac:dyDescent="0.35">
      <c r="A239">
        <v>6134689</v>
      </c>
      <c r="B239" t="s">
        <v>9</v>
      </c>
      <c r="C239" t="s">
        <v>610</v>
      </c>
      <c r="D239" s="2">
        <v>45292</v>
      </c>
      <c r="E239" s="2">
        <v>45657</v>
      </c>
      <c r="F239" t="s">
        <v>472</v>
      </c>
      <c r="G239" t="s">
        <v>635</v>
      </c>
      <c r="H239">
        <v>-22419</v>
      </c>
      <c r="I239" t="s">
        <v>13</v>
      </c>
    </row>
    <row r="240" spans="1:9" x14ac:dyDescent="0.35">
      <c r="A240">
        <v>6134690</v>
      </c>
      <c r="B240" t="s">
        <v>9</v>
      </c>
      <c r="C240" t="s">
        <v>610</v>
      </c>
      <c r="D240" s="2">
        <v>45292</v>
      </c>
      <c r="E240" s="2">
        <v>45657</v>
      </c>
      <c r="F240" t="s">
        <v>474</v>
      </c>
      <c r="G240" t="s">
        <v>636</v>
      </c>
      <c r="H240">
        <v>0</v>
      </c>
      <c r="I240" t="s">
        <v>13</v>
      </c>
    </row>
    <row r="241" spans="1:9" x14ac:dyDescent="0.35">
      <c r="A241">
        <v>6134691</v>
      </c>
      <c r="B241" t="s">
        <v>9</v>
      </c>
      <c r="C241" t="s">
        <v>610</v>
      </c>
      <c r="D241" s="2">
        <v>45292</v>
      </c>
      <c r="E241" s="2">
        <v>45657</v>
      </c>
      <c r="F241" t="s">
        <v>476</v>
      </c>
      <c r="G241" t="s">
        <v>477</v>
      </c>
      <c r="H241">
        <v>-151247</v>
      </c>
      <c r="I241" t="s">
        <v>13</v>
      </c>
    </row>
    <row r="242" spans="1:9" x14ac:dyDescent="0.35">
      <c r="A242">
        <v>6134692</v>
      </c>
      <c r="B242" t="s">
        <v>9</v>
      </c>
      <c r="C242" t="s">
        <v>610</v>
      </c>
      <c r="D242" s="2">
        <v>45292</v>
      </c>
      <c r="E242" s="2">
        <v>45657</v>
      </c>
      <c r="F242" t="s">
        <v>478</v>
      </c>
      <c r="G242" t="s">
        <v>479</v>
      </c>
      <c r="H242">
        <v>-34793</v>
      </c>
      <c r="I242" t="s">
        <v>13</v>
      </c>
    </row>
    <row r="243" spans="1:9" x14ac:dyDescent="0.35">
      <c r="A243">
        <v>6134693</v>
      </c>
      <c r="B243" t="s">
        <v>9</v>
      </c>
      <c r="C243" t="s">
        <v>610</v>
      </c>
      <c r="D243" s="2">
        <v>45292</v>
      </c>
      <c r="E243" s="2">
        <v>45657</v>
      </c>
      <c r="F243" t="s">
        <v>480</v>
      </c>
      <c r="G243" t="s">
        <v>202</v>
      </c>
      <c r="H243">
        <v>10953</v>
      </c>
      <c r="I243" t="s">
        <v>13</v>
      </c>
    </row>
    <row r="244" spans="1:9" x14ac:dyDescent="0.35">
      <c r="A244">
        <v>6134694</v>
      </c>
      <c r="B244" t="s">
        <v>9</v>
      </c>
      <c r="C244" t="s">
        <v>610</v>
      </c>
      <c r="D244" s="2">
        <v>45292</v>
      </c>
      <c r="E244" s="2">
        <v>45657</v>
      </c>
      <c r="F244" t="s">
        <v>481</v>
      </c>
      <c r="G244" t="s">
        <v>484</v>
      </c>
      <c r="H244">
        <v>0</v>
      </c>
      <c r="I244" t="s">
        <v>13</v>
      </c>
    </row>
    <row r="245" spans="1:9" x14ac:dyDescent="0.35">
      <c r="A245">
        <v>6134695</v>
      </c>
      <c r="B245" t="s">
        <v>9</v>
      </c>
      <c r="C245" t="s">
        <v>610</v>
      </c>
      <c r="D245" s="2">
        <v>45292</v>
      </c>
      <c r="E245" s="2">
        <v>45657</v>
      </c>
      <c r="F245" t="s">
        <v>483</v>
      </c>
      <c r="G245" t="s">
        <v>486</v>
      </c>
      <c r="H245">
        <v>-12230</v>
      </c>
      <c r="I245" t="s">
        <v>13</v>
      </c>
    </row>
    <row r="246" spans="1:9" x14ac:dyDescent="0.35">
      <c r="A246">
        <v>6134696</v>
      </c>
      <c r="B246" t="s">
        <v>9</v>
      </c>
      <c r="C246" t="s">
        <v>610</v>
      </c>
      <c r="D246" s="2">
        <v>45292</v>
      </c>
      <c r="E246" s="2">
        <v>45657</v>
      </c>
      <c r="F246" t="s">
        <v>485</v>
      </c>
      <c r="G246" t="s">
        <v>177</v>
      </c>
      <c r="H246">
        <v>36156</v>
      </c>
      <c r="I246" t="s">
        <v>13</v>
      </c>
    </row>
    <row r="247" spans="1:9" x14ac:dyDescent="0.35">
      <c r="A247">
        <v>6134697</v>
      </c>
      <c r="B247" t="s">
        <v>9</v>
      </c>
      <c r="C247" t="s">
        <v>610</v>
      </c>
      <c r="D247" s="2">
        <v>45292</v>
      </c>
      <c r="E247" s="2">
        <v>45657</v>
      </c>
      <c r="F247" t="s">
        <v>489</v>
      </c>
      <c r="G247" t="s">
        <v>56</v>
      </c>
      <c r="H247">
        <v>0</v>
      </c>
      <c r="I247" t="s">
        <v>13</v>
      </c>
    </row>
    <row r="248" spans="1:9" x14ac:dyDescent="0.35">
      <c r="A248">
        <v>6134698</v>
      </c>
      <c r="B248" t="s">
        <v>9</v>
      </c>
      <c r="C248" t="s">
        <v>610</v>
      </c>
      <c r="D248" s="2">
        <v>45292</v>
      </c>
      <c r="E248" s="2">
        <v>45657</v>
      </c>
      <c r="F248" t="s">
        <v>490</v>
      </c>
      <c r="G248" t="s">
        <v>491</v>
      </c>
      <c r="H248">
        <v>-104882</v>
      </c>
      <c r="I248" t="s">
        <v>13</v>
      </c>
    </row>
    <row r="249" spans="1:9" x14ac:dyDescent="0.35">
      <c r="A249">
        <v>6134699</v>
      </c>
      <c r="B249" t="s">
        <v>9</v>
      </c>
      <c r="C249" t="s">
        <v>610</v>
      </c>
      <c r="D249" s="2">
        <v>45292</v>
      </c>
      <c r="E249" s="2">
        <v>45657</v>
      </c>
      <c r="F249" t="s">
        <v>492</v>
      </c>
      <c r="G249" t="s">
        <v>637</v>
      </c>
      <c r="H249">
        <v>0</v>
      </c>
      <c r="I249" t="s">
        <v>13</v>
      </c>
    </row>
    <row r="250" spans="1:9" x14ac:dyDescent="0.35">
      <c r="A250">
        <v>6134700</v>
      </c>
      <c r="B250" t="s">
        <v>9</v>
      </c>
      <c r="C250" t="s">
        <v>610</v>
      </c>
      <c r="D250" s="2">
        <v>45292</v>
      </c>
      <c r="E250" s="2">
        <v>45657</v>
      </c>
      <c r="F250" t="s">
        <v>494</v>
      </c>
      <c r="G250" t="s">
        <v>493</v>
      </c>
      <c r="H250">
        <v>-158967</v>
      </c>
      <c r="I250" t="s">
        <v>13</v>
      </c>
    </row>
    <row r="251" spans="1:9" x14ac:dyDescent="0.35">
      <c r="A251">
        <v>6134701</v>
      </c>
      <c r="B251" t="s">
        <v>9</v>
      </c>
      <c r="C251" t="s">
        <v>610</v>
      </c>
      <c r="D251" s="2">
        <v>45292</v>
      </c>
      <c r="E251" s="2">
        <v>45657</v>
      </c>
      <c r="F251" t="s">
        <v>638</v>
      </c>
      <c r="G251" t="s">
        <v>19</v>
      </c>
      <c r="H251">
        <v>1680</v>
      </c>
      <c r="I251" t="s">
        <v>13</v>
      </c>
    </row>
    <row r="252" spans="1:9" x14ac:dyDescent="0.35">
      <c r="A252">
        <v>6134702</v>
      </c>
      <c r="B252" t="s">
        <v>9</v>
      </c>
      <c r="C252" t="s">
        <v>610</v>
      </c>
      <c r="D252" s="2">
        <v>45292</v>
      </c>
      <c r="E252" s="2">
        <v>45657</v>
      </c>
      <c r="F252" t="s">
        <v>496</v>
      </c>
      <c r="G252" t="s">
        <v>639</v>
      </c>
      <c r="H252">
        <v>0</v>
      </c>
      <c r="I252" t="s">
        <v>13</v>
      </c>
    </row>
    <row r="253" spans="1:9" x14ac:dyDescent="0.35">
      <c r="A253">
        <v>6134703</v>
      </c>
      <c r="B253" t="s">
        <v>9</v>
      </c>
      <c r="C253" t="s">
        <v>610</v>
      </c>
      <c r="D253" s="2">
        <v>45292</v>
      </c>
      <c r="E253" s="2">
        <v>45657</v>
      </c>
      <c r="F253" t="s">
        <v>640</v>
      </c>
      <c r="G253" t="s">
        <v>641</v>
      </c>
      <c r="H253">
        <v>0</v>
      </c>
      <c r="I253" t="s">
        <v>13</v>
      </c>
    </row>
    <row r="254" spans="1:9" x14ac:dyDescent="0.35">
      <c r="A254">
        <v>6134704</v>
      </c>
      <c r="B254" t="s">
        <v>9</v>
      </c>
      <c r="C254" t="s">
        <v>610</v>
      </c>
      <c r="D254" s="2">
        <v>45292</v>
      </c>
      <c r="E254" s="2">
        <v>45657</v>
      </c>
      <c r="F254" t="s">
        <v>498</v>
      </c>
      <c r="G254" t="s">
        <v>642</v>
      </c>
      <c r="H254">
        <v>0</v>
      </c>
      <c r="I254" t="s">
        <v>13</v>
      </c>
    </row>
    <row r="255" spans="1:9" x14ac:dyDescent="0.35">
      <c r="A255">
        <v>6134705</v>
      </c>
      <c r="B255" t="s">
        <v>9</v>
      </c>
      <c r="C255" t="s">
        <v>610</v>
      </c>
      <c r="D255" s="2">
        <v>45292</v>
      </c>
      <c r="E255" s="2">
        <v>45657</v>
      </c>
      <c r="F255" t="s">
        <v>643</v>
      </c>
      <c r="G255" t="s">
        <v>644</v>
      </c>
      <c r="H255">
        <v>0</v>
      </c>
      <c r="I255" t="s">
        <v>13</v>
      </c>
    </row>
    <row r="256" spans="1:9" x14ac:dyDescent="0.35">
      <c r="A256">
        <v>6134706</v>
      </c>
      <c r="B256" t="s">
        <v>9</v>
      </c>
      <c r="C256" t="s">
        <v>610</v>
      </c>
      <c r="D256" s="2">
        <v>45292</v>
      </c>
      <c r="E256" s="2">
        <v>45657</v>
      </c>
      <c r="F256" t="s">
        <v>500</v>
      </c>
      <c r="G256" t="s">
        <v>645</v>
      </c>
      <c r="H256">
        <v>52405</v>
      </c>
      <c r="I256" t="s">
        <v>13</v>
      </c>
    </row>
    <row r="257" spans="1:9" x14ac:dyDescent="0.35">
      <c r="A257">
        <v>6134707</v>
      </c>
      <c r="B257" t="s">
        <v>9</v>
      </c>
      <c r="C257" t="s">
        <v>610</v>
      </c>
      <c r="D257" s="2">
        <v>45292</v>
      </c>
      <c r="E257" s="2">
        <v>45657</v>
      </c>
      <c r="F257" t="s">
        <v>506</v>
      </c>
      <c r="G257" t="s">
        <v>507</v>
      </c>
      <c r="H257">
        <v>-201757</v>
      </c>
      <c r="I257" t="s">
        <v>13</v>
      </c>
    </row>
    <row r="258" spans="1:9" x14ac:dyDescent="0.35">
      <c r="A258">
        <v>6134708</v>
      </c>
      <c r="B258" t="s">
        <v>9</v>
      </c>
      <c r="C258" t="s">
        <v>610</v>
      </c>
      <c r="D258" s="2">
        <v>45292</v>
      </c>
      <c r="E258" s="2">
        <v>45657</v>
      </c>
      <c r="F258" t="s">
        <v>508</v>
      </c>
      <c r="G258" t="s">
        <v>509</v>
      </c>
      <c r="H258">
        <v>206744</v>
      </c>
      <c r="I258" t="s">
        <v>13</v>
      </c>
    </row>
    <row r="259" spans="1:9" x14ac:dyDescent="0.35">
      <c r="A259">
        <v>6134709</v>
      </c>
      <c r="B259" t="s">
        <v>9</v>
      </c>
      <c r="C259" t="s">
        <v>610</v>
      </c>
      <c r="D259" s="2">
        <v>45292</v>
      </c>
      <c r="E259" s="2">
        <v>45657</v>
      </c>
      <c r="F259" t="s">
        <v>510</v>
      </c>
      <c r="G259" t="s">
        <v>511</v>
      </c>
      <c r="H259">
        <v>-362345</v>
      </c>
      <c r="I259" t="s">
        <v>13</v>
      </c>
    </row>
    <row r="260" spans="1:9" x14ac:dyDescent="0.35">
      <c r="A260">
        <v>6134710</v>
      </c>
      <c r="B260" t="s">
        <v>9</v>
      </c>
      <c r="C260" t="s">
        <v>610</v>
      </c>
      <c r="D260" s="2">
        <v>45292</v>
      </c>
      <c r="E260" s="2">
        <v>45657</v>
      </c>
      <c r="F260" t="s">
        <v>512</v>
      </c>
      <c r="G260" t="s">
        <v>513</v>
      </c>
      <c r="H260">
        <v>-18</v>
      </c>
      <c r="I260" t="s">
        <v>13</v>
      </c>
    </row>
    <row r="261" spans="1:9" x14ac:dyDescent="0.35">
      <c r="A261">
        <v>6134711</v>
      </c>
      <c r="B261" t="s">
        <v>9</v>
      </c>
      <c r="C261" t="s">
        <v>610</v>
      </c>
      <c r="D261" s="2">
        <v>45292</v>
      </c>
      <c r="E261" s="2">
        <v>45657</v>
      </c>
      <c r="F261" t="s">
        <v>514</v>
      </c>
      <c r="G261" t="s">
        <v>515</v>
      </c>
      <c r="H261">
        <v>-46138</v>
      </c>
      <c r="I261" t="s">
        <v>13</v>
      </c>
    </row>
    <row r="262" spans="1:9" x14ac:dyDescent="0.35">
      <c r="A262">
        <v>6134712</v>
      </c>
      <c r="B262" t="s">
        <v>9</v>
      </c>
      <c r="C262" t="s">
        <v>610</v>
      </c>
      <c r="D262" s="2">
        <v>45292</v>
      </c>
      <c r="E262" s="2">
        <v>45657</v>
      </c>
      <c r="F262" t="s">
        <v>646</v>
      </c>
      <c r="G262" t="s">
        <v>519</v>
      </c>
      <c r="H262">
        <v>0</v>
      </c>
      <c r="I262" t="s">
        <v>13</v>
      </c>
    </row>
    <row r="263" spans="1:9" x14ac:dyDescent="0.35">
      <c r="A263">
        <v>6134713</v>
      </c>
      <c r="B263" t="s">
        <v>9</v>
      </c>
      <c r="C263" t="s">
        <v>610</v>
      </c>
      <c r="D263" s="2">
        <v>45292</v>
      </c>
      <c r="E263" s="2">
        <v>45657</v>
      </c>
      <c r="F263" t="s">
        <v>518</v>
      </c>
      <c r="G263" t="s">
        <v>517</v>
      </c>
      <c r="H263">
        <v>0</v>
      </c>
      <c r="I263" t="s">
        <v>13</v>
      </c>
    </row>
    <row r="264" spans="1:9" x14ac:dyDescent="0.35">
      <c r="A264">
        <v>6134714</v>
      </c>
      <c r="B264" t="s">
        <v>9</v>
      </c>
      <c r="C264" t="s">
        <v>610</v>
      </c>
      <c r="D264" s="2">
        <v>45292</v>
      </c>
      <c r="E264" s="2">
        <v>45657</v>
      </c>
      <c r="F264" t="s">
        <v>520</v>
      </c>
      <c r="G264" t="s">
        <v>521</v>
      </c>
      <c r="H264">
        <v>27594</v>
      </c>
      <c r="I264" t="s">
        <v>13</v>
      </c>
    </row>
    <row r="265" spans="1:9" x14ac:dyDescent="0.35">
      <c r="A265">
        <v>6134715</v>
      </c>
      <c r="B265" t="s">
        <v>9</v>
      </c>
      <c r="C265" t="s">
        <v>610</v>
      </c>
      <c r="D265" s="2">
        <v>45292</v>
      </c>
      <c r="E265" s="2">
        <v>45657</v>
      </c>
      <c r="F265" t="s">
        <v>522</v>
      </c>
      <c r="G265" t="s">
        <v>523</v>
      </c>
      <c r="H265">
        <v>565986</v>
      </c>
      <c r="I265" t="s">
        <v>13</v>
      </c>
    </row>
    <row r="266" spans="1:9" x14ac:dyDescent="0.35">
      <c r="A266">
        <v>6134716</v>
      </c>
      <c r="B266" t="s">
        <v>9</v>
      </c>
      <c r="C266" t="s">
        <v>610</v>
      </c>
      <c r="D266" s="2">
        <v>45292</v>
      </c>
      <c r="E266" s="2">
        <v>45657</v>
      </c>
      <c r="F266" t="s">
        <v>524</v>
      </c>
      <c r="G266" t="s">
        <v>525</v>
      </c>
      <c r="H266">
        <v>922525</v>
      </c>
      <c r="I266" t="s">
        <v>13</v>
      </c>
    </row>
    <row r="267" spans="1:9" x14ac:dyDescent="0.35">
      <c r="A267">
        <v>6134717</v>
      </c>
      <c r="B267" t="s">
        <v>9</v>
      </c>
      <c r="C267" t="s">
        <v>610</v>
      </c>
      <c r="D267" s="2">
        <v>45292</v>
      </c>
      <c r="E267" s="2">
        <v>45657</v>
      </c>
      <c r="F267" t="s">
        <v>526</v>
      </c>
      <c r="G267" t="s">
        <v>527</v>
      </c>
      <c r="H267">
        <v>1488511</v>
      </c>
      <c r="I267" t="s">
        <v>13</v>
      </c>
    </row>
    <row r="268" spans="1:9" x14ac:dyDescent="0.35">
      <c r="A268">
        <v>6134718</v>
      </c>
      <c r="B268" t="s">
        <v>9</v>
      </c>
      <c r="C268" t="s">
        <v>610</v>
      </c>
      <c r="D268" s="2">
        <v>45292</v>
      </c>
      <c r="E268" s="2">
        <v>45657</v>
      </c>
      <c r="F268" t="s">
        <v>528</v>
      </c>
      <c r="G268" t="s">
        <v>529</v>
      </c>
      <c r="H268">
        <v>4630486</v>
      </c>
      <c r="I268" t="s">
        <v>13</v>
      </c>
    </row>
    <row r="269" spans="1:9" x14ac:dyDescent="0.35">
      <c r="A269">
        <v>6134719</v>
      </c>
      <c r="B269" t="s">
        <v>9</v>
      </c>
      <c r="C269" t="s">
        <v>610</v>
      </c>
      <c r="D269" s="2">
        <v>45292</v>
      </c>
      <c r="E269" s="2">
        <v>45657</v>
      </c>
      <c r="F269" t="s">
        <v>530</v>
      </c>
      <c r="G269" t="s">
        <v>531</v>
      </c>
      <c r="H269">
        <v>4620390</v>
      </c>
      <c r="I269" t="s">
        <v>13</v>
      </c>
    </row>
    <row r="270" spans="1:9" x14ac:dyDescent="0.35">
      <c r="A270">
        <v>6134720</v>
      </c>
      <c r="B270" t="s">
        <v>9</v>
      </c>
      <c r="C270" t="s">
        <v>610</v>
      </c>
      <c r="D270" s="2">
        <v>45292</v>
      </c>
      <c r="E270" s="2">
        <v>45657</v>
      </c>
      <c r="F270" t="s">
        <v>532</v>
      </c>
      <c r="G270" t="s">
        <v>533</v>
      </c>
      <c r="H270">
        <v>26089</v>
      </c>
      <c r="I270" t="s">
        <v>13</v>
      </c>
    </row>
    <row r="271" spans="1:9" x14ac:dyDescent="0.35">
      <c r="A271">
        <v>6134721</v>
      </c>
      <c r="B271" t="s">
        <v>9</v>
      </c>
      <c r="C271" t="s">
        <v>610</v>
      </c>
      <c r="D271" s="2">
        <v>45292</v>
      </c>
      <c r="E271" s="2">
        <v>45657</v>
      </c>
      <c r="F271" t="s">
        <v>534</v>
      </c>
      <c r="G271" t="s">
        <v>535</v>
      </c>
      <c r="H271">
        <v>0</v>
      </c>
      <c r="I271" t="s">
        <v>13</v>
      </c>
    </row>
    <row r="272" spans="1:9" x14ac:dyDescent="0.35">
      <c r="A272">
        <v>6134722</v>
      </c>
      <c r="B272" t="s">
        <v>9</v>
      </c>
      <c r="C272" t="s">
        <v>610</v>
      </c>
      <c r="D272" s="2">
        <v>45292</v>
      </c>
      <c r="E272" s="2">
        <v>45657</v>
      </c>
      <c r="F272" t="s">
        <v>536</v>
      </c>
      <c r="G272" t="s">
        <v>533</v>
      </c>
      <c r="H272">
        <v>26089</v>
      </c>
      <c r="I272" t="s">
        <v>13</v>
      </c>
    </row>
    <row r="273" spans="1:9" x14ac:dyDescent="0.35">
      <c r="A273">
        <v>6134723</v>
      </c>
      <c r="B273" t="s">
        <v>9</v>
      </c>
      <c r="C273" t="s">
        <v>610</v>
      </c>
      <c r="D273" s="2">
        <v>45292</v>
      </c>
      <c r="E273" s="2">
        <v>45657</v>
      </c>
      <c r="F273" t="s">
        <v>539</v>
      </c>
      <c r="G273" t="s">
        <v>538</v>
      </c>
      <c r="H273">
        <v>0</v>
      </c>
      <c r="I273" t="s">
        <v>13</v>
      </c>
    </row>
    <row r="274" spans="1:9" x14ac:dyDescent="0.35">
      <c r="A274">
        <v>6134724</v>
      </c>
      <c r="B274" t="s">
        <v>9</v>
      </c>
      <c r="C274" t="s">
        <v>610</v>
      </c>
      <c r="D274" s="2">
        <v>45292</v>
      </c>
      <c r="E274" s="2">
        <v>45657</v>
      </c>
      <c r="F274" t="s">
        <v>540</v>
      </c>
      <c r="G274" t="s">
        <v>541</v>
      </c>
      <c r="H274">
        <v>-15993</v>
      </c>
      <c r="I274" t="s">
        <v>13</v>
      </c>
    </row>
    <row r="275" spans="1:9" x14ac:dyDescent="0.35">
      <c r="A275">
        <v>6134725</v>
      </c>
      <c r="B275" t="s">
        <v>9</v>
      </c>
      <c r="C275" t="s">
        <v>610</v>
      </c>
      <c r="D275" s="2">
        <v>45292</v>
      </c>
      <c r="E275" s="2">
        <v>45657</v>
      </c>
      <c r="F275" t="s">
        <v>542</v>
      </c>
      <c r="G275" t="s">
        <v>543</v>
      </c>
      <c r="H275">
        <v>-2885274</v>
      </c>
      <c r="I275" t="s">
        <v>13</v>
      </c>
    </row>
    <row r="276" spans="1:9" x14ac:dyDescent="0.35">
      <c r="A276">
        <v>6134726</v>
      </c>
      <c r="B276" t="s">
        <v>9</v>
      </c>
      <c r="C276" t="s">
        <v>610</v>
      </c>
      <c r="D276" s="2">
        <v>45292</v>
      </c>
      <c r="E276" s="2">
        <v>45657</v>
      </c>
      <c r="F276" t="s">
        <v>544</v>
      </c>
      <c r="G276" t="s">
        <v>545</v>
      </c>
      <c r="H276">
        <v>-1347072</v>
      </c>
      <c r="I276" t="s">
        <v>13</v>
      </c>
    </row>
    <row r="277" spans="1:9" x14ac:dyDescent="0.35">
      <c r="A277">
        <v>6134727</v>
      </c>
      <c r="B277" t="s">
        <v>9</v>
      </c>
      <c r="C277" t="s">
        <v>610</v>
      </c>
      <c r="D277" s="2">
        <v>45292</v>
      </c>
      <c r="E277" s="2">
        <v>45657</v>
      </c>
      <c r="F277" t="s">
        <v>546</v>
      </c>
      <c r="G277" t="s">
        <v>547</v>
      </c>
      <c r="H277">
        <v>-1309645</v>
      </c>
      <c r="I277" t="s">
        <v>13</v>
      </c>
    </row>
    <row r="278" spans="1:9" x14ac:dyDescent="0.35">
      <c r="A278">
        <v>6134728</v>
      </c>
      <c r="B278" t="s">
        <v>9</v>
      </c>
      <c r="C278" t="s">
        <v>610</v>
      </c>
      <c r="D278" s="2">
        <v>45292</v>
      </c>
      <c r="E278" s="2">
        <v>45657</v>
      </c>
      <c r="F278" t="s">
        <v>548</v>
      </c>
      <c r="G278" t="s">
        <v>549</v>
      </c>
      <c r="H278">
        <v>-226534</v>
      </c>
      <c r="I278" t="s">
        <v>13</v>
      </c>
    </row>
    <row r="279" spans="1:9" x14ac:dyDescent="0.35">
      <c r="A279">
        <v>6134729</v>
      </c>
      <c r="B279" t="s">
        <v>9</v>
      </c>
      <c r="C279" t="s">
        <v>610</v>
      </c>
      <c r="D279" s="2">
        <v>45292</v>
      </c>
      <c r="E279" s="2">
        <v>45657</v>
      </c>
      <c r="F279" t="s">
        <v>550</v>
      </c>
      <c r="G279" t="s">
        <v>56</v>
      </c>
      <c r="H279">
        <v>-2023</v>
      </c>
      <c r="I279" t="s">
        <v>13</v>
      </c>
    </row>
    <row r="280" spans="1:9" x14ac:dyDescent="0.35">
      <c r="A280">
        <v>6134730</v>
      </c>
      <c r="B280" t="s">
        <v>9</v>
      </c>
      <c r="C280" t="s">
        <v>610</v>
      </c>
      <c r="D280" s="2">
        <v>45292</v>
      </c>
      <c r="E280" s="2">
        <v>45657</v>
      </c>
      <c r="F280" t="s">
        <v>551</v>
      </c>
      <c r="G280" t="s">
        <v>444</v>
      </c>
      <c r="H280">
        <v>0</v>
      </c>
      <c r="I280" t="s">
        <v>13</v>
      </c>
    </row>
    <row r="281" spans="1:9" x14ac:dyDescent="0.35">
      <c r="A281">
        <v>6134731</v>
      </c>
      <c r="B281" t="s">
        <v>9</v>
      </c>
      <c r="C281" t="s">
        <v>610</v>
      </c>
      <c r="D281" s="2">
        <v>45292</v>
      </c>
      <c r="E281" s="2">
        <v>45657</v>
      </c>
      <c r="F281" t="s">
        <v>552</v>
      </c>
      <c r="G281" t="s">
        <v>56</v>
      </c>
      <c r="H281">
        <v>-2023</v>
      </c>
      <c r="I281" t="s">
        <v>13</v>
      </c>
    </row>
    <row r="282" spans="1:9" x14ac:dyDescent="0.35">
      <c r="A282">
        <v>6134732</v>
      </c>
      <c r="B282" t="s">
        <v>9</v>
      </c>
      <c r="C282" t="s">
        <v>610</v>
      </c>
      <c r="D282" s="2">
        <v>45292</v>
      </c>
      <c r="E282" s="2">
        <v>45657</v>
      </c>
      <c r="F282" t="s">
        <v>553</v>
      </c>
      <c r="G282" t="s">
        <v>554</v>
      </c>
      <c r="H282">
        <v>1745212</v>
      </c>
      <c r="I282" t="s">
        <v>13</v>
      </c>
    </row>
    <row r="283" spans="1:9" x14ac:dyDescent="0.35">
      <c r="A283">
        <v>6134733</v>
      </c>
      <c r="B283" t="s">
        <v>9</v>
      </c>
      <c r="C283" t="s">
        <v>610</v>
      </c>
      <c r="D283" s="2">
        <v>45292</v>
      </c>
      <c r="E283" s="2">
        <v>45657</v>
      </c>
      <c r="F283" t="s">
        <v>555</v>
      </c>
      <c r="G283" t="s">
        <v>556</v>
      </c>
      <c r="H283">
        <v>-249815</v>
      </c>
      <c r="I283" t="s">
        <v>13</v>
      </c>
    </row>
    <row r="284" spans="1:9" x14ac:dyDescent="0.35">
      <c r="A284">
        <v>6134734</v>
      </c>
      <c r="B284" t="s">
        <v>9</v>
      </c>
      <c r="C284" t="s">
        <v>610</v>
      </c>
      <c r="D284" s="2">
        <v>45292</v>
      </c>
      <c r="E284" s="2">
        <v>45657</v>
      </c>
      <c r="F284" t="s">
        <v>557</v>
      </c>
      <c r="G284" t="s">
        <v>558</v>
      </c>
      <c r="H284">
        <v>-249815</v>
      </c>
      <c r="I284" t="s">
        <v>13</v>
      </c>
    </row>
    <row r="285" spans="1:9" x14ac:dyDescent="0.35">
      <c r="A285">
        <v>6134735</v>
      </c>
      <c r="B285" t="s">
        <v>9</v>
      </c>
      <c r="C285" t="s">
        <v>610</v>
      </c>
      <c r="D285" s="2">
        <v>45292</v>
      </c>
      <c r="E285" s="2">
        <v>45657</v>
      </c>
      <c r="F285" t="s">
        <v>559</v>
      </c>
      <c r="G285" t="s">
        <v>560</v>
      </c>
      <c r="H285">
        <v>0</v>
      </c>
      <c r="I285" t="s">
        <v>13</v>
      </c>
    </row>
    <row r="286" spans="1:9" x14ac:dyDescent="0.35">
      <c r="A286">
        <v>6134736</v>
      </c>
      <c r="B286" t="s">
        <v>9</v>
      </c>
      <c r="C286" t="s">
        <v>610</v>
      </c>
      <c r="D286" s="2">
        <v>45292</v>
      </c>
      <c r="E286" s="2">
        <v>45657</v>
      </c>
      <c r="F286" t="s">
        <v>561</v>
      </c>
      <c r="G286" t="s">
        <v>562</v>
      </c>
      <c r="H286">
        <v>1495397</v>
      </c>
      <c r="I286" t="s">
        <v>13</v>
      </c>
    </row>
    <row r="287" spans="1:9" x14ac:dyDescent="0.35">
      <c r="A287">
        <v>6134737</v>
      </c>
      <c r="B287" t="s">
        <v>9</v>
      </c>
      <c r="C287" t="s">
        <v>610</v>
      </c>
      <c r="D287" s="2">
        <v>45292</v>
      </c>
      <c r="E287" s="2">
        <v>45657</v>
      </c>
      <c r="F287" t="s">
        <v>563</v>
      </c>
      <c r="G287" t="s">
        <v>564</v>
      </c>
      <c r="H287">
        <v>247714</v>
      </c>
      <c r="I287" t="s">
        <v>13</v>
      </c>
    </row>
    <row r="288" spans="1:9" x14ac:dyDescent="0.35">
      <c r="A288">
        <v>6134738</v>
      </c>
      <c r="B288" t="s">
        <v>9</v>
      </c>
      <c r="C288" t="s">
        <v>610</v>
      </c>
      <c r="D288" s="2">
        <v>45292</v>
      </c>
      <c r="E288" s="2">
        <v>45657</v>
      </c>
      <c r="F288" t="s">
        <v>565</v>
      </c>
      <c r="G288" t="s">
        <v>368</v>
      </c>
      <c r="H288">
        <v>21301</v>
      </c>
      <c r="I288" t="s">
        <v>13</v>
      </c>
    </row>
    <row r="289" spans="1:9" x14ac:dyDescent="0.35">
      <c r="A289">
        <v>6134739</v>
      </c>
      <c r="B289" t="s">
        <v>9</v>
      </c>
      <c r="C289" t="s">
        <v>610</v>
      </c>
      <c r="D289" s="2">
        <v>45292</v>
      </c>
      <c r="E289" s="2">
        <v>45657</v>
      </c>
      <c r="F289" t="s">
        <v>566</v>
      </c>
      <c r="G289" t="s">
        <v>374</v>
      </c>
      <c r="H289">
        <v>226413</v>
      </c>
      <c r="I289" t="s">
        <v>13</v>
      </c>
    </row>
    <row r="290" spans="1:9" x14ac:dyDescent="0.35">
      <c r="A290">
        <v>6134740</v>
      </c>
      <c r="B290" t="s">
        <v>9</v>
      </c>
      <c r="C290" t="s">
        <v>610</v>
      </c>
      <c r="D290" s="2">
        <v>45292</v>
      </c>
      <c r="E290" s="2">
        <v>45657</v>
      </c>
      <c r="F290" t="s">
        <v>567</v>
      </c>
      <c r="G290" t="s">
        <v>56</v>
      </c>
      <c r="H290">
        <v>0</v>
      </c>
      <c r="I290" t="s">
        <v>13</v>
      </c>
    </row>
    <row r="291" spans="1:9" x14ac:dyDescent="0.35">
      <c r="A291">
        <v>6134741</v>
      </c>
      <c r="B291" t="s">
        <v>9</v>
      </c>
      <c r="C291" t="s">
        <v>610</v>
      </c>
      <c r="D291" s="2">
        <v>45292</v>
      </c>
      <c r="E291" s="2">
        <v>45657</v>
      </c>
      <c r="F291" t="s">
        <v>568</v>
      </c>
      <c r="G291" t="s">
        <v>56</v>
      </c>
      <c r="H291">
        <v>0</v>
      </c>
      <c r="I291" t="s">
        <v>13</v>
      </c>
    </row>
    <row r="292" spans="1:9" x14ac:dyDescent="0.35">
      <c r="A292">
        <v>6134742</v>
      </c>
      <c r="B292" t="s">
        <v>9</v>
      </c>
      <c r="C292" t="s">
        <v>610</v>
      </c>
      <c r="D292" s="2">
        <v>45292</v>
      </c>
      <c r="E292" s="2">
        <v>45657</v>
      </c>
      <c r="F292" t="s">
        <v>569</v>
      </c>
      <c r="G292" t="s">
        <v>570</v>
      </c>
      <c r="H292">
        <v>0</v>
      </c>
      <c r="I292" t="s">
        <v>13</v>
      </c>
    </row>
    <row r="293" spans="1:9" x14ac:dyDescent="0.35">
      <c r="A293">
        <v>6134743</v>
      </c>
      <c r="B293" t="s">
        <v>9</v>
      </c>
      <c r="C293" t="s">
        <v>610</v>
      </c>
      <c r="D293" s="2">
        <v>45292</v>
      </c>
      <c r="E293" s="2">
        <v>45657</v>
      </c>
      <c r="F293" t="s">
        <v>571</v>
      </c>
      <c r="G293" t="s">
        <v>572</v>
      </c>
      <c r="H293">
        <v>1743111</v>
      </c>
      <c r="I293" t="s">
        <v>13</v>
      </c>
    </row>
    <row r="294" spans="1:9" x14ac:dyDescent="0.35">
      <c r="A294">
        <v>6134744</v>
      </c>
      <c r="B294" t="s">
        <v>9</v>
      </c>
      <c r="C294" t="s">
        <v>610</v>
      </c>
      <c r="D294" s="2">
        <v>45292</v>
      </c>
      <c r="E294" s="2">
        <v>45657</v>
      </c>
      <c r="F294" t="s">
        <v>573</v>
      </c>
      <c r="G294" t="s">
        <v>574</v>
      </c>
      <c r="H294">
        <v>1743111</v>
      </c>
      <c r="I294" t="s">
        <v>13</v>
      </c>
    </row>
    <row r="295" spans="1:9" x14ac:dyDescent="0.35">
      <c r="A295">
        <v>6134745</v>
      </c>
      <c r="B295" t="s">
        <v>9</v>
      </c>
      <c r="C295" t="s">
        <v>610</v>
      </c>
      <c r="D295" s="2">
        <v>45292</v>
      </c>
      <c r="E295" s="2">
        <v>45657</v>
      </c>
      <c r="F295" t="s">
        <v>575</v>
      </c>
      <c r="G295" t="s">
        <v>576</v>
      </c>
      <c r="H295">
        <v>1003743</v>
      </c>
      <c r="I295" t="s">
        <v>13</v>
      </c>
    </row>
    <row r="296" spans="1:9" x14ac:dyDescent="0.35">
      <c r="A296">
        <v>6134746</v>
      </c>
      <c r="B296" t="s">
        <v>9</v>
      </c>
      <c r="C296" t="s">
        <v>610</v>
      </c>
      <c r="D296" s="2">
        <v>45292</v>
      </c>
      <c r="E296" s="2">
        <v>45657</v>
      </c>
      <c r="F296" t="s">
        <v>577</v>
      </c>
      <c r="G296" t="s">
        <v>578</v>
      </c>
      <c r="H296">
        <v>769635</v>
      </c>
      <c r="I296" t="s">
        <v>13</v>
      </c>
    </row>
    <row r="297" spans="1:9" x14ac:dyDescent="0.35">
      <c r="A297">
        <v>6134747</v>
      </c>
      <c r="B297" t="s">
        <v>9</v>
      </c>
      <c r="C297" t="s">
        <v>610</v>
      </c>
      <c r="D297" s="2">
        <v>45292</v>
      </c>
      <c r="E297" s="2">
        <v>45657</v>
      </c>
      <c r="F297" t="s">
        <v>579</v>
      </c>
      <c r="G297" t="s">
        <v>580</v>
      </c>
      <c r="H297">
        <v>196356</v>
      </c>
      <c r="I297" t="s">
        <v>13</v>
      </c>
    </row>
    <row r="298" spans="1:9" x14ac:dyDescent="0.35">
      <c r="A298">
        <v>6134748</v>
      </c>
      <c r="B298" t="s">
        <v>9</v>
      </c>
      <c r="C298" t="s">
        <v>610</v>
      </c>
      <c r="D298" s="2">
        <v>45292</v>
      </c>
      <c r="E298" s="2">
        <v>45657</v>
      </c>
      <c r="F298" t="s">
        <v>581</v>
      </c>
      <c r="G298" t="s">
        <v>582</v>
      </c>
      <c r="H298">
        <v>37752</v>
      </c>
      <c r="I298" t="s">
        <v>13</v>
      </c>
    </row>
    <row r="299" spans="1:9" x14ac:dyDescent="0.35">
      <c r="A299">
        <v>6134749</v>
      </c>
      <c r="B299" t="s">
        <v>9</v>
      </c>
      <c r="C299" t="s">
        <v>610</v>
      </c>
      <c r="D299" s="2">
        <v>45292</v>
      </c>
      <c r="E299" s="2">
        <v>45657</v>
      </c>
      <c r="F299" t="s">
        <v>583</v>
      </c>
      <c r="G299" t="s">
        <v>56</v>
      </c>
      <c r="H299">
        <v>0</v>
      </c>
      <c r="I299" t="s">
        <v>13</v>
      </c>
    </row>
    <row r="300" spans="1:9" x14ac:dyDescent="0.35">
      <c r="A300">
        <v>6134750</v>
      </c>
      <c r="B300" t="s">
        <v>9</v>
      </c>
      <c r="C300" t="s">
        <v>610</v>
      </c>
      <c r="D300" s="2">
        <v>45292</v>
      </c>
      <c r="E300" s="2">
        <v>45657</v>
      </c>
      <c r="F300" t="s">
        <v>584</v>
      </c>
      <c r="G300" t="s">
        <v>585</v>
      </c>
      <c r="H300">
        <v>361494</v>
      </c>
      <c r="I300" t="s">
        <v>13</v>
      </c>
    </row>
    <row r="301" spans="1:9" x14ac:dyDescent="0.35">
      <c r="A301">
        <v>6134751</v>
      </c>
      <c r="B301" t="s">
        <v>9</v>
      </c>
      <c r="C301" t="s">
        <v>610</v>
      </c>
      <c r="D301" s="2">
        <v>45292</v>
      </c>
      <c r="E301" s="2">
        <v>45657</v>
      </c>
      <c r="F301" t="s">
        <v>586</v>
      </c>
      <c r="G301" t="s">
        <v>587</v>
      </c>
      <c r="H301">
        <v>327405</v>
      </c>
      <c r="I301" t="s">
        <v>13</v>
      </c>
    </row>
    <row r="302" spans="1:9" x14ac:dyDescent="0.35">
      <c r="A302">
        <v>6134752</v>
      </c>
      <c r="B302" t="s">
        <v>9</v>
      </c>
      <c r="C302" t="s">
        <v>610</v>
      </c>
      <c r="D302" s="2">
        <v>45292</v>
      </c>
      <c r="E302" s="2">
        <v>45657</v>
      </c>
      <c r="F302" t="s">
        <v>588</v>
      </c>
      <c r="G302" t="s">
        <v>589</v>
      </c>
      <c r="H302">
        <v>30707</v>
      </c>
      <c r="I302" t="s">
        <v>13</v>
      </c>
    </row>
    <row r="303" spans="1:9" x14ac:dyDescent="0.35">
      <c r="A303">
        <v>6134753</v>
      </c>
      <c r="B303" t="s">
        <v>9</v>
      </c>
      <c r="C303" t="s">
        <v>610</v>
      </c>
      <c r="D303" s="2">
        <v>45292</v>
      </c>
      <c r="E303" s="2">
        <v>45657</v>
      </c>
      <c r="F303" t="s">
        <v>590</v>
      </c>
      <c r="G303" t="s">
        <v>591</v>
      </c>
      <c r="H303">
        <v>3382</v>
      </c>
      <c r="I303" t="s">
        <v>13</v>
      </c>
    </row>
    <row r="304" spans="1:9" x14ac:dyDescent="0.35">
      <c r="A304">
        <v>6134754</v>
      </c>
      <c r="B304" t="s">
        <v>9</v>
      </c>
      <c r="C304" t="s">
        <v>610</v>
      </c>
      <c r="D304" s="2">
        <v>45292</v>
      </c>
      <c r="E304" s="2">
        <v>45657</v>
      </c>
      <c r="F304" t="s">
        <v>592</v>
      </c>
      <c r="G304" t="s">
        <v>593</v>
      </c>
      <c r="H304">
        <v>270477</v>
      </c>
      <c r="I304" t="s">
        <v>13</v>
      </c>
    </row>
    <row r="305" spans="1:9" x14ac:dyDescent="0.35">
      <c r="A305">
        <v>6134755</v>
      </c>
      <c r="B305" t="s">
        <v>9</v>
      </c>
      <c r="C305" t="s">
        <v>610</v>
      </c>
      <c r="D305" s="2">
        <v>45292</v>
      </c>
      <c r="E305" s="2">
        <v>45657</v>
      </c>
      <c r="F305" t="s">
        <v>594</v>
      </c>
      <c r="G305" t="s">
        <v>595</v>
      </c>
      <c r="H305">
        <v>209951</v>
      </c>
      <c r="I305" t="s">
        <v>13</v>
      </c>
    </row>
    <row r="306" spans="1:9" x14ac:dyDescent="0.35">
      <c r="A306">
        <v>6134756</v>
      </c>
      <c r="B306" t="s">
        <v>9</v>
      </c>
      <c r="C306" t="s">
        <v>610</v>
      </c>
      <c r="D306" s="2">
        <v>45292</v>
      </c>
      <c r="E306" s="2">
        <v>45657</v>
      </c>
      <c r="F306" t="s">
        <v>596</v>
      </c>
      <c r="G306" t="s">
        <v>597</v>
      </c>
      <c r="H306">
        <v>22245</v>
      </c>
      <c r="I306" t="s">
        <v>13</v>
      </c>
    </row>
    <row r="307" spans="1:9" x14ac:dyDescent="0.35">
      <c r="A307">
        <v>6134757</v>
      </c>
      <c r="B307" t="s">
        <v>9</v>
      </c>
      <c r="C307" t="s">
        <v>610</v>
      </c>
      <c r="D307" s="2">
        <v>45292</v>
      </c>
      <c r="E307" s="2">
        <v>45657</v>
      </c>
      <c r="F307" t="s">
        <v>598</v>
      </c>
      <c r="G307" t="s">
        <v>560</v>
      </c>
      <c r="H307">
        <v>38281</v>
      </c>
      <c r="I307" t="s">
        <v>13</v>
      </c>
    </row>
    <row r="308" spans="1:9" x14ac:dyDescent="0.35">
      <c r="A308">
        <v>6134758</v>
      </c>
      <c r="B308" t="s">
        <v>9</v>
      </c>
      <c r="C308" t="s">
        <v>610</v>
      </c>
      <c r="D308" s="2">
        <v>45292</v>
      </c>
      <c r="E308" s="2">
        <v>45657</v>
      </c>
      <c r="F308" t="s">
        <v>599</v>
      </c>
      <c r="G308" t="s">
        <v>600</v>
      </c>
      <c r="H308">
        <v>107397</v>
      </c>
      <c r="I308" t="s">
        <v>13</v>
      </c>
    </row>
    <row r="309" spans="1:9" x14ac:dyDescent="0.35">
      <c r="A309">
        <v>6134759</v>
      </c>
      <c r="B309" t="s">
        <v>9</v>
      </c>
      <c r="C309" t="s">
        <v>610</v>
      </c>
      <c r="D309" s="2">
        <v>45292</v>
      </c>
      <c r="E309" s="2">
        <v>45657</v>
      </c>
      <c r="F309" t="s">
        <v>601</v>
      </c>
      <c r="G309" t="s">
        <v>602</v>
      </c>
      <c r="H309">
        <v>51543</v>
      </c>
      <c r="I309" t="s">
        <v>13</v>
      </c>
    </row>
    <row r="310" spans="1:9" x14ac:dyDescent="0.35">
      <c r="A310">
        <v>6134760</v>
      </c>
      <c r="B310" t="s">
        <v>9</v>
      </c>
      <c r="C310" t="s">
        <v>610</v>
      </c>
      <c r="D310" s="2">
        <v>45292</v>
      </c>
      <c r="E310" s="2">
        <v>45657</v>
      </c>
      <c r="F310" t="s">
        <v>603</v>
      </c>
      <c r="G310" t="s">
        <v>604</v>
      </c>
      <c r="H310">
        <v>17180</v>
      </c>
      <c r="I310" t="s">
        <v>13</v>
      </c>
    </row>
    <row r="311" spans="1:9" x14ac:dyDescent="0.35">
      <c r="A311">
        <v>6134761</v>
      </c>
      <c r="B311" t="s">
        <v>9</v>
      </c>
      <c r="C311" t="s">
        <v>610</v>
      </c>
      <c r="D311" s="2">
        <v>45292</v>
      </c>
      <c r="E311" s="2">
        <v>45657</v>
      </c>
      <c r="F311" t="s">
        <v>605</v>
      </c>
      <c r="G311" t="s">
        <v>606</v>
      </c>
      <c r="H311">
        <v>39256</v>
      </c>
      <c r="I311" t="s">
        <v>13</v>
      </c>
    </row>
    <row r="312" spans="1:9" x14ac:dyDescent="0.35">
      <c r="A312">
        <v>6134762</v>
      </c>
      <c r="B312" t="s">
        <v>9</v>
      </c>
      <c r="C312" t="s">
        <v>610</v>
      </c>
      <c r="D312" s="2">
        <v>45292</v>
      </c>
      <c r="E312" s="2">
        <v>45657</v>
      </c>
      <c r="F312" t="s">
        <v>607</v>
      </c>
      <c r="G312" t="s">
        <v>608</v>
      </c>
      <c r="H312">
        <v>-582</v>
      </c>
      <c r="I312" t="s">
        <v>13</v>
      </c>
    </row>
    <row r="313" spans="1:9" x14ac:dyDescent="0.35">
      <c r="A313">
        <v>6134763</v>
      </c>
      <c r="B313" t="s">
        <v>9</v>
      </c>
      <c r="C313" t="s">
        <v>610</v>
      </c>
      <c r="D313" s="2">
        <v>45292</v>
      </c>
      <c r="E313" s="2">
        <v>45657</v>
      </c>
      <c r="F313" t="s">
        <v>609</v>
      </c>
      <c r="G313" t="s">
        <v>56</v>
      </c>
      <c r="H313">
        <v>0</v>
      </c>
      <c r="I31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DDD8-A47B-4EBF-94EA-57FC81C85978}">
  <dimension ref="A1:I314"/>
  <sheetViews>
    <sheetView topLeftCell="D177" workbookViewId="0">
      <selection activeCell="H187" sqref="H187"/>
    </sheetView>
  </sheetViews>
  <sheetFormatPr defaultRowHeight="14.5" x14ac:dyDescent="0.35"/>
  <cols>
    <col min="1" max="1" width="7.81640625" bestFit="1" customWidth="1"/>
    <col min="2" max="2" width="11.08984375" bestFit="1" customWidth="1"/>
    <col min="3" max="3" width="6.90625" bestFit="1" customWidth="1"/>
    <col min="4" max="5" width="10.08984375" bestFit="1" customWidth="1"/>
    <col min="7" max="7" width="74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6532991</v>
      </c>
      <c r="B2" t="s">
        <v>9</v>
      </c>
      <c r="C2" t="s">
        <v>647</v>
      </c>
      <c r="D2" s="2">
        <v>46022</v>
      </c>
      <c r="E2" s="2">
        <v>46022</v>
      </c>
      <c r="F2" t="s">
        <v>11</v>
      </c>
      <c r="G2" t="s">
        <v>12</v>
      </c>
      <c r="H2">
        <v>6096758</v>
      </c>
      <c r="I2" t="s">
        <v>13</v>
      </c>
    </row>
    <row r="3" spans="1:9" x14ac:dyDescent="0.35">
      <c r="A3">
        <v>6532992</v>
      </c>
      <c r="B3" t="s">
        <v>9</v>
      </c>
      <c r="C3" t="s">
        <v>647</v>
      </c>
      <c r="D3" s="2">
        <v>46022</v>
      </c>
      <c r="E3" s="2">
        <v>46022</v>
      </c>
      <c r="F3" t="s">
        <v>14</v>
      </c>
      <c r="G3" t="s">
        <v>15</v>
      </c>
      <c r="H3">
        <v>2711014</v>
      </c>
      <c r="I3" t="s">
        <v>13</v>
      </c>
    </row>
    <row r="4" spans="1:9" x14ac:dyDescent="0.35">
      <c r="A4">
        <v>6532993</v>
      </c>
      <c r="B4" t="s">
        <v>9</v>
      </c>
      <c r="C4" t="s">
        <v>647</v>
      </c>
      <c r="D4" s="2">
        <v>46022</v>
      </c>
      <c r="E4" s="2">
        <v>46022</v>
      </c>
      <c r="F4" t="s">
        <v>16</v>
      </c>
      <c r="G4" t="s">
        <v>17</v>
      </c>
      <c r="H4">
        <v>555595</v>
      </c>
      <c r="I4" t="s">
        <v>13</v>
      </c>
    </row>
    <row r="5" spans="1:9" x14ac:dyDescent="0.35">
      <c r="A5">
        <v>6532994</v>
      </c>
      <c r="B5" t="s">
        <v>9</v>
      </c>
      <c r="C5" t="s">
        <v>647</v>
      </c>
      <c r="D5" s="2">
        <v>46022</v>
      </c>
      <c r="E5" s="2">
        <v>46022</v>
      </c>
      <c r="F5" t="s">
        <v>18</v>
      </c>
      <c r="G5" t="s">
        <v>19</v>
      </c>
      <c r="H5">
        <v>0</v>
      </c>
      <c r="I5" t="s">
        <v>13</v>
      </c>
    </row>
    <row r="6" spans="1:9" x14ac:dyDescent="0.35">
      <c r="A6">
        <v>6532995</v>
      </c>
      <c r="B6" t="s">
        <v>9</v>
      </c>
      <c r="C6" t="s">
        <v>647</v>
      </c>
      <c r="D6" s="2">
        <v>46022</v>
      </c>
      <c r="E6" s="2">
        <v>46022</v>
      </c>
      <c r="F6" t="s">
        <v>20</v>
      </c>
      <c r="G6" t="s">
        <v>21</v>
      </c>
      <c r="H6">
        <v>0</v>
      </c>
      <c r="I6" t="s">
        <v>13</v>
      </c>
    </row>
    <row r="7" spans="1:9" x14ac:dyDescent="0.35">
      <c r="A7">
        <v>6532996</v>
      </c>
      <c r="B7" t="s">
        <v>9</v>
      </c>
      <c r="C7" t="s">
        <v>647</v>
      </c>
      <c r="D7" s="2">
        <v>46022</v>
      </c>
      <c r="E7" s="2">
        <v>46022</v>
      </c>
      <c r="F7" t="s">
        <v>22</v>
      </c>
      <c r="G7" t="s">
        <v>23</v>
      </c>
      <c r="H7">
        <v>0</v>
      </c>
      <c r="I7" t="s">
        <v>13</v>
      </c>
    </row>
    <row r="8" spans="1:9" x14ac:dyDescent="0.35">
      <c r="A8">
        <v>6532997</v>
      </c>
      <c r="B8" t="s">
        <v>9</v>
      </c>
      <c r="C8" t="s">
        <v>647</v>
      </c>
      <c r="D8" s="2">
        <v>46022</v>
      </c>
      <c r="E8" s="2">
        <v>46022</v>
      </c>
      <c r="F8" t="s">
        <v>24</v>
      </c>
      <c r="G8" t="s">
        <v>25</v>
      </c>
      <c r="H8">
        <v>0</v>
      </c>
      <c r="I8" t="s">
        <v>13</v>
      </c>
    </row>
    <row r="9" spans="1:9" x14ac:dyDescent="0.35">
      <c r="A9">
        <v>6532998</v>
      </c>
      <c r="B9" t="s">
        <v>9</v>
      </c>
      <c r="C9" t="s">
        <v>647</v>
      </c>
      <c r="D9" s="2">
        <v>46022</v>
      </c>
      <c r="E9" s="2">
        <v>46022</v>
      </c>
      <c r="F9" t="s">
        <v>26</v>
      </c>
      <c r="G9" t="s">
        <v>27</v>
      </c>
      <c r="H9">
        <v>0</v>
      </c>
      <c r="I9" t="s">
        <v>13</v>
      </c>
    </row>
    <row r="10" spans="1:9" x14ac:dyDescent="0.35">
      <c r="A10">
        <v>6532999</v>
      </c>
      <c r="B10" t="s">
        <v>9</v>
      </c>
      <c r="C10" t="s">
        <v>647</v>
      </c>
      <c r="D10" s="2">
        <v>46022</v>
      </c>
      <c r="E10" s="2">
        <v>46022</v>
      </c>
      <c r="F10" t="s">
        <v>28</v>
      </c>
      <c r="G10" t="s">
        <v>29</v>
      </c>
      <c r="H10">
        <v>0</v>
      </c>
      <c r="I10" t="s">
        <v>13</v>
      </c>
    </row>
    <row r="11" spans="1:9" x14ac:dyDescent="0.35">
      <c r="A11">
        <v>6533000</v>
      </c>
      <c r="B11" t="s">
        <v>9</v>
      </c>
      <c r="C11" t="s">
        <v>647</v>
      </c>
      <c r="D11" s="2">
        <v>46022</v>
      </c>
      <c r="E11" s="2">
        <v>46022</v>
      </c>
      <c r="F11" t="s">
        <v>30</v>
      </c>
      <c r="G11" t="s">
        <v>31</v>
      </c>
      <c r="H11">
        <v>1189571</v>
      </c>
      <c r="I11" t="s">
        <v>13</v>
      </c>
    </row>
    <row r="12" spans="1:9" x14ac:dyDescent="0.35">
      <c r="A12">
        <v>6533001</v>
      </c>
      <c r="B12" t="s">
        <v>9</v>
      </c>
      <c r="C12" t="s">
        <v>647</v>
      </c>
      <c r="D12" s="2">
        <v>46022</v>
      </c>
      <c r="E12" s="2">
        <v>46022</v>
      </c>
      <c r="F12" t="s">
        <v>32</v>
      </c>
      <c r="G12" t="s">
        <v>33</v>
      </c>
      <c r="H12">
        <v>0</v>
      </c>
      <c r="I12" t="s">
        <v>13</v>
      </c>
    </row>
    <row r="13" spans="1:9" x14ac:dyDescent="0.35">
      <c r="A13">
        <v>6533002</v>
      </c>
      <c r="B13" t="s">
        <v>9</v>
      </c>
      <c r="C13" t="s">
        <v>647</v>
      </c>
      <c r="D13" s="2">
        <v>46022</v>
      </c>
      <c r="E13" s="2">
        <v>46022</v>
      </c>
      <c r="F13" t="s">
        <v>34</v>
      </c>
      <c r="G13" t="s">
        <v>35</v>
      </c>
      <c r="H13">
        <v>0</v>
      </c>
      <c r="I13" t="s">
        <v>13</v>
      </c>
    </row>
    <row r="14" spans="1:9" x14ac:dyDescent="0.35">
      <c r="A14">
        <v>6533003</v>
      </c>
      <c r="B14" t="s">
        <v>9</v>
      </c>
      <c r="C14" t="s">
        <v>647</v>
      </c>
      <c r="D14" s="2">
        <v>46022</v>
      </c>
      <c r="E14" s="2">
        <v>46022</v>
      </c>
      <c r="F14" t="s">
        <v>36</v>
      </c>
      <c r="G14" t="s">
        <v>37</v>
      </c>
      <c r="H14">
        <v>760114</v>
      </c>
      <c r="I14" t="s">
        <v>13</v>
      </c>
    </row>
    <row r="15" spans="1:9" x14ac:dyDescent="0.35">
      <c r="A15">
        <v>6533004</v>
      </c>
      <c r="B15" t="s">
        <v>9</v>
      </c>
      <c r="C15" t="s">
        <v>647</v>
      </c>
      <c r="D15" s="2">
        <v>46022</v>
      </c>
      <c r="E15" s="2">
        <v>46022</v>
      </c>
      <c r="F15" t="s">
        <v>38</v>
      </c>
      <c r="G15" t="s">
        <v>39</v>
      </c>
      <c r="H15">
        <v>0</v>
      </c>
      <c r="I15" t="s">
        <v>13</v>
      </c>
    </row>
    <row r="16" spans="1:9" x14ac:dyDescent="0.35">
      <c r="A16">
        <v>6533005</v>
      </c>
      <c r="B16" t="s">
        <v>9</v>
      </c>
      <c r="C16" t="s">
        <v>647</v>
      </c>
      <c r="D16" s="2">
        <v>46022</v>
      </c>
      <c r="E16" s="2">
        <v>46022</v>
      </c>
      <c r="F16" t="s">
        <v>40</v>
      </c>
      <c r="G16" t="s">
        <v>41</v>
      </c>
      <c r="H16">
        <v>138317</v>
      </c>
      <c r="I16" t="s">
        <v>13</v>
      </c>
    </row>
    <row r="17" spans="1:9" x14ac:dyDescent="0.35">
      <c r="A17">
        <v>6533006</v>
      </c>
      <c r="B17" t="s">
        <v>9</v>
      </c>
      <c r="C17" t="s">
        <v>647</v>
      </c>
      <c r="D17" s="2">
        <v>46022</v>
      </c>
      <c r="E17" s="2">
        <v>46022</v>
      </c>
      <c r="F17" t="s">
        <v>42</v>
      </c>
      <c r="G17" t="s">
        <v>43</v>
      </c>
      <c r="H17">
        <v>0</v>
      </c>
      <c r="I17" t="s">
        <v>13</v>
      </c>
    </row>
    <row r="18" spans="1:9" x14ac:dyDescent="0.35">
      <c r="A18">
        <v>6533007</v>
      </c>
      <c r="B18" t="s">
        <v>9</v>
      </c>
      <c r="C18" t="s">
        <v>647</v>
      </c>
      <c r="D18" s="2">
        <v>46022</v>
      </c>
      <c r="E18" s="2">
        <v>46022</v>
      </c>
      <c r="F18" t="s">
        <v>44</v>
      </c>
      <c r="G18" t="s">
        <v>45</v>
      </c>
      <c r="H18">
        <v>35340</v>
      </c>
      <c r="I18" t="s">
        <v>13</v>
      </c>
    </row>
    <row r="19" spans="1:9" x14ac:dyDescent="0.35">
      <c r="A19">
        <v>6533008</v>
      </c>
      <c r="B19" t="s">
        <v>9</v>
      </c>
      <c r="C19" t="s">
        <v>647</v>
      </c>
      <c r="D19" s="2">
        <v>46022</v>
      </c>
      <c r="E19" s="2">
        <v>46022</v>
      </c>
      <c r="F19" t="s">
        <v>49</v>
      </c>
      <c r="G19" t="s">
        <v>50</v>
      </c>
      <c r="H19">
        <v>32077</v>
      </c>
      <c r="I19" t="s">
        <v>13</v>
      </c>
    </row>
    <row r="20" spans="1:9" x14ac:dyDescent="0.35">
      <c r="A20">
        <v>6533009</v>
      </c>
      <c r="B20" t="s">
        <v>9</v>
      </c>
      <c r="C20" t="s">
        <v>647</v>
      </c>
      <c r="D20" s="2">
        <v>46022</v>
      </c>
      <c r="E20" s="2">
        <v>46022</v>
      </c>
      <c r="F20" t="s">
        <v>51</v>
      </c>
      <c r="G20" t="s">
        <v>52</v>
      </c>
      <c r="H20">
        <v>0</v>
      </c>
      <c r="I20" t="s">
        <v>13</v>
      </c>
    </row>
    <row r="21" spans="1:9" x14ac:dyDescent="0.35">
      <c r="A21">
        <v>6533010</v>
      </c>
      <c r="B21" t="s">
        <v>9</v>
      </c>
      <c r="C21" t="s">
        <v>647</v>
      </c>
      <c r="D21" s="2">
        <v>46022</v>
      </c>
      <c r="E21" s="2">
        <v>46022</v>
      </c>
      <c r="F21" t="s">
        <v>53</v>
      </c>
      <c r="G21" t="s">
        <v>54</v>
      </c>
      <c r="H21">
        <v>0</v>
      </c>
      <c r="I21" t="s">
        <v>13</v>
      </c>
    </row>
    <row r="22" spans="1:9" x14ac:dyDescent="0.35">
      <c r="A22">
        <v>6533011</v>
      </c>
      <c r="B22" t="s">
        <v>9</v>
      </c>
      <c r="C22" t="s">
        <v>647</v>
      </c>
      <c r="D22" s="2">
        <v>46022</v>
      </c>
      <c r="E22" s="2">
        <v>46022</v>
      </c>
      <c r="F22" t="s">
        <v>55</v>
      </c>
      <c r="G22" t="s">
        <v>56</v>
      </c>
      <c r="H22">
        <v>32077</v>
      </c>
      <c r="I22" t="s">
        <v>13</v>
      </c>
    </row>
    <row r="23" spans="1:9" x14ac:dyDescent="0.35">
      <c r="A23">
        <v>6533012</v>
      </c>
      <c r="B23" t="s">
        <v>9</v>
      </c>
      <c r="C23" t="s">
        <v>647</v>
      </c>
      <c r="D23" s="2">
        <v>46022</v>
      </c>
      <c r="E23" s="2">
        <v>46022</v>
      </c>
      <c r="F23" t="s">
        <v>57</v>
      </c>
      <c r="G23" t="s">
        <v>64</v>
      </c>
      <c r="H23">
        <v>0</v>
      </c>
      <c r="I23" t="s">
        <v>13</v>
      </c>
    </row>
    <row r="24" spans="1:9" x14ac:dyDescent="0.35">
      <c r="A24">
        <v>6533013</v>
      </c>
      <c r="B24" t="s">
        <v>9</v>
      </c>
      <c r="C24" t="s">
        <v>647</v>
      </c>
      <c r="D24" s="2">
        <v>46022</v>
      </c>
      <c r="E24" s="2">
        <v>46022</v>
      </c>
      <c r="F24" t="s">
        <v>59</v>
      </c>
      <c r="G24" t="s">
        <v>611</v>
      </c>
      <c r="H24">
        <v>32077</v>
      </c>
      <c r="I24" t="s">
        <v>13</v>
      </c>
    </row>
    <row r="25" spans="1:9" x14ac:dyDescent="0.35">
      <c r="A25">
        <v>6533014</v>
      </c>
      <c r="B25" t="s">
        <v>9</v>
      </c>
      <c r="C25" t="s">
        <v>647</v>
      </c>
      <c r="D25" s="2">
        <v>46022</v>
      </c>
      <c r="E25" s="2">
        <v>46022</v>
      </c>
      <c r="F25" t="s">
        <v>67</v>
      </c>
      <c r="G25" t="s">
        <v>68</v>
      </c>
      <c r="H25">
        <v>3385744</v>
      </c>
      <c r="I25" t="s">
        <v>13</v>
      </c>
    </row>
    <row r="26" spans="1:9" x14ac:dyDescent="0.35">
      <c r="A26">
        <v>6533015</v>
      </c>
      <c r="B26" t="s">
        <v>9</v>
      </c>
      <c r="C26" t="s">
        <v>647</v>
      </c>
      <c r="D26" s="2">
        <v>46022</v>
      </c>
      <c r="E26" s="2">
        <v>46022</v>
      </c>
      <c r="F26" t="s">
        <v>69</v>
      </c>
      <c r="G26" t="s">
        <v>70</v>
      </c>
      <c r="H26">
        <v>567172</v>
      </c>
      <c r="I26" t="s">
        <v>13</v>
      </c>
    </row>
    <row r="27" spans="1:9" x14ac:dyDescent="0.35">
      <c r="A27">
        <v>6533016</v>
      </c>
      <c r="B27" t="s">
        <v>9</v>
      </c>
      <c r="C27" t="s">
        <v>647</v>
      </c>
      <c r="D27" s="2">
        <v>46022</v>
      </c>
      <c r="E27" s="2">
        <v>46022</v>
      </c>
      <c r="F27" t="s">
        <v>71</v>
      </c>
      <c r="G27" t="s">
        <v>21</v>
      </c>
      <c r="H27">
        <v>15009</v>
      </c>
      <c r="I27" t="s">
        <v>13</v>
      </c>
    </row>
    <row r="28" spans="1:9" x14ac:dyDescent="0.35">
      <c r="A28">
        <v>6533017</v>
      </c>
      <c r="B28" t="s">
        <v>9</v>
      </c>
      <c r="C28" t="s">
        <v>647</v>
      </c>
      <c r="D28" s="2">
        <v>46022</v>
      </c>
      <c r="E28" s="2">
        <v>46022</v>
      </c>
      <c r="F28" t="s">
        <v>72</v>
      </c>
      <c r="G28" t="s">
        <v>25</v>
      </c>
      <c r="H28">
        <v>0</v>
      </c>
      <c r="I28" t="s">
        <v>13</v>
      </c>
    </row>
    <row r="29" spans="1:9" x14ac:dyDescent="0.35">
      <c r="A29">
        <v>6533018</v>
      </c>
      <c r="B29" t="s">
        <v>9</v>
      </c>
      <c r="C29" t="s">
        <v>647</v>
      </c>
      <c r="D29" s="2">
        <v>46022</v>
      </c>
      <c r="E29" s="2">
        <v>46022</v>
      </c>
      <c r="F29" t="s">
        <v>73</v>
      </c>
      <c r="G29" t="s">
        <v>27</v>
      </c>
      <c r="H29">
        <v>0</v>
      </c>
      <c r="I29" t="s">
        <v>13</v>
      </c>
    </row>
    <row r="30" spans="1:9" x14ac:dyDescent="0.35">
      <c r="A30">
        <v>6533019</v>
      </c>
      <c r="B30" t="s">
        <v>9</v>
      </c>
      <c r="C30" t="s">
        <v>647</v>
      </c>
      <c r="D30" s="2">
        <v>46022</v>
      </c>
      <c r="E30" s="2">
        <v>46022</v>
      </c>
      <c r="F30" t="s">
        <v>74</v>
      </c>
      <c r="G30" t="s">
        <v>29</v>
      </c>
      <c r="H30">
        <v>0</v>
      </c>
      <c r="I30" t="s">
        <v>13</v>
      </c>
    </row>
    <row r="31" spans="1:9" x14ac:dyDescent="0.35">
      <c r="A31">
        <v>6533020</v>
      </c>
      <c r="B31" t="s">
        <v>9</v>
      </c>
      <c r="C31" t="s">
        <v>647</v>
      </c>
      <c r="D31" s="2">
        <v>46022</v>
      </c>
      <c r="E31" s="2">
        <v>46022</v>
      </c>
      <c r="F31" t="s">
        <v>75</v>
      </c>
      <c r="G31" t="s">
        <v>31</v>
      </c>
      <c r="H31">
        <v>0</v>
      </c>
      <c r="I31" t="s">
        <v>13</v>
      </c>
    </row>
    <row r="32" spans="1:9" x14ac:dyDescent="0.35">
      <c r="A32">
        <v>6533021</v>
      </c>
      <c r="B32" t="s">
        <v>9</v>
      </c>
      <c r="C32" t="s">
        <v>647</v>
      </c>
      <c r="D32" s="2">
        <v>46022</v>
      </c>
      <c r="E32" s="2">
        <v>46022</v>
      </c>
      <c r="F32" t="s">
        <v>76</v>
      </c>
      <c r="G32" t="s">
        <v>33</v>
      </c>
      <c r="H32">
        <v>0</v>
      </c>
      <c r="I32" t="s">
        <v>13</v>
      </c>
    </row>
    <row r="33" spans="1:9" x14ac:dyDescent="0.35">
      <c r="A33">
        <v>6533022</v>
      </c>
      <c r="B33" t="s">
        <v>9</v>
      </c>
      <c r="C33" t="s">
        <v>647</v>
      </c>
      <c r="D33" s="2">
        <v>46022</v>
      </c>
      <c r="E33" s="2">
        <v>46022</v>
      </c>
      <c r="F33" t="s">
        <v>77</v>
      </c>
      <c r="G33" t="s">
        <v>35</v>
      </c>
      <c r="H33">
        <v>0</v>
      </c>
      <c r="I33" t="s">
        <v>13</v>
      </c>
    </row>
    <row r="34" spans="1:9" x14ac:dyDescent="0.35">
      <c r="A34">
        <v>6533023</v>
      </c>
      <c r="B34" t="s">
        <v>9</v>
      </c>
      <c r="C34" t="s">
        <v>647</v>
      </c>
      <c r="D34" s="2">
        <v>46022</v>
      </c>
      <c r="E34" s="2">
        <v>46022</v>
      </c>
      <c r="F34" t="s">
        <v>78</v>
      </c>
      <c r="G34" t="s">
        <v>37</v>
      </c>
      <c r="H34">
        <v>0</v>
      </c>
      <c r="I34" t="s">
        <v>13</v>
      </c>
    </row>
    <row r="35" spans="1:9" x14ac:dyDescent="0.35">
      <c r="A35">
        <v>6533024</v>
      </c>
      <c r="B35" t="s">
        <v>9</v>
      </c>
      <c r="C35" t="s">
        <v>647</v>
      </c>
      <c r="D35" s="2">
        <v>46022</v>
      </c>
      <c r="E35" s="2">
        <v>46022</v>
      </c>
      <c r="F35" t="s">
        <v>79</v>
      </c>
      <c r="G35" t="s">
        <v>39</v>
      </c>
      <c r="H35">
        <v>0</v>
      </c>
      <c r="I35" t="s">
        <v>13</v>
      </c>
    </row>
    <row r="36" spans="1:9" x14ac:dyDescent="0.35">
      <c r="A36">
        <v>6533025</v>
      </c>
      <c r="B36" t="s">
        <v>9</v>
      </c>
      <c r="C36" t="s">
        <v>647</v>
      </c>
      <c r="D36" s="2">
        <v>46022</v>
      </c>
      <c r="E36" s="2">
        <v>46022</v>
      </c>
      <c r="F36" t="s">
        <v>80</v>
      </c>
      <c r="G36" t="s">
        <v>81</v>
      </c>
      <c r="H36">
        <v>240489</v>
      </c>
      <c r="I36" t="s">
        <v>13</v>
      </c>
    </row>
    <row r="37" spans="1:9" x14ac:dyDescent="0.35">
      <c r="A37">
        <v>6533026</v>
      </c>
      <c r="B37" t="s">
        <v>9</v>
      </c>
      <c r="C37" t="s">
        <v>647</v>
      </c>
      <c r="D37" s="2">
        <v>46022</v>
      </c>
      <c r="E37" s="2">
        <v>46022</v>
      </c>
      <c r="F37" t="s">
        <v>82</v>
      </c>
      <c r="G37" t="s">
        <v>83</v>
      </c>
      <c r="H37">
        <v>0</v>
      </c>
      <c r="I37" t="s">
        <v>13</v>
      </c>
    </row>
    <row r="38" spans="1:9" x14ac:dyDescent="0.35">
      <c r="A38">
        <v>6533027</v>
      </c>
      <c r="B38" t="s">
        <v>9</v>
      </c>
      <c r="C38" t="s">
        <v>647</v>
      </c>
      <c r="D38" s="2">
        <v>46022</v>
      </c>
      <c r="E38" s="2">
        <v>46022</v>
      </c>
      <c r="F38" t="s">
        <v>84</v>
      </c>
      <c r="G38" t="s">
        <v>45</v>
      </c>
      <c r="H38">
        <v>0</v>
      </c>
      <c r="I38" t="s">
        <v>13</v>
      </c>
    </row>
    <row r="39" spans="1:9" x14ac:dyDescent="0.35">
      <c r="A39">
        <v>6533028</v>
      </c>
      <c r="B39" t="s">
        <v>9</v>
      </c>
      <c r="C39" t="s">
        <v>647</v>
      </c>
      <c r="D39" s="2">
        <v>46022</v>
      </c>
      <c r="E39" s="2">
        <v>46022</v>
      </c>
      <c r="F39" t="s">
        <v>85</v>
      </c>
      <c r="G39" t="s">
        <v>86</v>
      </c>
      <c r="H39">
        <v>0</v>
      </c>
      <c r="I39" t="s">
        <v>13</v>
      </c>
    </row>
    <row r="40" spans="1:9" x14ac:dyDescent="0.35">
      <c r="A40">
        <v>6533029</v>
      </c>
      <c r="B40" t="s">
        <v>9</v>
      </c>
      <c r="C40" t="s">
        <v>647</v>
      </c>
      <c r="D40" s="2">
        <v>46022</v>
      </c>
      <c r="E40" s="2">
        <v>46022</v>
      </c>
      <c r="F40" t="s">
        <v>87</v>
      </c>
      <c r="G40" t="s">
        <v>88</v>
      </c>
      <c r="H40">
        <v>0</v>
      </c>
      <c r="I40" t="s">
        <v>13</v>
      </c>
    </row>
    <row r="41" spans="1:9" x14ac:dyDescent="0.35">
      <c r="A41">
        <v>6533030</v>
      </c>
      <c r="B41" t="s">
        <v>9</v>
      </c>
      <c r="C41" t="s">
        <v>647</v>
      </c>
      <c r="D41" s="2">
        <v>46022</v>
      </c>
      <c r="E41" s="2">
        <v>46022</v>
      </c>
      <c r="F41" t="s">
        <v>89</v>
      </c>
      <c r="G41" t="s">
        <v>90</v>
      </c>
      <c r="H41">
        <v>0</v>
      </c>
      <c r="I41" t="s">
        <v>13</v>
      </c>
    </row>
    <row r="42" spans="1:9" x14ac:dyDescent="0.35">
      <c r="A42">
        <v>6533031</v>
      </c>
      <c r="B42" t="s">
        <v>9</v>
      </c>
      <c r="C42" t="s">
        <v>647</v>
      </c>
      <c r="D42" s="2">
        <v>46022</v>
      </c>
      <c r="E42" s="2">
        <v>46022</v>
      </c>
      <c r="F42" t="s">
        <v>91</v>
      </c>
      <c r="G42" t="s">
        <v>92</v>
      </c>
      <c r="H42">
        <v>0</v>
      </c>
      <c r="I42" t="s">
        <v>13</v>
      </c>
    </row>
    <row r="43" spans="1:9" x14ac:dyDescent="0.35">
      <c r="A43">
        <v>6533032</v>
      </c>
      <c r="B43" t="s">
        <v>9</v>
      </c>
      <c r="C43" t="s">
        <v>647</v>
      </c>
      <c r="D43" s="2">
        <v>46022</v>
      </c>
      <c r="E43" s="2">
        <v>46022</v>
      </c>
      <c r="F43" t="s">
        <v>93</v>
      </c>
      <c r="G43" t="s">
        <v>94</v>
      </c>
      <c r="H43">
        <v>311674</v>
      </c>
      <c r="I43" t="s">
        <v>13</v>
      </c>
    </row>
    <row r="44" spans="1:9" x14ac:dyDescent="0.35">
      <c r="A44">
        <v>6533033</v>
      </c>
      <c r="B44" t="s">
        <v>9</v>
      </c>
      <c r="C44" t="s">
        <v>647</v>
      </c>
      <c r="D44" s="2">
        <v>46022</v>
      </c>
      <c r="E44" s="2">
        <v>46022</v>
      </c>
      <c r="F44" t="s">
        <v>95</v>
      </c>
      <c r="G44" t="s">
        <v>52</v>
      </c>
      <c r="H44">
        <v>0</v>
      </c>
      <c r="I44" t="s">
        <v>13</v>
      </c>
    </row>
    <row r="45" spans="1:9" x14ac:dyDescent="0.35">
      <c r="A45">
        <v>6533034</v>
      </c>
      <c r="B45" t="s">
        <v>9</v>
      </c>
      <c r="C45" t="s">
        <v>647</v>
      </c>
      <c r="D45" s="2">
        <v>46022</v>
      </c>
      <c r="E45" s="2">
        <v>46022</v>
      </c>
      <c r="F45" t="s">
        <v>96</v>
      </c>
      <c r="G45" t="s">
        <v>54</v>
      </c>
      <c r="H45">
        <v>0</v>
      </c>
      <c r="I45" t="s">
        <v>13</v>
      </c>
    </row>
    <row r="46" spans="1:9" x14ac:dyDescent="0.35">
      <c r="A46">
        <v>6533035</v>
      </c>
      <c r="B46" t="s">
        <v>9</v>
      </c>
      <c r="C46" t="s">
        <v>647</v>
      </c>
      <c r="D46" s="2">
        <v>46022</v>
      </c>
      <c r="E46" s="2">
        <v>46022</v>
      </c>
      <c r="F46" t="s">
        <v>97</v>
      </c>
      <c r="G46" t="s">
        <v>612</v>
      </c>
      <c r="H46">
        <v>274031</v>
      </c>
      <c r="I46" t="s">
        <v>13</v>
      </c>
    </row>
    <row r="47" spans="1:9" x14ac:dyDescent="0.35">
      <c r="A47">
        <v>6533036</v>
      </c>
      <c r="B47" t="s">
        <v>9</v>
      </c>
      <c r="C47" t="s">
        <v>647</v>
      </c>
      <c r="D47" s="2">
        <v>46022</v>
      </c>
      <c r="E47" s="2">
        <v>46022</v>
      </c>
      <c r="F47" t="s">
        <v>99</v>
      </c>
      <c r="G47" t="s">
        <v>98</v>
      </c>
      <c r="H47">
        <v>27517</v>
      </c>
      <c r="I47" t="s">
        <v>13</v>
      </c>
    </row>
    <row r="48" spans="1:9" x14ac:dyDescent="0.35">
      <c r="A48">
        <v>6533037</v>
      </c>
      <c r="B48" t="s">
        <v>9</v>
      </c>
      <c r="C48" t="s">
        <v>647</v>
      </c>
      <c r="D48" s="2">
        <v>46022</v>
      </c>
      <c r="E48" s="2">
        <v>46022</v>
      </c>
      <c r="F48" t="s">
        <v>100</v>
      </c>
      <c r="G48" t="s">
        <v>94</v>
      </c>
      <c r="H48">
        <v>10126</v>
      </c>
      <c r="I48" t="s">
        <v>13</v>
      </c>
    </row>
    <row r="49" spans="1:9" x14ac:dyDescent="0.35">
      <c r="A49">
        <v>6533038</v>
      </c>
      <c r="B49" t="s">
        <v>9</v>
      </c>
      <c r="C49" t="s">
        <v>647</v>
      </c>
      <c r="D49" s="2">
        <v>46022</v>
      </c>
      <c r="E49" s="2">
        <v>46022</v>
      </c>
      <c r="F49" t="s">
        <v>102</v>
      </c>
      <c r="G49" t="s">
        <v>103</v>
      </c>
      <c r="H49">
        <v>798340</v>
      </c>
      <c r="I49" t="s">
        <v>13</v>
      </c>
    </row>
    <row r="50" spans="1:9" x14ac:dyDescent="0.35">
      <c r="A50">
        <v>6533039</v>
      </c>
      <c r="B50" t="s">
        <v>9</v>
      </c>
      <c r="C50" t="s">
        <v>647</v>
      </c>
      <c r="D50" s="2">
        <v>46022</v>
      </c>
      <c r="E50" s="2">
        <v>46022</v>
      </c>
      <c r="F50" t="s">
        <v>104</v>
      </c>
      <c r="G50" t="s">
        <v>105</v>
      </c>
      <c r="H50">
        <v>0</v>
      </c>
      <c r="I50" t="s">
        <v>13</v>
      </c>
    </row>
    <row r="51" spans="1:9" x14ac:dyDescent="0.35">
      <c r="A51">
        <v>6533040</v>
      </c>
      <c r="B51" t="s">
        <v>9</v>
      </c>
      <c r="C51" t="s">
        <v>647</v>
      </c>
      <c r="D51" s="2">
        <v>46022</v>
      </c>
      <c r="E51" s="2">
        <v>46022</v>
      </c>
      <c r="F51" t="s">
        <v>106</v>
      </c>
      <c r="G51" t="s">
        <v>107</v>
      </c>
      <c r="H51">
        <v>0</v>
      </c>
      <c r="I51" t="s">
        <v>13</v>
      </c>
    </row>
    <row r="52" spans="1:9" x14ac:dyDescent="0.35">
      <c r="A52">
        <v>6533041</v>
      </c>
      <c r="B52" t="s">
        <v>9</v>
      </c>
      <c r="C52" t="s">
        <v>647</v>
      </c>
      <c r="D52" s="2">
        <v>46022</v>
      </c>
      <c r="E52" s="2">
        <v>46022</v>
      </c>
      <c r="F52" t="s">
        <v>108</v>
      </c>
      <c r="G52" t="s">
        <v>109</v>
      </c>
      <c r="H52">
        <v>0</v>
      </c>
      <c r="I52" t="s">
        <v>13</v>
      </c>
    </row>
    <row r="53" spans="1:9" x14ac:dyDescent="0.35">
      <c r="A53">
        <v>6533042</v>
      </c>
      <c r="B53" t="s">
        <v>9</v>
      </c>
      <c r="C53" t="s">
        <v>647</v>
      </c>
      <c r="D53" s="2">
        <v>46022</v>
      </c>
      <c r="E53" s="2">
        <v>46022</v>
      </c>
      <c r="F53" t="s">
        <v>110</v>
      </c>
      <c r="G53" t="s">
        <v>111</v>
      </c>
      <c r="H53">
        <v>0</v>
      </c>
      <c r="I53" t="s">
        <v>13</v>
      </c>
    </row>
    <row r="54" spans="1:9" x14ac:dyDescent="0.35">
      <c r="A54">
        <v>6533043</v>
      </c>
      <c r="B54" t="s">
        <v>9</v>
      </c>
      <c r="C54" t="s">
        <v>647</v>
      </c>
      <c r="D54" s="2">
        <v>46022</v>
      </c>
      <c r="E54" s="2">
        <v>46022</v>
      </c>
      <c r="F54" t="s">
        <v>112</v>
      </c>
      <c r="G54" t="s">
        <v>113</v>
      </c>
      <c r="H54">
        <v>0</v>
      </c>
      <c r="I54" t="s">
        <v>13</v>
      </c>
    </row>
    <row r="55" spans="1:9" x14ac:dyDescent="0.35">
      <c r="A55">
        <v>6533044</v>
      </c>
      <c r="B55" t="s">
        <v>9</v>
      </c>
      <c r="C55" t="s">
        <v>647</v>
      </c>
      <c r="D55" s="2">
        <v>46022</v>
      </c>
      <c r="E55" s="2">
        <v>46022</v>
      </c>
      <c r="F55" t="s">
        <v>116</v>
      </c>
      <c r="G55" t="s">
        <v>117</v>
      </c>
      <c r="H55">
        <v>1547118</v>
      </c>
      <c r="I55" t="s">
        <v>13</v>
      </c>
    </row>
    <row r="56" spans="1:9" x14ac:dyDescent="0.35">
      <c r="A56">
        <v>6533045</v>
      </c>
      <c r="B56" t="s">
        <v>9</v>
      </c>
      <c r="C56" t="s">
        <v>647</v>
      </c>
      <c r="D56" s="2">
        <v>46022</v>
      </c>
      <c r="E56" s="2">
        <v>46022</v>
      </c>
      <c r="F56" t="s">
        <v>118</v>
      </c>
      <c r="G56" t="s">
        <v>119</v>
      </c>
      <c r="H56">
        <v>1401120</v>
      </c>
      <c r="I56" t="s">
        <v>13</v>
      </c>
    </row>
    <row r="57" spans="1:9" x14ac:dyDescent="0.35">
      <c r="A57">
        <v>6533046</v>
      </c>
      <c r="B57" t="s">
        <v>9</v>
      </c>
      <c r="C57" t="s">
        <v>647</v>
      </c>
      <c r="D57" s="2">
        <v>46022</v>
      </c>
      <c r="E57" s="2">
        <v>46022</v>
      </c>
      <c r="F57" t="s">
        <v>120</v>
      </c>
      <c r="G57" t="s">
        <v>121</v>
      </c>
      <c r="H57">
        <v>145998</v>
      </c>
      <c r="I57" t="s">
        <v>13</v>
      </c>
    </row>
    <row r="58" spans="1:9" x14ac:dyDescent="0.35">
      <c r="A58">
        <v>6533047</v>
      </c>
      <c r="B58" t="s">
        <v>9</v>
      </c>
      <c r="C58" t="s">
        <v>647</v>
      </c>
      <c r="D58" s="2">
        <v>46022</v>
      </c>
      <c r="E58" s="2">
        <v>46022</v>
      </c>
      <c r="F58" t="s">
        <v>126</v>
      </c>
      <c r="G58" t="s">
        <v>127</v>
      </c>
      <c r="H58">
        <v>0</v>
      </c>
      <c r="I58" t="s">
        <v>13</v>
      </c>
    </row>
    <row r="59" spans="1:9" x14ac:dyDescent="0.35">
      <c r="A59">
        <v>6533048</v>
      </c>
      <c r="B59" t="s">
        <v>9</v>
      </c>
      <c r="C59" t="s">
        <v>647</v>
      </c>
      <c r="D59" s="2">
        <v>46022</v>
      </c>
      <c r="E59" s="2">
        <v>46022</v>
      </c>
      <c r="F59" t="s">
        <v>128</v>
      </c>
      <c r="G59" t="s">
        <v>129</v>
      </c>
      <c r="H59">
        <v>473114</v>
      </c>
      <c r="I59" t="s">
        <v>13</v>
      </c>
    </row>
    <row r="60" spans="1:9" x14ac:dyDescent="0.35">
      <c r="A60">
        <v>6533049</v>
      </c>
      <c r="B60" t="s">
        <v>9</v>
      </c>
      <c r="C60" t="s">
        <v>647</v>
      </c>
      <c r="D60" s="2">
        <v>46022</v>
      </c>
      <c r="E60" s="2">
        <v>46022</v>
      </c>
      <c r="F60" t="s">
        <v>130</v>
      </c>
      <c r="G60" t="s">
        <v>131</v>
      </c>
      <c r="H60">
        <v>0</v>
      </c>
      <c r="I60" t="s">
        <v>13</v>
      </c>
    </row>
    <row r="61" spans="1:9" x14ac:dyDescent="0.35">
      <c r="A61">
        <v>6533050</v>
      </c>
      <c r="B61" t="s">
        <v>9</v>
      </c>
      <c r="C61" t="s">
        <v>647</v>
      </c>
      <c r="D61" s="2">
        <v>46022</v>
      </c>
      <c r="E61" s="2">
        <v>46022</v>
      </c>
      <c r="F61" t="s">
        <v>132</v>
      </c>
      <c r="G61" t="s">
        <v>133</v>
      </c>
      <c r="H61">
        <v>0</v>
      </c>
      <c r="I61" t="s">
        <v>13</v>
      </c>
    </row>
    <row r="62" spans="1:9" x14ac:dyDescent="0.35">
      <c r="A62">
        <v>6533051</v>
      </c>
      <c r="B62" t="s">
        <v>9</v>
      </c>
      <c r="C62" t="s">
        <v>647</v>
      </c>
      <c r="D62" s="2">
        <v>46022</v>
      </c>
      <c r="E62" s="2">
        <v>46022</v>
      </c>
      <c r="F62" t="s">
        <v>135</v>
      </c>
      <c r="G62" t="s">
        <v>136</v>
      </c>
      <c r="H62">
        <v>0</v>
      </c>
      <c r="I62" t="s">
        <v>13</v>
      </c>
    </row>
    <row r="63" spans="1:9" x14ac:dyDescent="0.35">
      <c r="A63">
        <v>6533052</v>
      </c>
      <c r="B63" t="s">
        <v>9</v>
      </c>
      <c r="C63" t="s">
        <v>647</v>
      </c>
      <c r="D63" s="2">
        <v>46022</v>
      </c>
      <c r="E63" s="2">
        <v>46022</v>
      </c>
      <c r="F63" t="s">
        <v>137</v>
      </c>
      <c r="G63" t="s">
        <v>138</v>
      </c>
      <c r="H63">
        <v>6096758</v>
      </c>
      <c r="I63" t="s">
        <v>13</v>
      </c>
    </row>
    <row r="64" spans="1:9" x14ac:dyDescent="0.35">
      <c r="A64">
        <v>6533053</v>
      </c>
      <c r="B64" t="s">
        <v>9</v>
      </c>
      <c r="C64" t="s">
        <v>647</v>
      </c>
      <c r="D64" s="2">
        <v>46022</v>
      </c>
      <c r="E64" s="2">
        <v>46022</v>
      </c>
      <c r="F64" t="s">
        <v>139</v>
      </c>
      <c r="G64" t="s">
        <v>140</v>
      </c>
      <c r="H64">
        <v>1687083</v>
      </c>
      <c r="I64" t="s">
        <v>13</v>
      </c>
    </row>
    <row r="65" spans="1:9" x14ac:dyDescent="0.35">
      <c r="A65">
        <v>6533054</v>
      </c>
      <c r="B65" t="s">
        <v>9</v>
      </c>
      <c r="C65" t="s">
        <v>647</v>
      </c>
      <c r="D65" s="2">
        <v>46022</v>
      </c>
      <c r="E65" s="2">
        <v>46022</v>
      </c>
      <c r="F65" t="s">
        <v>141</v>
      </c>
      <c r="G65" t="s">
        <v>142</v>
      </c>
      <c r="H65">
        <v>220845</v>
      </c>
      <c r="I65" t="s">
        <v>13</v>
      </c>
    </row>
    <row r="66" spans="1:9" x14ac:dyDescent="0.35">
      <c r="A66">
        <v>6533055</v>
      </c>
      <c r="B66" t="s">
        <v>9</v>
      </c>
      <c r="C66" t="s">
        <v>647</v>
      </c>
      <c r="D66" s="2">
        <v>46022</v>
      </c>
      <c r="E66" s="2">
        <v>46022</v>
      </c>
      <c r="F66" t="s">
        <v>143</v>
      </c>
      <c r="G66" t="s">
        <v>144</v>
      </c>
      <c r="H66">
        <v>0</v>
      </c>
      <c r="I66" t="s">
        <v>13</v>
      </c>
    </row>
    <row r="67" spans="1:9" x14ac:dyDescent="0.35">
      <c r="A67">
        <v>6533056</v>
      </c>
      <c r="B67" t="s">
        <v>9</v>
      </c>
      <c r="C67" t="s">
        <v>647</v>
      </c>
      <c r="D67" s="2">
        <v>46022</v>
      </c>
      <c r="E67" s="2">
        <v>46022</v>
      </c>
      <c r="F67" t="s">
        <v>145</v>
      </c>
      <c r="G67" t="s">
        <v>146</v>
      </c>
      <c r="H67">
        <v>0</v>
      </c>
      <c r="I67" t="s">
        <v>13</v>
      </c>
    </row>
    <row r="68" spans="1:9" x14ac:dyDescent="0.35">
      <c r="A68">
        <v>6533057</v>
      </c>
      <c r="B68" t="s">
        <v>9</v>
      </c>
      <c r="C68" t="s">
        <v>647</v>
      </c>
      <c r="D68" s="2">
        <v>46022</v>
      </c>
      <c r="E68" s="2">
        <v>46022</v>
      </c>
      <c r="F68" t="s">
        <v>147</v>
      </c>
      <c r="G68" t="s">
        <v>148</v>
      </c>
      <c r="H68">
        <v>442250</v>
      </c>
      <c r="I68" t="s">
        <v>13</v>
      </c>
    </row>
    <row r="69" spans="1:9" x14ac:dyDescent="0.35">
      <c r="A69">
        <v>6533058</v>
      </c>
      <c r="B69" t="s">
        <v>9</v>
      </c>
      <c r="C69" t="s">
        <v>647</v>
      </c>
      <c r="D69" s="2">
        <v>46022</v>
      </c>
      <c r="E69" s="2">
        <v>46022</v>
      </c>
      <c r="F69" t="s">
        <v>149</v>
      </c>
      <c r="G69" t="s">
        <v>150</v>
      </c>
      <c r="H69">
        <v>0</v>
      </c>
      <c r="I69" t="s">
        <v>13</v>
      </c>
    </row>
    <row r="70" spans="1:9" x14ac:dyDescent="0.35">
      <c r="A70">
        <v>6533059</v>
      </c>
      <c r="B70" t="s">
        <v>9</v>
      </c>
      <c r="C70" t="s">
        <v>647</v>
      </c>
      <c r="D70" s="2">
        <v>46022</v>
      </c>
      <c r="E70" s="2">
        <v>46022</v>
      </c>
      <c r="F70" t="s">
        <v>151</v>
      </c>
      <c r="G70" t="s">
        <v>152</v>
      </c>
      <c r="H70">
        <v>0</v>
      </c>
      <c r="I70" t="s">
        <v>13</v>
      </c>
    </row>
    <row r="71" spans="1:9" x14ac:dyDescent="0.35">
      <c r="A71">
        <v>6533060</v>
      </c>
      <c r="B71" t="s">
        <v>9</v>
      </c>
      <c r="C71" t="s">
        <v>647</v>
      </c>
      <c r="D71" s="2">
        <v>46022</v>
      </c>
      <c r="E71" s="2">
        <v>46022</v>
      </c>
      <c r="F71" t="s">
        <v>153</v>
      </c>
      <c r="G71" t="s">
        <v>154</v>
      </c>
      <c r="H71">
        <v>48043</v>
      </c>
      <c r="I71" t="s">
        <v>13</v>
      </c>
    </row>
    <row r="72" spans="1:9" x14ac:dyDescent="0.35">
      <c r="A72">
        <v>6533061</v>
      </c>
      <c r="B72" t="s">
        <v>9</v>
      </c>
      <c r="C72" t="s">
        <v>647</v>
      </c>
      <c r="D72" s="2">
        <v>46022</v>
      </c>
      <c r="E72" s="2">
        <v>46022</v>
      </c>
      <c r="F72" t="s">
        <v>155</v>
      </c>
      <c r="G72" t="s">
        <v>156</v>
      </c>
      <c r="H72">
        <v>0</v>
      </c>
      <c r="I72" t="s">
        <v>13</v>
      </c>
    </row>
    <row r="73" spans="1:9" x14ac:dyDescent="0.35">
      <c r="A73">
        <v>6533062</v>
      </c>
      <c r="B73" t="s">
        <v>9</v>
      </c>
      <c r="C73" t="s">
        <v>647</v>
      </c>
      <c r="D73" s="2">
        <v>46022</v>
      </c>
      <c r="E73" s="2">
        <v>46022</v>
      </c>
      <c r="F73" t="s">
        <v>157</v>
      </c>
      <c r="G73" t="s">
        <v>158</v>
      </c>
      <c r="H73">
        <v>0</v>
      </c>
      <c r="I73" t="s">
        <v>13</v>
      </c>
    </row>
    <row r="74" spans="1:9" x14ac:dyDescent="0.35">
      <c r="A74">
        <v>6533063</v>
      </c>
      <c r="B74" t="s">
        <v>9</v>
      </c>
      <c r="C74" t="s">
        <v>647</v>
      </c>
      <c r="D74" s="2">
        <v>46022</v>
      </c>
      <c r="E74" s="2">
        <v>46022</v>
      </c>
      <c r="F74" t="s">
        <v>161</v>
      </c>
      <c r="G74" t="s">
        <v>162</v>
      </c>
      <c r="H74">
        <v>0</v>
      </c>
      <c r="I74" t="s">
        <v>13</v>
      </c>
    </row>
    <row r="75" spans="1:9" x14ac:dyDescent="0.35">
      <c r="A75">
        <v>6533064</v>
      </c>
      <c r="B75" t="s">
        <v>9</v>
      </c>
      <c r="C75" t="s">
        <v>647</v>
      </c>
      <c r="D75" s="2">
        <v>46022</v>
      </c>
      <c r="E75" s="2">
        <v>46022</v>
      </c>
      <c r="F75" t="s">
        <v>163</v>
      </c>
      <c r="G75" t="s">
        <v>164</v>
      </c>
      <c r="H75">
        <v>0</v>
      </c>
      <c r="I75" t="s">
        <v>13</v>
      </c>
    </row>
    <row r="76" spans="1:9" x14ac:dyDescent="0.35">
      <c r="A76">
        <v>6533065</v>
      </c>
      <c r="B76" t="s">
        <v>9</v>
      </c>
      <c r="C76" t="s">
        <v>647</v>
      </c>
      <c r="D76" s="2">
        <v>46022</v>
      </c>
      <c r="E76" s="2">
        <v>46022</v>
      </c>
      <c r="F76" t="s">
        <v>165</v>
      </c>
      <c r="G76" t="s">
        <v>166</v>
      </c>
      <c r="H76">
        <v>380547</v>
      </c>
      <c r="I76" t="s">
        <v>13</v>
      </c>
    </row>
    <row r="77" spans="1:9" x14ac:dyDescent="0.35">
      <c r="A77">
        <v>6533066</v>
      </c>
      <c r="B77" t="s">
        <v>9</v>
      </c>
      <c r="C77" t="s">
        <v>647</v>
      </c>
      <c r="D77" s="2">
        <v>46022</v>
      </c>
      <c r="E77" s="2">
        <v>46022</v>
      </c>
      <c r="F77" t="s">
        <v>167</v>
      </c>
      <c r="G77" t="s">
        <v>166</v>
      </c>
      <c r="H77">
        <v>0</v>
      </c>
      <c r="I77" t="s">
        <v>13</v>
      </c>
    </row>
    <row r="78" spans="1:9" x14ac:dyDescent="0.35">
      <c r="A78">
        <v>6533067</v>
      </c>
      <c r="B78" t="s">
        <v>9</v>
      </c>
      <c r="C78" t="s">
        <v>647</v>
      </c>
      <c r="D78" s="2">
        <v>46022</v>
      </c>
      <c r="E78" s="2">
        <v>46022</v>
      </c>
      <c r="F78" t="s">
        <v>168</v>
      </c>
      <c r="G78" t="s">
        <v>169</v>
      </c>
      <c r="H78">
        <v>0</v>
      </c>
      <c r="I78" t="s">
        <v>13</v>
      </c>
    </row>
    <row r="79" spans="1:9" x14ac:dyDescent="0.35">
      <c r="A79">
        <v>6533068</v>
      </c>
      <c r="B79" t="s">
        <v>9</v>
      </c>
      <c r="C79" t="s">
        <v>647</v>
      </c>
      <c r="D79" s="2">
        <v>46022</v>
      </c>
      <c r="E79" s="2">
        <v>46022</v>
      </c>
      <c r="F79" t="s">
        <v>170</v>
      </c>
      <c r="G79" t="s">
        <v>171</v>
      </c>
      <c r="H79">
        <v>0</v>
      </c>
      <c r="I79" t="s">
        <v>13</v>
      </c>
    </row>
    <row r="80" spans="1:9" x14ac:dyDescent="0.35">
      <c r="A80">
        <v>6533069</v>
      </c>
      <c r="B80" t="s">
        <v>9</v>
      </c>
      <c r="C80" t="s">
        <v>647</v>
      </c>
      <c r="D80" s="2">
        <v>46022</v>
      </c>
      <c r="E80" s="2">
        <v>46022</v>
      </c>
      <c r="F80" t="s">
        <v>172</v>
      </c>
      <c r="G80" t="s">
        <v>173</v>
      </c>
      <c r="H80">
        <v>0</v>
      </c>
      <c r="I80" t="s">
        <v>13</v>
      </c>
    </row>
    <row r="81" spans="1:9" x14ac:dyDescent="0.35">
      <c r="A81">
        <v>6533070</v>
      </c>
      <c r="B81" t="s">
        <v>9</v>
      </c>
      <c r="C81" t="s">
        <v>647</v>
      </c>
      <c r="D81" s="2">
        <v>46022</v>
      </c>
      <c r="E81" s="2">
        <v>46022</v>
      </c>
      <c r="F81" t="s">
        <v>174</v>
      </c>
      <c r="G81" t="s">
        <v>175</v>
      </c>
      <c r="H81">
        <v>0</v>
      </c>
      <c r="I81" t="s">
        <v>13</v>
      </c>
    </row>
    <row r="82" spans="1:9" x14ac:dyDescent="0.35">
      <c r="A82">
        <v>6533071</v>
      </c>
      <c r="B82" t="s">
        <v>9</v>
      </c>
      <c r="C82" t="s">
        <v>647</v>
      </c>
      <c r="D82" s="2">
        <v>46022</v>
      </c>
      <c r="E82" s="2">
        <v>46022</v>
      </c>
      <c r="F82" t="s">
        <v>176</v>
      </c>
      <c r="G82" t="s">
        <v>177</v>
      </c>
      <c r="H82">
        <v>582619</v>
      </c>
      <c r="I82" t="s">
        <v>13</v>
      </c>
    </row>
    <row r="83" spans="1:9" x14ac:dyDescent="0.35">
      <c r="A83">
        <v>6533072</v>
      </c>
      <c r="B83" t="s">
        <v>9</v>
      </c>
      <c r="C83" t="s">
        <v>647</v>
      </c>
      <c r="D83" s="2">
        <v>46022</v>
      </c>
      <c r="E83" s="2">
        <v>46022</v>
      </c>
      <c r="F83" t="s">
        <v>178</v>
      </c>
      <c r="G83" t="s">
        <v>179</v>
      </c>
      <c r="H83">
        <v>0</v>
      </c>
      <c r="I83" t="s">
        <v>13</v>
      </c>
    </row>
    <row r="84" spans="1:9" x14ac:dyDescent="0.35">
      <c r="A84">
        <v>6533073</v>
      </c>
      <c r="B84" t="s">
        <v>9</v>
      </c>
      <c r="C84" t="s">
        <v>647</v>
      </c>
      <c r="D84" s="2">
        <v>46022</v>
      </c>
      <c r="E84" s="2">
        <v>46022</v>
      </c>
      <c r="F84" t="s">
        <v>180</v>
      </c>
      <c r="G84" t="s">
        <v>181</v>
      </c>
      <c r="H84">
        <v>0</v>
      </c>
      <c r="I84" t="s">
        <v>13</v>
      </c>
    </row>
    <row r="85" spans="1:9" x14ac:dyDescent="0.35">
      <c r="A85">
        <v>6533074</v>
      </c>
      <c r="B85" t="s">
        <v>9</v>
      </c>
      <c r="C85" t="s">
        <v>647</v>
      </c>
      <c r="D85" s="2">
        <v>46022</v>
      </c>
      <c r="E85" s="2">
        <v>46022</v>
      </c>
      <c r="F85" t="s">
        <v>182</v>
      </c>
      <c r="G85" t="s">
        <v>183</v>
      </c>
      <c r="H85">
        <v>0</v>
      </c>
      <c r="I85" t="s">
        <v>13</v>
      </c>
    </row>
    <row r="86" spans="1:9" x14ac:dyDescent="0.35">
      <c r="A86">
        <v>6533075</v>
      </c>
      <c r="B86" t="s">
        <v>9</v>
      </c>
      <c r="C86" t="s">
        <v>647</v>
      </c>
      <c r="D86" s="2">
        <v>46022</v>
      </c>
      <c r="E86" s="2">
        <v>46022</v>
      </c>
      <c r="F86" t="s">
        <v>184</v>
      </c>
      <c r="G86" t="s">
        <v>185</v>
      </c>
      <c r="H86">
        <v>0</v>
      </c>
      <c r="I86" t="s">
        <v>13</v>
      </c>
    </row>
    <row r="87" spans="1:9" x14ac:dyDescent="0.35">
      <c r="A87">
        <v>6533076</v>
      </c>
      <c r="B87" t="s">
        <v>9</v>
      </c>
      <c r="C87" t="s">
        <v>647</v>
      </c>
      <c r="D87" s="2">
        <v>46022</v>
      </c>
      <c r="E87" s="2">
        <v>46022</v>
      </c>
      <c r="F87" t="s">
        <v>186</v>
      </c>
      <c r="G87" t="s">
        <v>56</v>
      </c>
      <c r="H87">
        <v>582619</v>
      </c>
      <c r="I87" t="s">
        <v>13</v>
      </c>
    </row>
    <row r="88" spans="1:9" x14ac:dyDescent="0.35">
      <c r="A88">
        <v>6533077</v>
      </c>
      <c r="B88" t="s">
        <v>9</v>
      </c>
      <c r="C88" t="s">
        <v>647</v>
      </c>
      <c r="D88" s="2">
        <v>46022</v>
      </c>
      <c r="E88" s="2">
        <v>46022</v>
      </c>
      <c r="F88" t="s">
        <v>187</v>
      </c>
      <c r="G88" t="s">
        <v>188</v>
      </c>
      <c r="H88">
        <v>106565</v>
      </c>
      <c r="I88" t="s">
        <v>13</v>
      </c>
    </row>
    <row r="89" spans="1:9" x14ac:dyDescent="0.35">
      <c r="A89">
        <v>6533078</v>
      </c>
      <c r="B89" t="s">
        <v>9</v>
      </c>
      <c r="C89" t="s">
        <v>647</v>
      </c>
      <c r="D89" s="2">
        <v>46022</v>
      </c>
      <c r="E89" s="2">
        <v>46022</v>
      </c>
      <c r="F89" t="s">
        <v>189</v>
      </c>
      <c r="G89" t="s">
        <v>190</v>
      </c>
      <c r="H89">
        <v>0</v>
      </c>
      <c r="I89" t="s">
        <v>13</v>
      </c>
    </row>
    <row r="90" spans="1:9" x14ac:dyDescent="0.35">
      <c r="A90">
        <v>6533079</v>
      </c>
      <c r="B90" t="s">
        <v>9</v>
      </c>
      <c r="C90" t="s">
        <v>647</v>
      </c>
      <c r="D90" s="2">
        <v>46022</v>
      </c>
      <c r="E90" s="2">
        <v>46022</v>
      </c>
      <c r="F90" t="s">
        <v>191</v>
      </c>
      <c r="G90" t="s">
        <v>192</v>
      </c>
      <c r="H90">
        <v>0</v>
      </c>
      <c r="I90" t="s">
        <v>13</v>
      </c>
    </row>
    <row r="91" spans="1:9" x14ac:dyDescent="0.35">
      <c r="A91">
        <v>6533080</v>
      </c>
      <c r="B91" t="s">
        <v>9</v>
      </c>
      <c r="C91" t="s">
        <v>647</v>
      </c>
      <c r="D91" s="2">
        <v>46022</v>
      </c>
      <c r="E91" s="2">
        <v>46022</v>
      </c>
      <c r="F91" t="s">
        <v>195</v>
      </c>
      <c r="G91" t="s">
        <v>198</v>
      </c>
      <c r="H91">
        <v>188251</v>
      </c>
      <c r="I91" t="s">
        <v>13</v>
      </c>
    </row>
    <row r="92" spans="1:9" x14ac:dyDescent="0.35">
      <c r="A92">
        <v>6533081</v>
      </c>
      <c r="B92" t="s">
        <v>9</v>
      </c>
      <c r="C92" t="s">
        <v>647</v>
      </c>
      <c r="D92" s="2">
        <v>46022</v>
      </c>
      <c r="E92" s="2">
        <v>46022</v>
      </c>
      <c r="F92" t="s">
        <v>197</v>
      </c>
      <c r="G92" t="s">
        <v>613</v>
      </c>
      <c r="H92">
        <v>39235</v>
      </c>
      <c r="I92" t="s">
        <v>13</v>
      </c>
    </row>
    <row r="93" spans="1:9" x14ac:dyDescent="0.35">
      <c r="A93">
        <v>6533082</v>
      </c>
      <c r="B93" t="s">
        <v>9</v>
      </c>
      <c r="C93" t="s">
        <v>647</v>
      </c>
      <c r="D93" s="2">
        <v>46022</v>
      </c>
      <c r="E93" s="2">
        <v>46022</v>
      </c>
      <c r="F93" t="s">
        <v>199</v>
      </c>
      <c r="G93" t="s">
        <v>202</v>
      </c>
      <c r="H93">
        <v>158137</v>
      </c>
      <c r="I93" t="s">
        <v>13</v>
      </c>
    </row>
    <row r="94" spans="1:9" x14ac:dyDescent="0.35">
      <c r="A94">
        <v>6533083</v>
      </c>
      <c r="B94" t="s">
        <v>9</v>
      </c>
      <c r="C94" t="s">
        <v>647</v>
      </c>
      <c r="D94" s="2">
        <v>46022</v>
      </c>
      <c r="E94" s="2">
        <v>46022</v>
      </c>
      <c r="F94" t="s">
        <v>201</v>
      </c>
      <c r="G94" t="s">
        <v>204</v>
      </c>
      <c r="H94">
        <v>1367</v>
      </c>
      <c r="I94" t="s">
        <v>13</v>
      </c>
    </row>
    <row r="95" spans="1:9" x14ac:dyDescent="0.35">
      <c r="A95">
        <v>6533084</v>
      </c>
      <c r="B95" t="s">
        <v>9</v>
      </c>
      <c r="C95" t="s">
        <v>647</v>
      </c>
      <c r="D95" s="2">
        <v>46022</v>
      </c>
      <c r="E95" s="2">
        <v>46022</v>
      </c>
      <c r="F95" t="s">
        <v>203</v>
      </c>
      <c r="G95" t="s">
        <v>206</v>
      </c>
      <c r="H95">
        <v>89064</v>
      </c>
      <c r="I95" t="s">
        <v>13</v>
      </c>
    </row>
    <row r="96" spans="1:9" x14ac:dyDescent="0.35">
      <c r="A96">
        <v>6533085</v>
      </c>
      <c r="B96" t="s">
        <v>9</v>
      </c>
      <c r="C96" t="s">
        <v>647</v>
      </c>
      <c r="D96" s="2">
        <v>46022</v>
      </c>
      <c r="E96" s="2">
        <v>46022</v>
      </c>
      <c r="F96" t="s">
        <v>207</v>
      </c>
      <c r="G96" t="s">
        <v>208</v>
      </c>
      <c r="H96">
        <v>12779</v>
      </c>
      <c r="I96" t="s">
        <v>13</v>
      </c>
    </row>
    <row r="97" spans="1:9" x14ac:dyDescent="0.35">
      <c r="A97">
        <v>6533086</v>
      </c>
      <c r="B97" t="s">
        <v>9</v>
      </c>
      <c r="C97" t="s">
        <v>647</v>
      </c>
      <c r="D97" s="2">
        <v>46022</v>
      </c>
      <c r="E97" s="2">
        <v>46022</v>
      </c>
      <c r="F97" t="s">
        <v>209</v>
      </c>
      <c r="G97" t="s">
        <v>210</v>
      </c>
      <c r="H97">
        <v>0</v>
      </c>
      <c r="I97" t="s">
        <v>13</v>
      </c>
    </row>
    <row r="98" spans="1:9" x14ac:dyDescent="0.35">
      <c r="A98">
        <v>6533087</v>
      </c>
      <c r="B98" t="s">
        <v>9</v>
      </c>
      <c r="C98" t="s">
        <v>647</v>
      </c>
      <c r="D98" s="2">
        <v>46022</v>
      </c>
      <c r="E98" s="2">
        <v>46022</v>
      </c>
      <c r="F98" t="s">
        <v>211</v>
      </c>
      <c r="G98" t="s">
        <v>212</v>
      </c>
      <c r="H98">
        <v>0</v>
      </c>
      <c r="I98" t="s">
        <v>13</v>
      </c>
    </row>
    <row r="99" spans="1:9" x14ac:dyDescent="0.35">
      <c r="A99">
        <v>6533088</v>
      </c>
      <c r="B99" t="s">
        <v>9</v>
      </c>
      <c r="C99" t="s">
        <v>647</v>
      </c>
      <c r="D99" s="2">
        <v>46022</v>
      </c>
      <c r="E99" s="2">
        <v>46022</v>
      </c>
      <c r="F99" t="s">
        <v>213</v>
      </c>
      <c r="G99" t="s">
        <v>214</v>
      </c>
      <c r="H99">
        <v>0</v>
      </c>
      <c r="I99" t="s">
        <v>13</v>
      </c>
    </row>
    <row r="100" spans="1:9" x14ac:dyDescent="0.35">
      <c r="A100">
        <v>6533089</v>
      </c>
      <c r="B100" t="s">
        <v>9</v>
      </c>
      <c r="C100" t="s">
        <v>647</v>
      </c>
      <c r="D100" s="2">
        <v>46022</v>
      </c>
      <c r="E100" s="2">
        <v>46022</v>
      </c>
      <c r="F100" t="s">
        <v>215</v>
      </c>
      <c r="G100" t="s">
        <v>216</v>
      </c>
      <c r="H100">
        <v>0</v>
      </c>
      <c r="I100" t="s">
        <v>13</v>
      </c>
    </row>
    <row r="101" spans="1:9" x14ac:dyDescent="0.35">
      <c r="A101">
        <v>6533090</v>
      </c>
      <c r="B101" t="s">
        <v>9</v>
      </c>
      <c r="C101" t="s">
        <v>647</v>
      </c>
      <c r="D101" s="2">
        <v>46022</v>
      </c>
      <c r="E101" s="2">
        <v>46022</v>
      </c>
      <c r="F101" t="s">
        <v>217</v>
      </c>
      <c r="G101" t="s">
        <v>218</v>
      </c>
      <c r="H101">
        <v>0</v>
      </c>
      <c r="I101" t="s">
        <v>13</v>
      </c>
    </row>
    <row r="102" spans="1:9" x14ac:dyDescent="0.35">
      <c r="A102">
        <v>6533091</v>
      </c>
      <c r="B102" t="s">
        <v>9</v>
      </c>
      <c r="C102" t="s">
        <v>647</v>
      </c>
      <c r="D102" s="2">
        <v>46022</v>
      </c>
      <c r="E102" s="2">
        <v>46022</v>
      </c>
      <c r="F102" t="s">
        <v>219</v>
      </c>
      <c r="G102" t="s">
        <v>220</v>
      </c>
      <c r="H102">
        <v>0</v>
      </c>
      <c r="I102" t="s">
        <v>13</v>
      </c>
    </row>
    <row r="103" spans="1:9" x14ac:dyDescent="0.35">
      <c r="A103">
        <v>6533092</v>
      </c>
      <c r="B103" t="s">
        <v>9</v>
      </c>
      <c r="C103" t="s">
        <v>647</v>
      </c>
      <c r="D103" s="2">
        <v>46022</v>
      </c>
      <c r="E103" s="2">
        <v>46022</v>
      </c>
      <c r="F103" t="s">
        <v>221</v>
      </c>
      <c r="G103" t="s">
        <v>222</v>
      </c>
      <c r="H103">
        <v>0</v>
      </c>
      <c r="I103" t="s">
        <v>13</v>
      </c>
    </row>
    <row r="104" spans="1:9" x14ac:dyDescent="0.35">
      <c r="A104">
        <v>6533093</v>
      </c>
      <c r="B104" t="s">
        <v>9</v>
      </c>
      <c r="C104" t="s">
        <v>647</v>
      </c>
      <c r="D104" s="2">
        <v>46022</v>
      </c>
      <c r="E104" s="2">
        <v>46022</v>
      </c>
      <c r="F104" t="s">
        <v>223</v>
      </c>
      <c r="G104" t="s">
        <v>224</v>
      </c>
      <c r="H104">
        <v>0</v>
      </c>
      <c r="I104" t="s">
        <v>13</v>
      </c>
    </row>
    <row r="105" spans="1:9" x14ac:dyDescent="0.35">
      <c r="A105">
        <v>6533094</v>
      </c>
      <c r="B105" t="s">
        <v>9</v>
      </c>
      <c r="C105" t="s">
        <v>647</v>
      </c>
      <c r="D105" s="2">
        <v>46022</v>
      </c>
      <c r="E105" s="2">
        <v>46022</v>
      </c>
      <c r="F105" t="s">
        <v>225</v>
      </c>
      <c r="G105" t="s">
        <v>226</v>
      </c>
      <c r="H105">
        <v>0</v>
      </c>
      <c r="I105" t="s">
        <v>13</v>
      </c>
    </row>
    <row r="106" spans="1:9" x14ac:dyDescent="0.35">
      <c r="A106">
        <v>6533095</v>
      </c>
      <c r="B106" t="s">
        <v>9</v>
      </c>
      <c r="C106" t="s">
        <v>647</v>
      </c>
      <c r="D106" s="2">
        <v>46022</v>
      </c>
      <c r="E106" s="2">
        <v>46022</v>
      </c>
      <c r="F106" t="s">
        <v>227</v>
      </c>
      <c r="G106" t="s">
        <v>228</v>
      </c>
      <c r="H106">
        <v>0</v>
      </c>
      <c r="I106" t="s">
        <v>13</v>
      </c>
    </row>
    <row r="107" spans="1:9" x14ac:dyDescent="0.35">
      <c r="A107">
        <v>6533096</v>
      </c>
      <c r="B107" t="s">
        <v>9</v>
      </c>
      <c r="C107" t="s">
        <v>647</v>
      </c>
      <c r="D107" s="2">
        <v>46022</v>
      </c>
      <c r="E107" s="2">
        <v>46022</v>
      </c>
      <c r="F107" t="s">
        <v>229</v>
      </c>
      <c r="G107" t="s">
        <v>230</v>
      </c>
      <c r="H107">
        <v>0</v>
      </c>
      <c r="I107" t="s">
        <v>13</v>
      </c>
    </row>
    <row r="108" spans="1:9" x14ac:dyDescent="0.35">
      <c r="A108">
        <v>6533097</v>
      </c>
      <c r="B108" t="s">
        <v>9</v>
      </c>
      <c r="C108" t="s">
        <v>647</v>
      </c>
      <c r="D108" s="2">
        <v>46022</v>
      </c>
      <c r="E108" s="2">
        <v>46022</v>
      </c>
      <c r="F108" t="s">
        <v>231</v>
      </c>
      <c r="G108" t="s">
        <v>232</v>
      </c>
      <c r="H108">
        <v>0</v>
      </c>
      <c r="I108" t="s">
        <v>13</v>
      </c>
    </row>
    <row r="109" spans="1:9" x14ac:dyDescent="0.35">
      <c r="A109">
        <v>6533098</v>
      </c>
      <c r="B109" t="s">
        <v>9</v>
      </c>
      <c r="C109" t="s">
        <v>647</v>
      </c>
      <c r="D109" s="2">
        <v>46022</v>
      </c>
      <c r="E109" s="2">
        <v>46022</v>
      </c>
      <c r="F109" t="s">
        <v>233</v>
      </c>
      <c r="G109" t="s">
        <v>234</v>
      </c>
      <c r="H109">
        <v>1085916</v>
      </c>
      <c r="I109" t="s">
        <v>13</v>
      </c>
    </row>
    <row r="110" spans="1:9" x14ac:dyDescent="0.35">
      <c r="A110">
        <v>6533099</v>
      </c>
      <c r="B110" t="s">
        <v>9</v>
      </c>
      <c r="C110" t="s">
        <v>647</v>
      </c>
      <c r="D110" s="2">
        <v>46022</v>
      </c>
      <c r="E110" s="2">
        <v>46022</v>
      </c>
      <c r="F110" t="s">
        <v>235</v>
      </c>
      <c r="G110" t="s">
        <v>166</v>
      </c>
      <c r="H110">
        <v>854986</v>
      </c>
      <c r="I110" t="s">
        <v>13</v>
      </c>
    </row>
    <row r="111" spans="1:9" x14ac:dyDescent="0.35">
      <c r="A111">
        <v>6533100</v>
      </c>
      <c r="B111" t="s">
        <v>9</v>
      </c>
      <c r="C111" t="s">
        <v>647</v>
      </c>
      <c r="D111" s="2">
        <v>46022</v>
      </c>
      <c r="E111" s="2">
        <v>46022</v>
      </c>
      <c r="F111" t="s">
        <v>236</v>
      </c>
      <c r="G111" t="s">
        <v>166</v>
      </c>
      <c r="H111">
        <v>0</v>
      </c>
      <c r="I111" t="s">
        <v>13</v>
      </c>
    </row>
    <row r="112" spans="1:9" x14ac:dyDescent="0.35">
      <c r="A112">
        <v>6533101</v>
      </c>
      <c r="B112" t="s">
        <v>9</v>
      </c>
      <c r="C112" t="s">
        <v>647</v>
      </c>
      <c r="D112" s="2">
        <v>46022</v>
      </c>
      <c r="E112" s="2">
        <v>46022</v>
      </c>
      <c r="F112" t="s">
        <v>237</v>
      </c>
      <c r="G112" t="s">
        <v>169</v>
      </c>
      <c r="H112">
        <v>0</v>
      </c>
      <c r="I112" t="s">
        <v>13</v>
      </c>
    </row>
    <row r="113" spans="1:9" x14ac:dyDescent="0.35">
      <c r="A113">
        <v>6533102</v>
      </c>
      <c r="B113" t="s">
        <v>9</v>
      </c>
      <c r="C113" t="s">
        <v>647</v>
      </c>
      <c r="D113" s="2">
        <v>46022</v>
      </c>
      <c r="E113" s="2">
        <v>46022</v>
      </c>
      <c r="F113" t="s">
        <v>238</v>
      </c>
      <c r="G113" t="s">
        <v>171</v>
      </c>
      <c r="H113">
        <v>0</v>
      </c>
      <c r="I113" t="s">
        <v>13</v>
      </c>
    </row>
    <row r="114" spans="1:9" x14ac:dyDescent="0.35">
      <c r="A114">
        <v>6533103</v>
      </c>
      <c r="B114" t="s">
        <v>9</v>
      </c>
      <c r="C114" t="s">
        <v>647</v>
      </c>
      <c r="D114" s="2">
        <v>46022</v>
      </c>
      <c r="E114" s="2">
        <v>46022</v>
      </c>
      <c r="F114" t="s">
        <v>239</v>
      </c>
      <c r="G114" t="s">
        <v>173</v>
      </c>
      <c r="H114">
        <v>0</v>
      </c>
      <c r="I114" t="s">
        <v>13</v>
      </c>
    </row>
    <row r="115" spans="1:9" x14ac:dyDescent="0.35">
      <c r="A115">
        <v>6533104</v>
      </c>
      <c r="B115" t="s">
        <v>9</v>
      </c>
      <c r="C115" t="s">
        <v>647</v>
      </c>
      <c r="D115" s="2">
        <v>46022</v>
      </c>
      <c r="E115" s="2">
        <v>46022</v>
      </c>
      <c r="F115" t="s">
        <v>240</v>
      </c>
      <c r="G115" t="s">
        <v>175</v>
      </c>
      <c r="H115">
        <v>0</v>
      </c>
      <c r="I115" t="s">
        <v>13</v>
      </c>
    </row>
    <row r="116" spans="1:9" x14ac:dyDescent="0.35">
      <c r="A116">
        <v>6533105</v>
      </c>
      <c r="B116" t="s">
        <v>9</v>
      </c>
      <c r="C116" t="s">
        <v>647</v>
      </c>
      <c r="D116" s="2">
        <v>46022</v>
      </c>
      <c r="E116" s="2">
        <v>46022</v>
      </c>
      <c r="F116" t="s">
        <v>241</v>
      </c>
      <c r="G116" t="s">
        <v>177</v>
      </c>
      <c r="H116">
        <v>214030</v>
      </c>
      <c r="I116" t="s">
        <v>13</v>
      </c>
    </row>
    <row r="117" spans="1:9" x14ac:dyDescent="0.35">
      <c r="A117">
        <v>6533106</v>
      </c>
      <c r="B117" t="s">
        <v>9</v>
      </c>
      <c r="C117" t="s">
        <v>647</v>
      </c>
      <c r="D117" s="2">
        <v>46022</v>
      </c>
      <c r="E117" s="2">
        <v>46022</v>
      </c>
      <c r="F117" t="s">
        <v>242</v>
      </c>
      <c r="G117" t="s">
        <v>179</v>
      </c>
      <c r="H117">
        <v>0</v>
      </c>
      <c r="I117" t="s">
        <v>13</v>
      </c>
    </row>
    <row r="118" spans="1:9" x14ac:dyDescent="0.35">
      <c r="A118">
        <v>6533107</v>
      </c>
      <c r="B118" t="s">
        <v>9</v>
      </c>
      <c r="C118" t="s">
        <v>647</v>
      </c>
      <c r="D118" s="2">
        <v>46022</v>
      </c>
      <c r="E118" s="2">
        <v>46022</v>
      </c>
      <c r="F118" t="s">
        <v>243</v>
      </c>
      <c r="G118" t="s">
        <v>181</v>
      </c>
      <c r="H118">
        <v>0</v>
      </c>
      <c r="I118" t="s">
        <v>13</v>
      </c>
    </row>
    <row r="119" spans="1:9" x14ac:dyDescent="0.35">
      <c r="A119">
        <v>6533108</v>
      </c>
      <c r="B119" t="s">
        <v>9</v>
      </c>
      <c r="C119" t="s">
        <v>647</v>
      </c>
      <c r="D119" s="2">
        <v>46022</v>
      </c>
      <c r="E119" s="2">
        <v>46022</v>
      </c>
      <c r="F119" t="s">
        <v>244</v>
      </c>
      <c r="G119" t="s">
        <v>183</v>
      </c>
      <c r="H119">
        <v>0</v>
      </c>
      <c r="I119" t="s">
        <v>13</v>
      </c>
    </row>
    <row r="120" spans="1:9" x14ac:dyDescent="0.35">
      <c r="A120">
        <v>6533109</v>
      </c>
      <c r="B120" t="s">
        <v>9</v>
      </c>
      <c r="C120" t="s">
        <v>647</v>
      </c>
      <c r="D120" s="2">
        <v>46022</v>
      </c>
      <c r="E120" s="2">
        <v>46022</v>
      </c>
      <c r="F120" t="s">
        <v>245</v>
      </c>
      <c r="G120" t="s">
        <v>185</v>
      </c>
      <c r="H120">
        <v>0</v>
      </c>
      <c r="I120" t="s">
        <v>13</v>
      </c>
    </row>
    <row r="121" spans="1:9" x14ac:dyDescent="0.35">
      <c r="A121">
        <v>6533110</v>
      </c>
      <c r="B121" t="s">
        <v>9</v>
      </c>
      <c r="C121" t="s">
        <v>647</v>
      </c>
      <c r="D121" s="2">
        <v>46022</v>
      </c>
      <c r="E121" s="2">
        <v>46022</v>
      </c>
      <c r="F121" t="s">
        <v>246</v>
      </c>
      <c r="G121" t="s">
        <v>56</v>
      </c>
      <c r="H121">
        <v>214030</v>
      </c>
      <c r="I121" t="s">
        <v>13</v>
      </c>
    </row>
    <row r="122" spans="1:9" x14ac:dyDescent="0.35">
      <c r="A122">
        <v>6533111</v>
      </c>
      <c r="B122" t="s">
        <v>9</v>
      </c>
      <c r="C122" t="s">
        <v>647</v>
      </c>
      <c r="D122" s="2">
        <v>46022</v>
      </c>
      <c r="E122" s="2">
        <v>46022</v>
      </c>
      <c r="F122" t="s">
        <v>247</v>
      </c>
      <c r="G122" t="s">
        <v>192</v>
      </c>
      <c r="H122">
        <v>0</v>
      </c>
      <c r="I122" t="s">
        <v>13</v>
      </c>
    </row>
    <row r="123" spans="1:9" x14ac:dyDescent="0.35">
      <c r="A123">
        <v>6533112</v>
      </c>
      <c r="B123" t="s">
        <v>9</v>
      </c>
      <c r="C123" t="s">
        <v>647</v>
      </c>
      <c r="D123" s="2">
        <v>46022</v>
      </c>
      <c r="E123" s="2">
        <v>46022</v>
      </c>
      <c r="F123" t="s">
        <v>248</v>
      </c>
      <c r="G123" t="s">
        <v>249</v>
      </c>
      <c r="H123">
        <v>0</v>
      </c>
      <c r="I123" t="s">
        <v>13</v>
      </c>
    </row>
    <row r="124" spans="1:9" x14ac:dyDescent="0.35">
      <c r="A124">
        <v>6533113</v>
      </c>
      <c r="B124" t="s">
        <v>9</v>
      </c>
      <c r="C124" t="s">
        <v>647</v>
      </c>
      <c r="D124" s="2">
        <v>46022</v>
      </c>
      <c r="E124" s="2">
        <v>46022</v>
      </c>
      <c r="F124" t="s">
        <v>250</v>
      </c>
      <c r="G124" t="s">
        <v>614</v>
      </c>
      <c r="H124">
        <v>17144</v>
      </c>
      <c r="I124" t="s">
        <v>13</v>
      </c>
    </row>
    <row r="125" spans="1:9" x14ac:dyDescent="0.35">
      <c r="A125">
        <v>6533114</v>
      </c>
      <c r="B125" t="s">
        <v>9</v>
      </c>
      <c r="C125" t="s">
        <v>647</v>
      </c>
      <c r="D125" s="2">
        <v>46022</v>
      </c>
      <c r="E125" s="2">
        <v>46022</v>
      </c>
      <c r="F125" t="s">
        <v>251</v>
      </c>
      <c r="G125" t="s">
        <v>154</v>
      </c>
      <c r="H125">
        <v>55997</v>
      </c>
      <c r="I125" t="s">
        <v>13</v>
      </c>
    </row>
    <row r="126" spans="1:9" x14ac:dyDescent="0.35">
      <c r="A126">
        <v>6533115</v>
      </c>
      <c r="B126" t="s">
        <v>9</v>
      </c>
      <c r="C126" t="s">
        <v>647</v>
      </c>
      <c r="D126" s="2">
        <v>46022</v>
      </c>
      <c r="E126" s="2">
        <v>46022</v>
      </c>
      <c r="F126" t="s">
        <v>253</v>
      </c>
      <c r="G126" t="s">
        <v>615</v>
      </c>
      <c r="H126">
        <v>0</v>
      </c>
      <c r="I126" t="s">
        <v>13</v>
      </c>
    </row>
    <row r="127" spans="1:9" x14ac:dyDescent="0.35">
      <c r="A127">
        <v>6533116</v>
      </c>
      <c r="B127" t="s">
        <v>9</v>
      </c>
      <c r="C127" t="s">
        <v>647</v>
      </c>
      <c r="D127" s="2">
        <v>46022</v>
      </c>
      <c r="E127" s="2">
        <v>46022</v>
      </c>
      <c r="F127" t="s">
        <v>256</v>
      </c>
      <c r="G127" t="s">
        <v>204</v>
      </c>
      <c r="H127">
        <v>16706</v>
      </c>
      <c r="I127" t="s">
        <v>13</v>
      </c>
    </row>
    <row r="128" spans="1:9" x14ac:dyDescent="0.35">
      <c r="A128">
        <v>6533117</v>
      </c>
      <c r="B128" t="s">
        <v>9</v>
      </c>
      <c r="C128" t="s">
        <v>647</v>
      </c>
      <c r="D128" s="2">
        <v>46022</v>
      </c>
      <c r="E128" s="2">
        <v>46022</v>
      </c>
      <c r="F128" t="s">
        <v>257</v>
      </c>
      <c r="G128" t="s">
        <v>613</v>
      </c>
      <c r="H128">
        <v>124183</v>
      </c>
      <c r="I128" t="s">
        <v>13</v>
      </c>
    </row>
    <row r="129" spans="1:9" x14ac:dyDescent="0.35">
      <c r="A129">
        <v>6533118</v>
      </c>
      <c r="B129" t="s">
        <v>9</v>
      </c>
      <c r="C129" t="s">
        <v>647</v>
      </c>
      <c r="D129" s="2">
        <v>46022</v>
      </c>
      <c r="E129" s="2">
        <v>46022</v>
      </c>
      <c r="F129" t="s">
        <v>259</v>
      </c>
      <c r="G129" t="s">
        <v>206</v>
      </c>
      <c r="H129">
        <v>0</v>
      </c>
      <c r="I129" t="s">
        <v>13</v>
      </c>
    </row>
    <row r="130" spans="1:9" x14ac:dyDescent="0.35">
      <c r="A130">
        <v>6533119</v>
      </c>
      <c r="B130" t="s">
        <v>9</v>
      </c>
      <c r="C130" t="s">
        <v>647</v>
      </c>
      <c r="D130" s="2">
        <v>46022</v>
      </c>
      <c r="E130" s="2">
        <v>46022</v>
      </c>
      <c r="F130" t="s">
        <v>616</v>
      </c>
      <c r="G130" t="s">
        <v>617</v>
      </c>
      <c r="H130">
        <v>0</v>
      </c>
      <c r="I130" t="s">
        <v>13</v>
      </c>
    </row>
    <row r="131" spans="1:9" x14ac:dyDescent="0.35">
      <c r="A131">
        <v>6533120</v>
      </c>
      <c r="B131" t="s">
        <v>9</v>
      </c>
      <c r="C131" t="s">
        <v>647</v>
      </c>
      <c r="D131" s="2">
        <v>46022</v>
      </c>
      <c r="E131" s="2">
        <v>46022</v>
      </c>
      <c r="F131" t="s">
        <v>260</v>
      </c>
      <c r="G131" t="s">
        <v>81</v>
      </c>
      <c r="H131">
        <v>60</v>
      </c>
      <c r="I131" t="s">
        <v>13</v>
      </c>
    </row>
    <row r="132" spans="1:9" x14ac:dyDescent="0.35">
      <c r="A132">
        <v>6533121</v>
      </c>
      <c r="B132" t="s">
        <v>9</v>
      </c>
      <c r="C132" t="s">
        <v>647</v>
      </c>
      <c r="D132" s="2">
        <v>46022</v>
      </c>
      <c r="E132" s="2">
        <v>46022</v>
      </c>
      <c r="F132" t="s">
        <v>261</v>
      </c>
      <c r="G132" t="s">
        <v>83</v>
      </c>
      <c r="H132">
        <v>0</v>
      </c>
      <c r="I132" t="s">
        <v>13</v>
      </c>
    </row>
    <row r="133" spans="1:9" x14ac:dyDescent="0.35">
      <c r="A133">
        <v>6533122</v>
      </c>
      <c r="B133" t="s">
        <v>9</v>
      </c>
      <c r="C133" t="s">
        <v>647</v>
      </c>
      <c r="D133" s="2">
        <v>46022</v>
      </c>
      <c r="E133" s="2">
        <v>46022</v>
      </c>
      <c r="F133" t="s">
        <v>262</v>
      </c>
      <c r="G133" t="s">
        <v>208</v>
      </c>
      <c r="H133">
        <v>16840</v>
      </c>
      <c r="I133" t="s">
        <v>13</v>
      </c>
    </row>
    <row r="134" spans="1:9" x14ac:dyDescent="0.35">
      <c r="A134">
        <v>6533123</v>
      </c>
      <c r="B134" t="s">
        <v>9</v>
      </c>
      <c r="C134" t="s">
        <v>647</v>
      </c>
      <c r="D134" s="2">
        <v>46022</v>
      </c>
      <c r="E134" s="2">
        <v>46022</v>
      </c>
      <c r="F134" t="s">
        <v>263</v>
      </c>
      <c r="G134" t="s">
        <v>210</v>
      </c>
      <c r="H134">
        <v>0</v>
      </c>
      <c r="I134" t="s">
        <v>13</v>
      </c>
    </row>
    <row r="135" spans="1:9" x14ac:dyDescent="0.35">
      <c r="A135">
        <v>6533124</v>
      </c>
      <c r="B135" t="s">
        <v>9</v>
      </c>
      <c r="C135" t="s">
        <v>647</v>
      </c>
      <c r="D135" s="2">
        <v>46022</v>
      </c>
      <c r="E135" s="2">
        <v>46022</v>
      </c>
      <c r="F135" t="s">
        <v>264</v>
      </c>
      <c r="G135" t="s">
        <v>212</v>
      </c>
      <c r="H135">
        <v>0</v>
      </c>
      <c r="I135" t="s">
        <v>13</v>
      </c>
    </row>
    <row r="136" spans="1:9" x14ac:dyDescent="0.35">
      <c r="A136">
        <v>6533125</v>
      </c>
      <c r="B136" t="s">
        <v>9</v>
      </c>
      <c r="C136" t="s">
        <v>647</v>
      </c>
      <c r="D136" s="2">
        <v>46022</v>
      </c>
      <c r="E136" s="2">
        <v>46022</v>
      </c>
      <c r="F136" t="s">
        <v>265</v>
      </c>
      <c r="G136" t="s">
        <v>214</v>
      </c>
      <c r="H136">
        <v>0</v>
      </c>
      <c r="I136" t="s">
        <v>13</v>
      </c>
    </row>
    <row r="137" spans="1:9" x14ac:dyDescent="0.35">
      <c r="A137">
        <v>6533126</v>
      </c>
      <c r="B137" t="s">
        <v>9</v>
      </c>
      <c r="C137" t="s">
        <v>647</v>
      </c>
      <c r="D137" s="2">
        <v>46022</v>
      </c>
      <c r="E137" s="2">
        <v>46022</v>
      </c>
      <c r="F137" t="s">
        <v>266</v>
      </c>
      <c r="G137" t="s">
        <v>216</v>
      </c>
      <c r="H137">
        <v>0</v>
      </c>
      <c r="I137" t="s">
        <v>13</v>
      </c>
    </row>
    <row r="138" spans="1:9" x14ac:dyDescent="0.35">
      <c r="A138">
        <v>6533127</v>
      </c>
      <c r="B138" t="s">
        <v>9</v>
      </c>
      <c r="C138" t="s">
        <v>647</v>
      </c>
      <c r="D138" s="2">
        <v>46022</v>
      </c>
      <c r="E138" s="2">
        <v>46022</v>
      </c>
      <c r="F138" t="s">
        <v>267</v>
      </c>
      <c r="G138" t="s">
        <v>218</v>
      </c>
      <c r="H138">
        <v>0</v>
      </c>
      <c r="I138" t="s">
        <v>13</v>
      </c>
    </row>
    <row r="139" spans="1:9" x14ac:dyDescent="0.35">
      <c r="A139">
        <v>6533128</v>
      </c>
      <c r="B139" t="s">
        <v>9</v>
      </c>
      <c r="C139" t="s">
        <v>647</v>
      </c>
      <c r="D139" s="2">
        <v>46022</v>
      </c>
      <c r="E139" s="2">
        <v>46022</v>
      </c>
      <c r="F139" t="s">
        <v>268</v>
      </c>
      <c r="G139" t="s">
        <v>220</v>
      </c>
      <c r="H139">
        <v>0</v>
      </c>
      <c r="I139" t="s">
        <v>13</v>
      </c>
    </row>
    <row r="140" spans="1:9" x14ac:dyDescent="0.35">
      <c r="A140">
        <v>6533129</v>
      </c>
      <c r="B140" t="s">
        <v>9</v>
      </c>
      <c r="C140" t="s">
        <v>647</v>
      </c>
      <c r="D140" s="2">
        <v>46022</v>
      </c>
      <c r="E140" s="2">
        <v>46022</v>
      </c>
      <c r="F140" t="s">
        <v>269</v>
      </c>
      <c r="G140" t="s">
        <v>222</v>
      </c>
      <c r="H140">
        <v>0</v>
      </c>
      <c r="I140" t="s">
        <v>13</v>
      </c>
    </row>
    <row r="141" spans="1:9" x14ac:dyDescent="0.35">
      <c r="A141">
        <v>6533130</v>
      </c>
      <c r="B141" t="s">
        <v>9</v>
      </c>
      <c r="C141" t="s">
        <v>647</v>
      </c>
      <c r="D141" s="2">
        <v>46022</v>
      </c>
      <c r="E141" s="2">
        <v>46022</v>
      </c>
      <c r="F141" t="s">
        <v>270</v>
      </c>
      <c r="G141" t="s">
        <v>224</v>
      </c>
      <c r="H141">
        <v>0</v>
      </c>
      <c r="I141" t="s">
        <v>13</v>
      </c>
    </row>
    <row r="142" spans="1:9" x14ac:dyDescent="0.35">
      <c r="A142">
        <v>6533131</v>
      </c>
      <c r="B142" t="s">
        <v>9</v>
      </c>
      <c r="C142" t="s">
        <v>647</v>
      </c>
      <c r="D142" s="2">
        <v>46022</v>
      </c>
      <c r="E142" s="2">
        <v>46022</v>
      </c>
      <c r="F142" t="s">
        <v>271</v>
      </c>
      <c r="G142" t="s">
        <v>226</v>
      </c>
      <c r="H142">
        <v>0</v>
      </c>
      <c r="I142" t="s">
        <v>13</v>
      </c>
    </row>
    <row r="143" spans="1:9" x14ac:dyDescent="0.35">
      <c r="A143">
        <v>6533132</v>
      </c>
      <c r="B143" t="s">
        <v>9</v>
      </c>
      <c r="C143" t="s">
        <v>647</v>
      </c>
      <c r="D143" s="2">
        <v>46022</v>
      </c>
      <c r="E143" s="2">
        <v>46022</v>
      </c>
      <c r="F143" t="s">
        <v>272</v>
      </c>
      <c r="G143" t="s">
        <v>228</v>
      </c>
      <c r="H143">
        <v>0</v>
      </c>
      <c r="I143" t="s">
        <v>13</v>
      </c>
    </row>
    <row r="144" spans="1:9" x14ac:dyDescent="0.35">
      <c r="A144">
        <v>6533133</v>
      </c>
      <c r="B144" t="s">
        <v>9</v>
      </c>
      <c r="C144" t="s">
        <v>647</v>
      </c>
      <c r="D144" s="2">
        <v>46022</v>
      </c>
      <c r="E144" s="2">
        <v>46022</v>
      </c>
      <c r="F144" t="s">
        <v>273</v>
      </c>
      <c r="G144" t="s">
        <v>230</v>
      </c>
      <c r="H144">
        <v>0</v>
      </c>
      <c r="I144" t="s">
        <v>13</v>
      </c>
    </row>
    <row r="145" spans="1:9" x14ac:dyDescent="0.35">
      <c r="A145">
        <v>6533134</v>
      </c>
      <c r="B145" t="s">
        <v>9</v>
      </c>
      <c r="C145" t="s">
        <v>647</v>
      </c>
      <c r="D145" s="2">
        <v>46022</v>
      </c>
      <c r="E145" s="2">
        <v>46022</v>
      </c>
      <c r="F145" t="s">
        <v>274</v>
      </c>
      <c r="G145" t="s">
        <v>232</v>
      </c>
      <c r="H145">
        <v>0</v>
      </c>
      <c r="I145" t="s">
        <v>13</v>
      </c>
    </row>
    <row r="146" spans="1:9" x14ac:dyDescent="0.35">
      <c r="A146">
        <v>6533135</v>
      </c>
      <c r="B146" t="s">
        <v>9</v>
      </c>
      <c r="C146" t="s">
        <v>647</v>
      </c>
      <c r="D146" s="2">
        <v>46022</v>
      </c>
      <c r="E146" s="2">
        <v>46022</v>
      </c>
      <c r="F146" t="s">
        <v>275</v>
      </c>
      <c r="G146" t="s">
        <v>276</v>
      </c>
      <c r="H146">
        <v>0</v>
      </c>
      <c r="I146" t="s">
        <v>13</v>
      </c>
    </row>
    <row r="147" spans="1:9" x14ac:dyDescent="0.35">
      <c r="A147">
        <v>6533136</v>
      </c>
      <c r="B147" t="s">
        <v>9</v>
      </c>
      <c r="C147" t="s">
        <v>647</v>
      </c>
      <c r="D147" s="2">
        <v>46022</v>
      </c>
      <c r="E147" s="2">
        <v>46022</v>
      </c>
      <c r="F147" t="s">
        <v>277</v>
      </c>
      <c r="G147" t="s">
        <v>278</v>
      </c>
      <c r="H147">
        <v>0</v>
      </c>
      <c r="I147" t="s">
        <v>13</v>
      </c>
    </row>
    <row r="148" spans="1:9" x14ac:dyDescent="0.35">
      <c r="A148">
        <v>6533137</v>
      </c>
      <c r="B148" t="s">
        <v>9</v>
      </c>
      <c r="C148" t="s">
        <v>647</v>
      </c>
      <c r="D148" s="2">
        <v>46022</v>
      </c>
      <c r="E148" s="2">
        <v>46022</v>
      </c>
      <c r="F148" t="s">
        <v>279</v>
      </c>
      <c r="G148" t="s">
        <v>280</v>
      </c>
      <c r="H148">
        <v>0</v>
      </c>
      <c r="I148" t="s">
        <v>13</v>
      </c>
    </row>
    <row r="149" spans="1:9" x14ac:dyDescent="0.35">
      <c r="A149">
        <v>6533138</v>
      </c>
      <c r="B149" t="s">
        <v>9</v>
      </c>
      <c r="C149" t="s">
        <v>647</v>
      </c>
      <c r="D149" s="2">
        <v>46022</v>
      </c>
      <c r="E149" s="2">
        <v>46022</v>
      </c>
      <c r="F149" t="s">
        <v>281</v>
      </c>
      <c r="G149" t="s">
        <v>282</v>
      </c>
      <c r="H149">
        <v>0</v>
      </c>
      <c r="I149" t="s">
        <v>13</v>
      </c>
    </row>
    <row r="150" spans="1:9" x14ac:dyDescent="0.35">
      <c r="A150">
        <v>6533139</v>
      </c>
      <c r="B150" t="s">
        <v>9</v>
      </c>
      <c r="C150" t="s">
        <v>647</v>
      </c>
      <c r="D150" s="2">
        <v>46022</v>
      </c>
      <c r="E150" s="2">
        <v>46022</v>
      </c>
      <c r="F150" t="s">
        <v>283</v>
      </c>
      <c r="G150" t="s">
        <v>284</v>
      </c>
      <c r="H150">
        <v>3323759</v>
      </c>
      <c r="I150" t="s">
        <v>13</v>
      </c>
    </row>
    <row r="151" spans="1:9" x14ac:dyDescent="0.35">
      <c r="A151">
        <v>6533140</v>
      </c>
      <c r="B151" t="s">
        <v>9</v>
      </c>
      <c r="C151" t="s">
        <v>647</v>
      </c>
      <c r="D151" s="2">
        <v>46022</v>
      </c>
      <c r="E151" s="2">
        <v>46022</v>
      </c>
      <c r="F151" t="s">
        <v>285</v>
      </c>
      <c r="G151" t="s">
        <v>286</v>
      </c>
      <c r="H151">
        <v>3056885</v>
      </c>
      <c r="I151" t="s">
        <v>13</v>
      </c>
    </row>
    <row r="152" spans="1:9" x14ac:dyDescent="0.35">
      <c r="A152">
        <v>6533141</v>
      </c>
      <c r="B152" t="s">
        <v>9</v>
      </c>
      <c r="C152" t="s">
        <v>647</v>
      </c>
      <c r="D152" s="2">
        <v>46022</v>
      </c>
      <c r="E152" s="2">
        <v>46022</v>
      </c>
      <c r="F152" t="s">
        <v>287</v>
      </c>
      <c r="G152" t="s">
        <v>288</v>
      </c>
      <c r="H152">
        <v>223260</v>
      </c>
      <c r="I152" t="s">
        <v>13</v>
      </c>
    </row>
    <row r="153" spans="1:9" x14ac:dyDescent="0.35">
      <c r="A153">
        <v>6533142</v>
      </c>
      <c r="B153" t="s">
        <v>9</v>
      </c>
      <c r="C153" t="s">
        <v>647</v>
      </c>
      <c r="D153" s="2">
        <v>46022</v>
      </c>
      <c r="E153" s="2">
        <v>46022</v>
      </c>
      <c r="F153" t="s">
        <v>289</v>
      </c>
      <c r="G153" t="s">
        <v>290</v>
      </c>
      <c r="H153">
        <v>0</v>
      </c>
      <c r="I153" t="s">
        <v>13</v>
      </c>
    </row>
    <row r="154" spans="1:9" x14ac:dyDescent="0.35">
      <c r="A154">
        <v>6533143</v>
      </c>
      <c r="B154" t="s">
        <v>9</v>
      </c>
      <c r="C154" t="s">
        <v>647</v>
      </c>
      <c r="D154" s="2">
        <v>46022</v>
      </c>
      <c r="E154" s="2">
        <v>46022</v>
      </c>
      <c r="F154" t="s">
        <v>291</v>
      </c>
      <c r="G154" t="s">
        <v>292</v>
      </c>
      <c r="H154">
        <v>0</v>
      </c>
      <c r="I154" t="s">
        <v>13</v>
      </c>
    </row>
    <row r="155" spans="1:9" x14ac:dyDescent="0.35">
      <c r="A155">
        <v>6533144</v>
      </c>
      <c r="B155" t="s">
        <v>9</v>
      </c>
      <c r="C155" t="s">
        <v>647</v>
      </c>
      <c r="D155" s="2">
        <v>46022</v>
      </c>
      <c r="E155" s="2">
        <v>46022</v>
      </c>
      <c r="F155" t="s">
        <v>293</v>
      </c>
      <c r="G155" t="s">
        <v>294</v>
      </c>
      <c r="H155">
        <v>0</v>
      </c>
      <c r="I155" t="s">
        <v>13</v>
      </c>
    </row>
    <row r="156" spans="1:9" x14ac:dyDescent="0.35">
      <c r="A156">
        <v>6533145</v>
      </c>
      <c r="B156" t="s">
        <v>9</v>
      </c>
      <c r="C156" t="s">
        <v>647</v>
      </c>
      <c r="D156" s="2">
        <v>46022</v>
      </c>
      <c r="E156" s="2">
        <v>46022</v>
      </c>
      <c r="F156" t="s">
        <v>295</v>
      </c>
      <c r="G156" t="s">
        <v>296</v>
      </c>
      <c r="H156">
        <v>0</v>
      </c>
      <c r="I156" t="s">
        <v>13</v>
      </c>
    </row>
    <row r="157" spans="1:9" x14ac:dyDescent="0.35">
      <c r="A157">
        <v>6533146</v>
      </c>
      <c r="B157" t="s">
        <v>9</v>
      </c>
      <c r="C157" t="s">
        <v>647</v>
      </c>
      <c r="D157" s="2">
        <v>46022</v>
      </c>
      <c r="E157" s="2">
        <v>46022</v>
      </c>
      <c r="F157" t="s">
        <v>297</v>
      </c>
      <c r="G157" t="s">
        <v>298</v>
      </c>
      <c r="H157">
        <v>0</v>
      </c>
      <c r="I157" t="s">
        <v>13</v>
      </c>
    </row>
    <row r="158" spans="1:9" x14ac:dyDescent="0.35">
      <c r="A158">
        <v>6533147</v>
      </c>
      <c r="B158" t="s">
        <v>9</v>
      </c>
      <c r="C158" t="s">
        <v>647</v>
      </c>
      <c r="D158" s="2">
        <v>46022</v>
      </c>
      <c r="E158" s="2">
        <v>46022</v>
      </c>
      <c r="F158" t="s">
        <v>299</v>
      </c>
      <c r="G158" t="s">
        <v>249</v>
      </c>
      <c r="H158">
        <v>0</v>
      </c>
      <c r="I158" t="s">
        <v>13</v>
      </c>
    </row>
    <row r="159" spans="1:9" x14ac:dyDescent="0.35">
      <c r="A159">
        <v>6533148</v>
      </c>
      <c r="B159" t="s">
        <v>9</v>
      </c>
      <c r="C159" t="s">
        <v>647</v>
      </c>
      <c r="D159" s="2">
        <v>46022</v>
      </c>
      <c r="E159" s="2">
        <v>46022</v>
      </c>
      <c r="F159" t="s">
        <v>308</v>
      </c>
      <c r="G159" t="s">
        <v>309</v>
      </c>
      <c r="H159">
        <v>0</v>
      </c>
      <c r="I159" t="s">
        <v>13</v>
      </c>
    </row>
    <row r="160" spans="1:9" x14ac:dyDescent="0.35">
      <c r="A160">
        <v>6533149</v>
      </c>
      <c r="B160" t="s">
        <v>9</v>
      </c>
      <c r="C160" t="s">
        <v>647</v>
      </c>
      <c r="D160" s="2">
        <v>46022</v>
      </c>
      <c r="E160" s="2">
        <v>46022</v>
      </c>
      <c r="F160" t="s">
        <v>310</v>
      </c>
      <c r="G160" t="s">
        <v>311</v>
      </c>
      <c r="H160">
        <v>258067</v>
      </c>
      <c r="I160" t="s">
        <v>13</v>
      </c>
    </row>
    <row r="161" spans="1:9" x14ac:dyDescent="0.35">
      <c r="A161">
        <v>6533150</v>
      </c>
      <c r="B161" t="s">
        <v>9</v>
      </c>
      <c r="C161" t="s">
        <v>647</v>
      </c>
      <c r="D161" s="2">
        <v>46022</v>
      </c>
      <c r="E161" s="2">
        <v>46022</v>
      </c>
      <c r="F161" t="s">
        <v>312</v>
      </c>
      <c r="G161" t="s">
        <v>313</v>
      </c>
      <c r="H161">
        <v>258067</v>
      </c>
      <c r="I161" t="s">
        <v>13</v>
      </c>
    </row>
    <row r="162" spans="1:9" x14ac:dyDescent="0.35">
      <c r="A162">
        <v>6533151</v>
      </c>
      <c r="B162" t="s">
        <v>9</v>
      </c>
      <c r="C162" t="s">
        <v>647</v>
      </c>
      <c r="D162" s="2">
        <v>46022</v>
      </c>
      <c r="E162" s="2">
        <v>46022</v>
      </c>
      <c r="F162" t="s">
        <v>314</v>
      </c>
      <c r="G162" t="s">
        <v>315</v>
      </c>
      <c r="H162">
        <v>0</v>
      </c>
      <c r="I162" t="s">
        <v>13</v>
      </c>
    </row>
    <row r="163" spans="1:9" x14ac:dyDescent="0.35">
      <c r="A163">
        <v>6533152</v>
      </c>
      <c r="B163" t="s">
        <v>9</v>
      </c>
      <c r="C163" t="s">
        <v>647</v>
      </c>
      <c r="D163" s="2">
        <v>46022</v>
      </c>
      <c r="E163" s="2">
        <v>46022</v>
      </c>
      <c r="F163" t="s">
        <v>316</v>
      </c>
      <c r="G163" t="s">
        <v>317</v>
      </c>
      <c r="H163">
        <v>0</v>
      </c>
      <c r="I163" t="s">
        <v>13</v>
      </c>
    </row>
    <row r="164" spans="1:9" x14ac:dyDescent="0.35">
      <c r="A164">
        <v>6533153</v>
      </c>
      <c r="B164" t="s">
        <v>9</v>
      </c>
      <c r="C164" t="s">
        <v>647</v>
      </c>
      <c r="D164" s="2">
        <v>46022</v>
      </c>
      <c r="E164" s="2">
        <v>46022</v>
      </c>
      <c r="F164" t="s">
        <v>318</v>
      </c>
      <c r="G164" t="s">
        <v>319</v>
      </c>
      <c r="H164">
        <v>0</v>
      </c>
      <c r="I164" t="s">
        <v>13</v>
      </c>
    </row>
    <row r="165" spans="1:9" x14ac:dyDescent="0.35">
      <c r="A165">
        <v>6533154</v>
      </c>
      <c r="B165" t="s">
        <v>9</v>
      </c>
      <c r="C165" t="s">
        <v>647</v>
      </c>
      <c r="D165" s="2">
        <v>46022</v>
      </c>
      <c r="E165" s="2">
        <v>46022</v>
      </c>
      <c r="F165" t="s">
        <v>320</v>
      </c>
      <c r="G165" t="s">
        <v>321</v>
      </c>
      <c r="H165">
        <v>0</v>
      </c>
      <c r="I165" t="s">
        <v>13</v>
      </c>
    </row>
    <row r="166" spans="1:9" x14ac:dyDescent="0.35">
      <c r="A166">
        <v>6533155</v>
      </c>
      <c r="B166" t="s">
        <v>9</v>
      </c>
      <c r="C166" t="s">
        <v>647</v>
      </c>
      <c r="D166" s="2">
        <v>46022</v>
      </c>
      <c r="E166" s="2">
        <v>46022</v>
      </c>
      <c r="F166" t="s">
        <v>322</v>
      </c>
      <c r="G166" t="s">
        <v>323</v>
      </c>
      <c r="H166">
        <v>0</v>
      </c>
      <c r="I166" t="s">
        <v>13</v>
      </c>
    </row>
    <row r="167" spans="1:9" x14ac:dyDescent="0.35">
      <c r="A167">
        <v>6533156</v>
      </c>
      <c r="B167" t="s">
        <v>9</v>
      </c>
      <c r="C167" t="s">
        <v>647</v>
      </c>
      <c r="D167" s="2">
        <v>46022</v>
      </c>
      <c r="E167" s="2">
        <v>46022</v>
      </c>
      <c r="F167" t="s">
        <v>324</v>
      </c>
      <c r="G167" t="s">
        <v>325</v>
      </c>
      <c r="H167">
        <v>0</v>
      </c>
      <c r="I167" t="s">
        <v>13</v>
      </c>
    </row>
    <row r="168" spans="1:9" x14ac:dyDescent="0.35">
      <c r="A168">
        <v>6533157</v>
      </c>
      <c r="B168" t="s">
        <v>9</v>
      </c>
      <c r="C168" t="s">
        <v>647</v>
      </c>
      <c r="D168" s="2">
        <v>46022</v>
      </c>
      <c r="E168" s="2">
        <v>46022</v>
      </c>
      <c r="F168" t="s">
        <v>326</v>
      </c>
      <c r="G168" t="s">
        <v>327</v>
      </c>
      <c r="H168">
        <v>0</v>
      </c>
      <c r="I168" t="s">
        <v>13</v>
      </c>
    </row>
    <row r="169" spans="1:9" x14ac:dyDescent="0.35">
      <c r="A169">
        <v>6533158</v>
      </c>
      <c r="B169" t="s">
        <v>9</v>
      </c>
      <c r="C169" t="s">
        <v>647</v>
      </c>
      <c r="D169" s="2">
        <v>46022</v>
      </c>
      <c r="E169" s="2">
        <v>46022</v>
      </c>
      <c r="F169" t="s">
        <v>328</v>
      </c>
      <c r="G169" t="s">
        <v>298</v>
      </c>
      <c r="H169">
        <v>0</v>
      </c>
      <c r="I169" t="s">
        <v>13</v>
      </c>
    </row>
    <row r="170" spans="1:9" x14ac:dyDescent="0.35">
      <c r="A170">
        <v>6533159</v>
      </c>
      <c r="B170" t="s">
        <v>9</v>
      </c>
      <c r="C170" t="s">
        <v>647</v>
      </c>
      <c r="D170" s="2">
        <v>46022</v>
      </c>
      <c r="E170" s="2">
        <v>46022</v>
      </c>
      <c r="F170" t="s">
        <v>618</v>
      </c>
      <c r="G170" t="s">
        <v>619</v>
      </c>
      <c r="H170">
        <v>0</v>
      </c>
      <c r="I170" t="s">
        <v>13</v>
      </c>
    </row>
    <row r="171" spans="1:9" x14ac:dyDescent="0.35">
      <c r="A171">
        <v>6533160</v>
      </c>
      <c r="B171" t="s">
        <v>9</v>
      </c>
      <c r="C171" t="s">
        <v>647</v>
      </c>
      <c r="D171" s="2">
        <v>46022</v>
      </c>
      <c r="E171" s="2">
        <v>46022</v>
      </c>
      <c r="F171" t="s">
        <v>329</v>
      </c>
      <c r="G171" t="s">
        <v>330</v>
      </c>
      <c r="H171">
        <v>0</v>
      </c>
      <c r="I171" t="s">
        <v>13</v>
      </c>
    </row>
    <row r="172" spans="1:9" x14ac:dyDescent="0.35">
      <c r="A172">
        <v>6533161</v>
      </c>
      <c r="B172" t="s">
        <v>9</v>
      </c>
      <c r="C172" t="s">
        <v>647</v>
      </c>
      <c r="D172" s="2">
        <v>46022</v>
      </c>
      <c r="E172" s="2">
        <v>46022</v>
      </c>
      <c r="F172" t="s">
        <v>331</v>
      </c>
      <c r="G172" t="s">
        <v>332</v>
      </c>
      <c r="H172">
        <v>0</v>
      </c>
      <c r="I172" t="s">
        <v>13</v>
      </c>
    </row>
    <row r="173" spans="1:9" x14ac:dyDescent="0.35">
      <c r="A173">
        <v>6533162</v>
      </c>
      <c r="B173" t="s">
        <v>9</v>
      </c>
      <c r="C173" t="s">
        <v>647</v>
      </c>
      <c r="D173" s="2">
        <v>46022</v>
      </c>
      <c r="E173" s="2">
        <v>46022</v>
      </c>
      <c r="F173" t="s">
        <v>333</v>
      </c>
      <c r="G173" t="s">
        <v>334</v>
      </c>
      <c r="H173">
        <v>0</v>
      </c>
      <c r="I173" t="s">
        <v>13</v>
      </c>
    </row>
    <row r="174" spans="1:9" x14ac:dyDescent="0.35">
      <c r="A174">
        <v>6533163</v>
      </c>
      <c r="B174" t="s">
        <v>9</v>
      </c>
      <c r="C174" t="s">
        <v>647</v>
      </c>
      <c r="D174" s="2">
        <v>46022</v>
      </c>
      <c r="E174" s="2">
        <v>46022</v>
      </c>
      <c r="F174" t="s">
        <v>335</v>
      </c>
      <c r="G174" t="s">
        <v>336</v>
      </c>
      <c r="H174">
        <v>-214308</v>
      </c>
      <c r="I174" t="s">
        <v>13</v>
      </c>
    </row>
    <row r="175" spans="1:9" x14ac:dyDescent="0.35">
      <c r="A175">
        <v>6533164</v>
      </c>
      <c r="B175" t="s">
        <v>9</v>
      </c>
      <c r="C175" t="s">
        <v>647</v>
      </c>
      <c r="D175" s="2">
        <v>46022</v>
      </c>
      <c r="E175" s="2">
        <v>46022</v>
      </c>
      <c r="F175" t="s">
        <v>344</v>
      </c>
      <c r="G175" t="s">
        <v>345</v>
      </c>
      <c r="H175">
        <v>-145</v>
      </c>
      <c r="I175" t="s">
        <v>13</v>
      </c>
    </row>
    <row r="176" spans="1:9" x14ac:dyDescent="0.35">
      <c r="A176">
        <v>6533165</v>
      </c>
      <c r="B176" t="s">
        <v>9</v>
      </c>
      <c r="C176" t="s">
        <v>647</v>
      </c>
      <c r="D176" s="2">
        <v>45658</v>
      </c>
      <c r="E176" s="2">
        <v>46022</v>
      </c>
      <c r="F176" t="s">
        <v>346</v>
      </c>
      <c r="G176" s="3" t="s">
        <v>347</v>
      </c>
      <c r="H176">
        <v>4564874</v>
      </c>
      <c r="I176" t="s">
        <v>13</v>
      </c>
    </row>
    <row r="177" spans="1:9" x14ac:dyDescent="0.35">
      <c r="A177">
        <v>6533166</v>
      </c>
      <c r="B177" t="s">
        <v>9</v>
      </c>
      <c r="C177" t="s">
        <v>647</v>
      </c>
      <c r="D177" s="2">
        <v>45658</v>
      </c>
      <c r="E177" s="2">
        <v>46022</v>
      </c>
      <c r="F177" t="s">
        <v>348</v>
      </c>
      <c r="G177" s="3" t="s">
        <v>349</v>
      </c>
      <c r="H177">
        <v>-2183228</v>
      </c>
      <c r="I177" t="s">
        <v>13</v>
      </c>
    </row>
    <row r="178" spans="1:9" x14ac:dyDescent="0.35">
      <c r="A178">
        <v>6533167</v>
      </c>
      <c r="B178" t="s">
        <v>9</v>
      </c>
      <c r="C178" t="s">
        <v>647</v>
      </c>
      <c r="D178" s="2">
        <v>45658</v>
      </c>
      <c r="E178" s="2">
        <v>46022</v>
      </c>
      <c r="F178" t="s">
        <v>350</v>
      </c>
      <c r="G178" s="3" t="s">
        <v>351</v>
      </c>
      <c r="H178">
        <v>2381646</v>
      </c>
      <c r="I178" t="s">
        <v>13</v>
      </c>
    </row>
    <row r="179" spans="1:9" x14ac:dyDescent="0.35">
      <c r="A179">
        <v>6533168</v>
      </c>
      <c r="B179" t="s">
        <v>9</v>
      </c>
      <c r="C179" t="s">
        <v>647</v>
      </c>
      <c r="D179" s="2">
        <v>45658</v>
      </c>
      <c r="E179" s="2">
        <v>46022</v>
      </c>
      <c r="F179" t="s">
        <v>352</v>
      </c>
      <c r="G179" s="3" t="s">
        <v>353</v>
      </c>
      <c r="H179">
        <v>-1786898</v>
      </c>
      <c r="I179" t="s">
        <v>13</v>
      </c>
    </row>
    <row r="180" spans="1:9" x14ac:dyDescent="0.35">
      <c r="A180">
        <v>6533169</v>
      </c>
      <c r="B180" t="s">
        <v>9</v>
      </c>
      <c r="C180" t="s">
        <v>647</v>
      </c>
      <c r="D180" s="2">
        <v>45658</v>
      </c>
      <c r="E180" s="2">
        <v>46022</v>
      </c>
      <c r="F180" t="s">
        <v>354</v>
      </c>
      <c r="G180" s="3" t="s">
        <v>355</v>
      </c>
      <c r="H180">
        <v>-1357043</v>
      </c>
      <c r="I180" t="s">
        <v>13</v>
      </c>
    </row>
    <row r="181" spans="1:9" x14ac:dyDescent="0.35">
      <c r="A181">
        <v>6533170</v>
      </c>
      <c r="B181" t="s">
        <v>9</v>
      </c>
      <c r="C181" t="s">
        <v>647</v>
      </c>
      <c r="D181" s="2">
        <v>45658</v>
      </c>
      <c r="E181" s="2">
        <v>46022</v>
      </c>
      <c r="F181" t="s">
        <v>356</v>
      </c>
      <c r="G181" s="3" t="s">
        <v>357</v>
      </c>
      <c r="H181">
        <v>-273831</v>
      </c>
      <c r="I181" t="s">
        <v>13</v>
      </c>
    </row>
    <row r="182" spans="1:9" x14ac:dyDescent="0.35">
      <c r="A182">
        <v>6533171</v>
      </c>
      <c r="B182" t="s">
        <v>9</v>
      </c>
      <c r="C182" t="s">
        <v>647</v>
      </c>
      <c r="D182" s="2">
        <v>45658</v>
      </c>
      <c r="E182" s="2">
        <v>46022</v>
      </c>
      <c r="F182" t="s">
        <v>358</v>
      </c>
      <c r="G182" s="3" t="s">
        <v>359</v>
      </c>
      <c r="H182">
        <v>-11783</v>
      </c>
      <c r="I182" t="s">
        <v>13</v>
      </c>
    </row>
    <row r="183" spans="1:9" x14ac:dyDescent="0.35">
      <c r="A183">
        <v>6533172</v>
      </c>
      <c r="B183" t="s">
        <v>9</v>
      </c>
      <c r="C183" t="s">
        <v>647</v>
      </c>
      <c r="D183" s="2">
        <v>45658</v>
      </c>
      <c r="E183" s="2">
        <v>46022</v>
      </c>
      <c r="F183" t="s">
        <v>360</v>
      </c>
      <c r="G183" s="3" t="s">
        <v>361</v>
      </c>
      <c r="H183">
        <v>-190568</v>
      </c>
      <c r="I183" t="s">
        <v>13</v>
      </c>
    </row>
    <row r="184" spans="1:9" x14ac:dyDescent="0.35">
      <c r="A184">
        <v>6533173</v>
      </c>
      <c r="B184" t="s">
        <v>9</v>
      </c>
      <c r="C184" t="s">
        <v>647</v>
      </c>
      <c r="D184" s="2">
        <v>45658</v>
      </c>
      <c r="E184" s="2">
        <v>46022</v>
      </c>
      <c r="F184" t="s">
        <v>620</v>
      </c>
      <c r="G184" s="3" t="s">
        <v>621</v>
      </c>
      <c r="H184">
        <v>-190568</v>
      </c>
      <c r="I184" t="s">
        <v>13</v>
      </c>
    </row>
    <row r="185" spans="1:9" x14ac:dyDescent="0.35">
      <c r="A185">
        <v>6533174</v>
      </c>
      <c r="B185" t="s">
        <v>9</v>
      </c>
      <c r="C185" t="s">
        <v>647</v>
      </c>
      <c r="D185" s="2">
        <v>45658</v>
      </c>
      <c r="E185" s="2">
        <v>46022</v>
      </c>
      <c r="F185" t="s">
        <v>362</v>
      </c>
      <c r="G185" s="3" t="s">
        <v>363</v>
      </c>
      <c r="H185">
        <v>0</v>
      </c>
      <c r="I185" t="s">
        <v>13</v>
      </c>
    </row>
    <row r="186" spans="1:9" x14ac:dyDescent="0.35">
      <c r="A186">
        <v>6533175</v>
      </c>
      <c r="B186" t="s">
        <v>9</v>
      </c>
      <c r="C186" t="s">
        <v>647</v>
      </c>
      <c r="D186" s="2">
        <v>45658</v>
      </c>
      <c r="E186" s="2">
        <v>46022</v>
      </c>
      <c r="F186" t="s">
        <v>367</v>
      </c>
      <c r="G186" s="3" t="s">
        <v>368</v>
      </c>
      <c r="H186">
        <v>46327</v>
      </c>
      <c r="I186" t="s">
        <v>13</v>
      </c>
    </row>
    <row r="187" spans="1:9" x14ac:dyDescent="0.35">
      <c r="A187">
        <v>6533176</v>
      </c>
      <c r="B187" t="s">
        <v>9</v>
      </c>
      <c r="C187" t="s">
        <v>647</v>
      </c>
      <c r="D187" s="2">
        <v>45658</v>
      </c>
      <c r="E187" s="2">
        <v>46022</v>
      </c>
      <c r="F187" t="s">
        <v>369</v>
      </c>
      <c r="G187" s="3" t="s">
        <v>370</v>
      </c>
      <c r="H187">
        <v>594748</v>
      </c>
      <c r="I187" t="s">
        <v>13</v>
      </c>
    </row>
    <row r="188" spans="1:9" x14ac:dyDescent="0.35">
      <c r="A188">
        <v>6533177</v>
      </c>
      <c r="B188" t="s">
        <v>9</v>
      </c>
      <c r="C188" t="s">
        <v>647</v>
      </c>
      <c r="D188" s="2">
        <v>45658</v>
      </c>
      <c r="E188" s="2">
        <v>46022</v>
      </c>
      <c r="F188" t="s">
        <v>371</v>
      </c>
      <c r="G188" s="3" t="s">
        <v>372</v>
      </c>
      <c r="H188">
        <v>-37128</v>
      </c>
      <c r="I188" t="s">
        <v>13</v>
      </c>
    </row>
    <row r="189" spans="1:9" x14ac:dyDescent="0.35">
      <c r="A189">
        <v>6533178</v>
      </c>
      <c r="B189" t="s">
        <v>9</v>
      </c>
      <c r="C189" t="s">
        <v>647</v>
      </c>
      <c r="D189" s="2">
        <v>45658</v>
      </c>
      <c r="E189" s="2">
        <v>46022</v>
      </c>
      <c r="F189" t="s">
        <v>373</v>
      </c>
      <c r="G189" s="3" t="s">
        <v>374</v>
      </c>
      <c r="H189">
        <v>130410</v>
      </c>
      <c r="I189" t="s">
        <v>13</v>
      </c>
    </row>
    <row r="190" spans="1:9" x14ac:dyDescent="0.35">
      <c r="A190">
        <v>6533179</v>
      </c>
      <c r="B190" t="s">
        <v>9</v>
      </c>
      <c r="C190" t="s">
        <v>647</v>
      </c>
      <c r="D190" s="2">
        <v>45658</v>
      </c>
      <c r="E190" s="2">
        <v>46022</v>
      </c>
      <c r="F190" t="s">
        <v>381</v>
      </c>
      <c r="G190" s="3" t="s">
        <v>382</v>
      </c>
      <c r="H190">
        <v>-167538</v>
      </c>
      <c r="I190" t="s">
        <v>13</v>
      </c>
    </row>
    <row r="191" spans="1:9" x14ac:dyDescent="0.35">
      <c r="A191">
        <v>6533180</v>
      </c>
      <c r="B191" t="s">
        <v>9</v>
      </c>
      <c r="C191" t="s">
        <v>647</v>
      </c>
      <c r="D191" s="2">
        <v>45658</v>
      </c>
      <c r="E191" s="2">
        <v>46022</v>
      </c>
      <c r="F191" t="s">
        <v>383</v>
      </c>
      <c r="G191" s="3" t="s">
        <v>382</v>
      </c>
      <c r="H191">
        <v>-143318</v>
      </c>
      <c r="I191" t="s">
        <v>13</v>
      </c>
    </row>
    <row r="192" spans="1:9" x14ac:dyDescent="0.35">
      <c r="A192">
        <v>6533181</v>
      </c>
      <c r="B192" t="s">
        <v>9</v>
      </c>
      <c r="C192" t="s">
        <v>647</v>
      </c>
      <c r="D192" s="2">
        <v>45658</v>
      </c>
      <c r="E192" s="2">
        <v>46022</v>
      </c>
      <c r="F192" t="s">
        <v>384</v>
      </c>
      <c r="G192" s="3" t="s">
        <v>622</v>
      </c>
      <c r="H192">
        <v>-24220</v>
      </c>
      <c r="I192" t="s">
        <v>13</v>
      </c>
    </row>
    <row r="193" spans="1:9" x14ac:dyDescent="0.35">
      <c r="A193">
        <v>6533182</v>
      </c>
      <c r="B193" t="s">
        <v>9</v>
      </c>
      <c r="C193" t="s">
        <v>647</v>
      </c>
      <c r="D193" s="2">
        <v>45658</v>
      </c>
      <c r="E193" s="2">
        <v>46022</v>
      </c>
      <c r="F193" t="s">
        <v>388</v>
      </c>
      <c r="G193" s="3" t="s">
        <v>389</v>
      </c>
      <c r="H193">
        <v>557620</v>
      </c>
      <c r="I193" t="s">
        <v>13</v>
      </c>
    </row>
    <row r="194" spans="1:9" x14ac:dyDescent="0.35">
      <c r="A194">
        <v>6533183</v>
      </c>
      <c r="B194" t="s">
        <v>9</v>
      </c>
      <c r="C194" t="s">
        <v>647</v>
      </c>
      <c r="D194" s="2">
        <v>45658</v>
      </c>
      <c r="E194" s="2">
        <v>46022</v>
      </c>
      <c r="F194" t="s">
        <v>390</v>
      </c>
      <c r="G194" s="3" t="s">
        <v>391</v>
      </c>
      <c r="H194">
        <v>10306</v>
      </c>
      <c r="I194" t="s">
        <v>13</v>
      </c>
    </row>
    <row r="195" spans="1:9" x14ac:dyDescent="0.35">
      <c r="A195">
        <v>6533184</v>
      </c>
      <c r="B195" t="s">
        <v>9</v>
      </c>
      <c r="C195" t="s">
        <v>647</v>
      </c>
      <c r="D195" s="2">
        <v>45658</v>
      </c>
      <c r="E195" s="2">
        <v>46022</v>
      </c>
      <c r="F195" t="s">
        <v>392</v>
      </c>
      <c r="G195" s="3" t="s">
        <v>393</v>
      </c>
      <c r="H195">
        <v>56830</v>
      </c>
      <c r="I195" t="s">
        <v>13</v>
      </c>
    </row>
    <row r="196" spans="1:9" x14ac:dyDescent="0.35">
      <c r="A196">
        <v>6533185</v>
      </c>
      <c r="B196" t="s">
        <v>9</v>
      </c>
      <c r="C196" t="s">
        <v>647</v>
      </c>
      <c r="D196" s="2">
        <v>45658</v>
      </c>
      <c r="E196" s="2">
        <v>46022</v>
      </c>
      <c r="F196" t="s">
        <v>394</v>
      </c>
      <c r="G196" s="3" t="s">
        <v>395</v>
      </c>
      <c r="H196">
        <v>-46524</v>
      </c>
      <c r="I196" t="s">
        <v>13</v>
      </c>
    </row>
    <row r="197" spans="1:9" x14ac:dyDescent="0.35">
      <c r="A197">
        <v>6533186</v>
      </c>
      <c r="B197" t="s">
        <v>9</v>
      </c>
      <c r="C197" t="s">
        <v>647</v>
      </c>
      <c r="D197" s="2">
        <v>45658</v>
      </c>
      <c r="E197" s="2">
        <v>46022</v>
      </c>
      <c r="F197" t="s">
        <v>396</v>
      </c>
      <c r="G197" s="3" t="s">
        <v>397</v>
      </c>
      <c r="H197">
        <v>567926</v>
      </c>
      <c r="I197" t="s">
        <v>13</v>
      </c>
    </row>
    <row r="198" spans="1:9" x14ac:dyDescent="0.35">
      <c r="A198">
        <v>6533187</v>
      </c>
      <c r="B198" t="s">
        <v>9</v>
      </c>
      <c r="C198" t="s">
        <v>647</v>
      </c>
      <c r="D198" s="2">
        <v>45658</v>
      </c>
      <c r="E198" s="2">
        <v>46022</v>
      </c>
      <c r="F198" t="s">
        <v>398</v>
      </c>
      <c r="G198" s="3" t="s">
        <v>399</v>
      </c>
      <c r="H198">
        <v>0</v>
      </c>
      <c r="I198" t="s">
        <v>13</v>
      </c>
    </row>
    <row r="199" spans="1:9" x14ac:dyDescent="0.35">
      <c r="A199">
        <v>6533188</v>
      </c>
      <c r="B199" t="s">
        <v>9</v>
      </c>
      <c r="C199" t="s">
        <v>647</v>
      </c>
      <c r="D199" s="2">
        <v>45658</v>
      </c>
      <c r="E199" s="2">
        <v>46022</v>
      </c>
      <c r="F199" t="s">
        <v>400</v>
      </c>
      <c r="G199" s="3" t="s">
        <v>401</v>
      </c>
      <c r="H199">
        <v>0</v>
      </c>
      <c r="I199" t="s">
        <v>13</v>
      </c>
    </row>
    <row r="200" spans="1:9" x14ac:dyDescent="0.35">
      <c r="A200">
        <v>6533189</v>
      </c>
      <c r="B200" t="s">
        <v>9</v>
      </c>
      <c r="C200" t="s">
        <v>647</v>
      </c>
      <c r="D200" s="2">
        <v>45658</v>
      </c>
      <c r="E200" s="2">
        <v>46022</v>
      </c>
      <c r="F200" t="s">
        <v>402</v>
      </c>
      <c r="G200" s="3" t="s">
        <v>403</v>
      </c>
      <c r="H200">
        <v>0</v>
      </c>
      <c r="I200" t="s">
        <v>13</v>
      </c>
    </row>
    <row r="201" spans="1:9" x14ac:dyDescent="0.35">
      <c r="A201">
        <v>6533190</v>
      </c>
      <c r="B201" t="s">
        <v>9</v>
      </c>
      <c r="C201" t="s">
        <v>647</v>
      </c>
      <c r="D201" s="2">
        <v>45658</v>
      </c>
      <c r="E201" s="2">
        <v>46022</v>
      </c>
      <c r="F201" t="s">
        <v>406</v>
      </c>
      <c r="G201" s="3" t="s">
        <v>407</v>
      </c>
      <c r="H201">
        <v>567926</v>
      </c>
      <c r="I201" t="s">
        <v>13</v>
      </c>
    </row>
    <row r="202" spans="1:9" x14ac:dyDescent="0.35">
      <c r="A202">
        <v>6533191</v>
      </c>
      <c r="B202" t="s">
        <v>9</v>
      </c>
      <c r="C202" t="s">
        <v>647</v>
      </c>
      <c r="D202" s="2">
        <v>45658</v>
      </c>
      <c r="E202" s="2">
        <v>46022</v>
      </c>
      <c r="F202" t="s">
        <v>408</v>
      </c>
      <c r="G202" s="3" t="s">
        <v>409</v>
      </c>
      <c r="H202">
        <v>568809</v>
      </c>
      <c r="I202" t="s">
        <v>13</v>
      </c>
    </row>
    <row r="203" spans="1:9" x14ac:dyDescent="0.35">
      <c r="A203">
        <v>6533192</v>
      </c>
      <c r="B203" t="s">
        <v>9</v>
      </c>
      <c r="C203" t="s">
        <v>647</v>
      </c>
      <c r="D203" s="2">
        <v>45658</v>
      </c>
      <c r="E203" s="2">
        <v>46022</v>
      </c>
      <c r="F203" t="s">
        <v>410</v>
      </c>
      <c r="G203" s="3" t="s">
        <v>411</v>
      </c>
      <c r="H203">
        <v>-883</v>
      </c>
      <c r="I203" t="s">
        <v>13</v>
      </c>
    </row>
    <row r="204" spans="1:9" x14ac:dyDescent="0.35">
      <c r="A204">
        <v>6533193</v>
      </c>
      <c r="B204" t="s">
        <v>9</v>
      </c>
      <c r="C204" t="s">
        <v>647</v>
      </c>
      <c r="D204" s="2">
        <v>45658</v>
      </c>
      <c r="E204" s="2">
        <v>46022</v>
      </c>
      <c r="F204" t="s">
        <v>412</v>
      </c>
      <c r="G204" s="3" t="s">
        <v>413</v>
      </c>
      <c r="H204">
        <v>0</v>
      </c>
      <c r="I204" t="s">
        <v>13</v>
      </c>
    </row>
    <row r="205" spans="1:9" x14ac:dyDescent="0.35">
      <c r="A205">
        <v>6533194</v>
      </c>
      <c r="B205" t="s">
        <v>9</v>
      </c>
      <c r="C205" t="s">
        <v>647</v>
      </c>
      <c r="D205" s="2">
        <v>45658</v>
      </c>
      <c r="E205" s="2">
        <v>46022</v>
      </c>
      <c r="F205" t="s">
        <v>414</v>
      </c>
      <c r="G205" s="3" t="s">
        <v>415</v>
      </c>
      <c r="H205">
        <v>0</v>
      </c>
      <c r="I205" t="s">
        <v>13</v>
      </c>
    </row>
    <row r="206" spans="1:9" x14ac:dyDescent="0.35">
      <c r="A206">
        <v>6533195</v>
      </c>
      <c r="B206" t="s">
        <v>9</v>
      </c>
      <c r="C206" t="s">
        <v>647</v>
      </c>
      <c r="D206" s="2">
        <v>45658</v>
      </c>
      <c r="E206" s="2">
        <v>46022</v>
      </c>
      <c r="F206" t="s">
        <v>623</v>
      </c>
      <c r="G206" s="3" t="s">
        <v>624</v>
      </c>
      <c r="H206">
        <v>0</v>
      </c>
      <c r="I206" t="s">
        <v>13</v>
      </c>
    </row>
    <row r="207" spans="1:9" x14ac:dyDescent="0.35">
      <c r="A207">
        <v>6533196</v>
      </c>
      <c r="B207" t="s">
        <v>9</v>
      </c>
      <c r="C207" t="s">
        <v>647</v>
      </c>
      <c r="D207" s="2">
        <v>45658</v>
      </c>
      <c r="E207" s="2">
        <v>46022</v>
      </c>
      <c r="F207" t="s">
        <v>625</v>
      </c>
      <c r="G207" s="3" t="s">
        <v>626</v>
      </c>
      <c r="H207">
        <v>0</v>
      </c>
      <c r="I207" t="s">
        <v>13</v>
      </c>
    </row>
    <row r="208" spans="1:9" x14ac:dyDescent="0.35">
      <c r="A208">
        <v>6533197</v>
      </c>
      <c r="B208" t="s">
        <v>9</v>
      </c>
      <c r="C208" t="s">
        <v>647</v>
      </c>
      <c r="D208" s="2">
        <v>45658</v>
      </c>
      <c r="E208" s="2">
        <v>46022</v>
      </c>
      <c r="F208" t="s">
        <v>416</v>
      </c>
      <c r="G208" s="3" t="s">
        <v>417</v>
      </c>
      <c r="H208">
        <v>0</v>
      </c>
      <c r="I208" t="s">
        <v>13</v>
      </c>
    </row>
    <row r="209" spans="1:9" x14ac:dyDescent="0.35">
      <c r="A209">
        <v>6533198</v>
      </c>
      <c r="B209" t="s">
        <v>9</v>
      </c>
      <c r="C209" t="s">
        <v>647</v>
      </c>
      <c r="D209" s="2">
        <v>45658</v>
      </c>
      <c r="E209" s="2">
        <v>46022</v>
      </c>
      <c r="F209" t="s">
        <v>627</v>
      </c>
      <c r="G209" s="3" t="s">
        <v>624</v>
      </c>
      <c r="H209">
        <v>0</v>
      </c>
      <c r="I209" t="s">
        <v>13</v>
      </c>
    </row>
    <row r="210" spans="1:9" x14ac:dyDescent="0.35">
      <c r="A210">
        <v>6533199</v>
      </c>
      <c r="B210" t="s">
        <v>9</v>
      </c>
      <c r="C210" t="s">
        <v>647</v>
      </c>
      <c r="D210" s="2">
        <v>45658</v>
      </c>
      <c r="E210" s="2">
        <v>46022</v>
      </c>
      <c r="F210" t="s">
        <v>628</v>
      </c>
      <c r="G210" s="3" t="s">
        <v>626</v>
      </c>
      <c r="H210">
        <v>0</v>
      </c>
      <c r="I210" t="s">
        <v>13</v>
      </c>
    </row>
    <row r="211" spans="1:9" x14ac:dyDescent="0.35">
      <c r="A211">
        <v>6533200</v>
      </c>
      <c r="B211" t="s">
        <v>9</v>
      </c>
      <c r="C211" t="s">
        <v>647</v>
      </c>
      <c r="D211" s="2">
        <v>45658</v>
      </c>
      <c r="E211" s="2">
        <v>46022</v>
      </c>
      <c r="F211" t="s">
        <v>418</v>
      </c>
      <c r="G211" t="s">
        <v>419</v>
      </c>
      <c r="H211">
        <v>612229</v>
      </c>
      <c r="I211" t="s">
        <v>13</v>
      </c>
    </row>
    <row r="212" spans="1:9" x14ac:dyDescent="0.35">
      <c r="A212">
        <v>6533201</v>
      </c>
      <c r="B212" t="s">
        <v>9</v>
      </c>
      <c r="C212" t="s">
        <v>647</v>
      </c>
      <c r="D212" s="2">
        <v>45658</v>
      </c>
      <c r="E212" s="2">
        <v>46022</v>
      </c>
      <c r="F212" t="s">
        <v>420</v>
      </c>
      <c r="G212" t="s">
        <v>421</v>
      </c>
      <c r="H212">
        <v>1025227</v>
      </c>
      <c r="I212" t="s">
        <v>13</v>
      </c>
    </row>
    <row r="213" spans="1:9" x14ac:dyDescent="0.35">
      <c r="A213">
        <v>6533202</v>
      </c>
      <c r="B213" t="s">
        <v>9</v>
      </c>
      <c r="C213" t="s">
        <v>647</v>
      </c>
      <c r="D213" s="2">
        <v>45658</v>
      </c>
      <c r="E213" s="2">
        <v>46022</v>
      </c>
      <c r="F213" t="s">
        <v>422</v>
      </c>
      <c r="G213" t="s">
        <v>423</v>
      </c>
      <c r="H213">
        <v>567926</v>
      </c>
      <c r="I213" t="s">
        <v>13</v>
      </c>
    </row>
    <row r="214" spans="1:9" x14ac:dyDescent="0.35">
      <c r="A214">
        <v>6533203</v>
      </c>
      <c r="B214" t="s">
        <v>9</v>
      </c>
      <c r="C214" t="s">
        <v>647</v>
      </c>
      <c r="D214" s="2">
        <v>45658</v>
      </c>
      <c r="E214" s="2">
        <v>46022</v>
      </c>
      <c r="F214" t="s">
        <v>424</v>
      </c>
      <c r="G214" s="3" t="s">
        <v>425</v>
      </c>
      <c r="H214">
        <v>216989</v>
      </c>
      <c r="I214" t="s">
        <v>13</v>
      </c>
    </row>
    <row r="215" spans="1:9" x14ac:dyDescent="0.35">
      <c r="A215">
        <v>6533204</v>
      </c>
      <c r="B215" t="s">
        <v>9</v>
      </c>
      <c r="C215" t="s">
        <v>647</v>
      </c>
      <c r="D215" s="2">
        <v>45658</v>
      </c>
      <c r="E215" s="2">
        <v>46022</v>
      </c>
      <c r="F215" t="s">
        <v>426</v>
      </c>
      <c r="G215" t="s">
        <v>427</v>
      </c>
      <c r="H215">
        <v>631</v>
      </c>
      <c r="I215" t="s">
        <v>13</v>
      </c>
    </row>
    <row r="216" spans="1:9" x14ac:dyDescent="0.35">
      <c r="A216">
        <v>6533205</v>
      </c>
      <c r="B216" t="s">
        <v>9</v>
      </c>
      <c r="C216" t="s">
        <v>647</v>
      </c>
      <c r="D216" s="2">
        <v>45658</v>
      </c>
      <c r="E216" s="2">
        <v>46022</v>
      </c>
      <c r="F216" t="s">
        <v>428</v>
      </c>
      <c r="G216" t="s">
        <v>458</v>
      </c>
      <c r="H216">
        <v>-46327</v>
      </c>
      <c r="I216" t="s">
        <v>13</v>
      </c>
    </row>
    <row r="217" spans="1:9" x14ac:dyDescent="0.35">
      <c r="A217">
        <v>6533206</v>
      </c>
      <c r="B217" t="s">
        <v>9</v>
      </c>
      <c r="C217" t="s">
        <v>647</v>
      </c>
      <c r="D217" s="2">
        <v>45658</v>
      </c>
      <c r="E217" s="2">
        <v>46022</v>
      </c>
      <c r="F217" t="s">
        <v>430</v>
      </c>
      <c r="G217" t="s">
        <v>429</v>
      </c>
      <c r="H217">
        <v>126906</v>
      </c>
      <c r="I217" t="s">
        <v>13</v>
      </c>
    </row>
    <row r="218" spans="1:9" x14ac:dyDescent="0.35">
      <c r="A218">
        <v>6533207</v>
      </c>
      <c r="B218" t="s">
        <v>9</v>
      </c>
      <c r="C218" t="s">
        <v>647</v>
      </c>
      <c r="D218" s="2">
        <v>45658</v>
      </c>
      <c r="E218" s="2">
        <v>46022</v>
      </c>
      <c r="F218" t="s">
        <v>432</v>
      </c>
      <c r="G218" t="s">
        <v>629</v>
      </c>
      <c r="H218">
        <v>47877</v>
      </c>
      <c r="I218" t="s">
        <v>13</v>
      </c>
    </row>
    <row r="219" spans="1:9" x14ac:dyDescent="0.35">
      <c r="A219">
        <v>6533208</v>
      </c>
      <c r="B219" t="s">
        <v>9</v>
      </c>
      <c r="C219" t="s">
        <v>647</v>
      </c>
      <c r="D219" s="2">
        <v>45658</v>
      </c>
      <c r="E219" s="2">
        <v>46022</v>
      </c>
      <c r="F219" t="s">
        <v>434</v>
      </c>
      <c r="G219" t="s">
        <v>433</v>
      </c>
      <c r="H219">
        <v>-10305</v>
      </c>
      <c r="I219" t="s">
        <v>13</v>
      </c>
    </row>
    <row r="220" spans="1:9" x14ac:dyDescent="0.35">
      <c r="A220">
        <v>6533209</v>
      </c>
      <c r="B220" t="s">
        <v>9</v>
      </c>
      <c r="C220" t="s">
        <v>647</v>
      </c>
      <c r="D220" s="2">
        <v>45658</v>
      </c>
      <c r="E220" s="2">
        <v>46022</v>
      </c>
      <c r="F220" t="s">
        <v>436</v>
      </c>
      <c r="G220" t="s">
        <v>630</v>
      </c>
      <c r="H220">
        <v>11783</v>
      </c>
      <c r="I220" t="s">
        <v>13</v>
      </c>
    </row>
    <row r="221" spans="1:9" x14ac:dyDescent="0.35">
      <c r="A221">
        <v>6533210</v>
      </c>
      <c r="B221" t="s">
        <v>9</v>
      </c>
      <c r="C221" t="s">
        <v>647</v>
      </c>
      <c r="D221" s="2">
        <v>45658</v>
      </c>
      <c r="E221" s="2">
        <v>46022</v>
      </c>
      <c r="F221" t="s">
        <v>438</v>
      </c>
      <c r="G221" t="s">
        <v>437</v>
      </c>
      <c r="H221">
        <v>27670</v>
      </c>
      <c r="I221" t="s">
        <v>13</v>
      </c>
    </row>
    <row r="222" spans="1:9" x14ac:dyDescent="0.35">
      <c r="A222">
        <v>6533211</v>
      </c>
      <c r="B222" t="s">
        <v>9</v>
      </c>
      <c r="C222" t="s">
        <v>647</v>
      </c>
      <c r="D222" s="2">
        <v>45658</v>
      </c>
      <c r="E222" s="2">
        <v>46022</v>
      </c>
      <c r="F222" t="s">
        <v>440</v>
      </c>
      <c r="G222" t="s">
        <v>631</v>
      </c>
      <c r="H222">
        <v>0</v>
      </c>
      <c r="I222" t="s">
        <v>13</v>
      </c>
    </row>
    <row r="223" spans="1:9" x14ac:dyDescent="0.35">
      <c r="A223">
        <v>6533212</v>
      </c>
      <c r="B223" t="s">
        <v>9</v>
      </c>
      <c r="C223" t="s">
        <v>647</v>
      </c>
      <c r="D223" s="2">
        <v>45658</v>
      </c>
      <c r="E223" s="2">
        <v>46022</v>
      </c>
      <c r="F223" t="s">
        <v>442</v>
      </c>
      <c r="G223" t="s">
        <v>632</v>
      </c>
      <c r="H223">
        <v>429</v>
      </c>
      <c r="I223" t="s">
        <v>13</v>
      </c>
    </row>
    <row r="224" spans="1:9" x14ac:dyDescent="0.35">
      <c r="A224">
        <v>6533213</v>
      </c>
      <c r="B224" t="s">
        <v>9</v>
      </c>
      <c r="C224" t="s">
        <v>647</v>
      </c>
      <c r="D224" s="2">
        <v>45658</v>
      </c>
      <c r="E224" s="2">
        <v>46022</v>
      </c>
      <c r="F224" t="s">
        <v>443</v>
      </c>
      <c r="G224" t="s">
        <v>220</v>
      </c>
      <c r="H224">
        <v>0</v>
      </c>
      <c r="I224" t="s">
        <v>13</v>
      </c>
    </row>
    <row r="225" spans="1:9" x14ac:dyDescent="0.35">
      <c r="A225">
        <v>6533214</v>
      </c>
      <c r="B225" t="s">
        <v>9</v>
      </c>
      <c r="C225" t="s">
        <v>647</v>
      </c>
      <c r="D225" s="2">
        <v>45658</v>
      </c>
      <c r="E225" s="2">
        <v>46022</v>
      </c>
      <c r="F225" t="s">
        <v>445</v>
      </c>
      <c r="G225" t="s">
        <v>446</v>
      </c>
      <c r="H225">
        <v>0</v>
      </c>
      <c r="I225" t="s">
        <v>13</v>
      </c>
    </row>
    <row r="226" spans="1:9" x14ac:dyDescent="0.35">
      <c r="A226">
        <v>6533215</v>
      </c>
      <c r="B226" t="s">
        <v>9</v>
      </c>
      <c r="C226" t="s">
        <v>647</v>
      </c>
      <c r="D226" s="2">
        <v>45658</v>
      </c>
      <c r="E226" s="2">
        <v>46022</v>
      </c>
      <c r="F226" t="s">
        <v>447</v>
      </c>
      <c r="G226" t="s">
        <v>456</v>
      </c>
      <c r="H226">
        <v>25628</v>
      </c>
      <c r="I226" t="s">
        <v>13</v>
      </c>
    </row>
    <row r="227" spans="1:9" x14ac:dyDescent="0.35">
      <c r="A227">
        <v>6533216</v>
      </c>
      <c r="B227" t="s">
        <v>9</v>
      </c>
      <c r="C227" t="s">
        <v>647</v>
      </c>
      <c r="D227" s="2">
        <v>45658</v>
      </c>
      <c r="E227" s="2">
        <v>46022</v>
      </c>
      <c r="F227" t="s">
        <v>449</v>
      </c>
      <c r="G227" t="s">
        <v>450</v>
      </c>
      <c r="H227">
        <v>14831</v>
      </c>
      <c r="I227" t="s">
        <v>13</v>
      </c>
    </row>
    <row r="228" spans="1:9" x14ac:dyDescent="0.35">
      <c r="A228">
        <v>6533217</v>
      </c>
      <c r="B228" t="s">
        <v>9</v>
      </c>
      <c r="C228" t="s">
        <v>647</v>
      </c>
      <c r="D228" s="2">
        <v>45658</v>
      </c>
      <c r="E228" s="2">
        <v>46022</v>
      </c>
      <c r="F228" t="s">
        <v>451</v>
      </c>
      <c r="G228" t="s">
        <v>633</v>
      </c>
      <c r="H228">
        <v>43545</v>
      </c>
      <c r="I228" t="s">
        <v>13</v>
      </c>
    </row>
    <row r="229" spans="1:9" x14ac:dyDescent="0.35">
      <c r="A229">
        <v>6533218</v>
      </c>
      <c r="B229" t="s">
        <v>9</v>
      </c>
      <c r="C229" t="s">
        <v>647</v>
      </c>
      <c r="D229" s="2">
        <v>45658</v>
      </c>
      <c r="E229" s="2">
        <v>46022</v>
      </c>
      <c r="F229" t="s">
        <v>453</v>
      </c>
      <c r="G229" t="s">
        <v>454</v>
      </c>
      <c r="H229">
        <v>-2356</v>
      </c>
      <c r="I229" t="s">
        <v>13</v>
      </c>
    </row>
    <row r="230" spans="1:9" x14ac:dyDescent="0.35">
      <c r="A230">
        <v>6533219</v>
      </c>
      <c r="B230" t="s">
        <v>9</v>
      </c>
      <c r="C230" t="s">
        <v>647</v>
      </c>
      <c r="D230" s="2">
        <v>45658</v>
      </c>
      <c r="E230" s="2">
        <v>46022</v>
      </c>
      <c r="F230" t="s">
        <v>455</v>
      </c>
      <c r="G230" t="s">
        <v>444</v>
      </c>
      <c r="H230">
        <v>0</v>
      </c>
      <c r="I230" t="s">
        <v>13</v>
      </c>
    </row>
    <row r="231" spans="1:9" x14ac:dyDescent="0.35">
      <c r="A231">
        <v>6533220</v>
      </c>
      <c r="B231" t="s">
        <v>9</v>
      </c>
      <c r="C231" t="s">
        <v>647</v>
      </c>
      <c r="D231" s="2">
        <v>45658</v>
      </c>
      <c r="E231" s="2">
        <v>46022</v>
      </c>
      <c r="F231" t="s">
        <v>457</v>
      </c>
      <c r="G231" t="s">
        <v>634</v>
      </c>
      <c r="H231">
        <v>0</v>
      </c>
      <c r="I231" t="s">
        <v>13</v>
      </c>
    </row>
    <row r="232" spans="1:9" x14ac:dyDescent="0.35">
      <c r="A232">
        <v>6533221</v>
      </c>
      <c r="B232" t="s">
        <v>9</v>
      </c>
      <c r="C232" t="s">
        <v>647</v>
      </c>
      <c r="D232" s="2">
        <v>45658</v>
      </c>
      <c r="E232" s="2">
        <v>46022</v>
      </c>
      <c r="F232" t="s">
        <v>459</v>
      </c>
      <c r="G232" t="s">
        <v>460</v>
      </c>
      <c r="H232">
        <v>-412998</v>
      </c>
      <c r="I232" t="s">
        <v>13</v>
      </c>
    </row>
    <row r="233" spans="1:9" x14ac:dyDescent="0.35">
      <c r="A233">
        <v>6533222</v>
      </c>
      <c r="B233" t="s">
        <v>9</v>
      </c>
      <c r="C233" t="s">
        <v>647</v>
      </c>
      <c r="D233" s="2">
        <v>45658</v>
      </c>
      <c r="E233" s="2">
        <v>46022</v>
      </c>
      <c r="F233" t="s">
        <v>461</v>
      </c>
      <c r="G233" t="s">
        <v>462</v>
      </c>
      <c r="H233">
        <v>-242692</v>
      </c>
      <c r="I233" t="s">
        <v>13</v>
      </c>
    </row>
    <row r="234" spans="1:9" x14ac:dyDescent="0.35">
      <c r="A234">
        <v>6533223</v>
      </c>
      <c r="B234" t="s">
        <v>9</v>
      </c>
      <c r="C234" t="s">
        <v>647</v>
      </c>
      <c r="D234" s="2">
        <v>45658</v>
      </c>
      <c r="E234" s="2">
        <v>46022</v>
      </c>
      <c r="F234" t="s">
        <v>463</v>
      </c>
      <c r="G234" t="s">
        <v>37</v>
      </c>
      <c r="H234">
        <v>-78942</v>
      </c>
      <c r="I234" t="s">
        <v>13</v>
      </c>
    </row>
    <row r="235" spans="1:9" x14ac:dyDescent="0.35">
      <c r="A235">
        <v>6533224</v>
      </c>
      <c r="B235" t="s">
        <v>9</v>
      </c>
      <c r="C235" t="s">
        <v>647</v>
      </c>
      <c r="D235" s="2">
        <v>45658</v>
      </c>
      <c r="E235" s="2">
        <v>46022</v>
      </c>
      <c r="F235" t="s">
        <v>464</v>
      </c>
      <c r="G235" t="s">
        <v>45</v>
      </c>
      <c r="H235">
        <v>9561</v>
      </c>
      <c r="I235" t="s">
        <v>13</v>
      </c>
    </row>
    <row r="236" spans="1:9" x14ac:dyDescent="0.35">
      <c r="A236">
        <v>6533225</v>
      </c>
      <c r="B236" t="s">
        <v>9</v>
      </c>
      <c r="C236" t="s">
        <v>647</v>
      </c>
      <c r="D236" s="2">
        <v>45658</v>
      </c>
      <c r="E236" s="2">
        <v>46022</v>
      </c>
      <c r="F236" t="s">
        <v>465</v>
      </c>
      <c r="G236" t="s">
        <v>466</v>
      </c>
      <c r="H236">
        <v>-136533</v>
      </c>
      <c r="I236" t="s">
        <v>13</v>
      </c>
    </row>
    <row r="237" spans="1:9" x14ac:dyDescent="0.35">
      <c r="A237">
        <v>6533226</v>
      </c>
      <c r="B237" t="s">
        <v>9</v>
      </c>
      <c r="C237" t="s">
        <v>647</v>
      </c>
      <c r="D237" s="2">
        <v>45658</v>
      </c>
      <c r="E237" s="2">
        <v>46022</v>
      </c>
      <c r="F237" t="s">
        <v>467</v>
      </c>
      <c r="G237" t="s">
        <v>148</v>
      </c>
      <c r="H237">
        <v>-11889</v>
      </c>
      <c r="I237" t="s">
        <v>13</v>
      </c>
    </row>
    <row r="238" spans="1:9" x14ac:dyDescent="0.35">
      <c r="A238">
        <v>6533227</v>
      </c>
      <c r="B238" t="s">
        <v>9</v>
      </c>
      <c r="C238" t="s">
        <v>647</v>
      </c>
      <c r="D238" s="2">
        <v>45658</v>
      </c>
      <c r="E238" s="2">
        <v>46022</v>
      </c>
      <c r="F238" t="s">
        <v>468</v>
      </c>
      <c r="G238" t="s">
        <v>469</v>
      </c>
      <c r="H238">
        <v>119390</v>
      </c>
      <c r="I238" t="s">
        <v>13</v>
      </c>
    </row>
    <row r="239" spans="1:9" x14ac:dyDescent="0.35">
      <c r="A239">
        <v>6533228</v>
      </c>
      <c r="B239" t="s">
        <v>9</v>
      </c>
      <c r="C239" t="s">
        <v>647</v>
      </c>
      <c r="D239" s="2">
        <v>45658</v>
      </c>
      <c r="E239" s="2">
        <v>46022</v>
      </c>
      <c r="F239" t="s">
        <v>470</v>
      </c>
      <c r="G239" t="s">
        <v>471</v>
      </c>
      <c r="H239">
        <v>47985</v>
      </c>
      <c r="I239" t="s">
        <v>13</v>
      </c>
    </row>
    <row r="240" spans="1:9" x14ac:dyDescent="0.35">
      <c r="A240">
        <v>6533229</v>
      </c>
      <c r="B240" t="s">
        <v>9</v>
      </c>
      <c r="C240" t="s">
        <v>647</v>
      </c>
      <c r="D240" s="2">
        <v>45658</v>
      </c>
      <c r="E240" s="2">
        <v>46022</v>
      </c>
      <c r="F240" t="s">
        <v>472</v>
      </c>
      <c r="G240" t="s">
        <v>635</v>
      </c>
      <c r="H240">
        <v>-79129</v>
      </c>
      <c r="I240" t="s">
        <v>13</v>
      </c>
    </row>
    <row r="241" spans="1:9" x14ac:dyDescent="0.35">
      <c r="A241">
        <v>6533230</v>
      </c>
      <c r="B241" t="s">
        <v>9</v>
      </c>
      <c r="C241" t="s">
        <v>647</v>
      </c>
      <c r="D241" s="2">
        <v>45658</v>
      </c>
      <c r="E241" s="2">
        <v>46022</v>
      </c>
      <c r="F241" t="s">
        <v>474</v>
      </c>
      <c r="G241" t="s">
        <v>636</v>
      </c>
      <c r="H241">
        <v>0</v>
      </c>
      <c r="I241" t="s">
        <v>13</v>
      </c>
    </row>
    <row r="242" spans="1:9" x14ac:dyDescent="0.35">
      <c r="A242">
        <v>6533231</v>
      </c>
      <c r="B242" t="s">
        <v>9</v>
      </c>
      <c r="C242" t="s">
        <v>647</v>
      </c>
      <c r="D242" s="2">
        <v>45658</v>
      </c>
      <c r="E242" s="2">
        <v>46022</v>
      </c>
      <c r="F242" t="s">
        <v>476</v>
      </c>
      <c r="G242" t="s">
        <v>477</v>
      </c>
      <c r="H242">
        <v>-64886</v>
      </c>
      <c r="I242" t="s">
        <v>13</v>
      </c>
    </row>
    <row r="243" spans="1:9" x14ac:dyDescent="0.35">
      <c r="A243">
        <v>6533232</v>
      </c>
      <c r="B243" t="s">
        <v>9</v>
      </c>
      <c r="C243" t="s">
        <v>647</v>
      </c>
      <c r="D243" s="2">
        <v>45658</v>
      </c>
      <c r="E243" s="2">
        <v>46022</v>
      </c>
      <c r="F243" t="s">
        <v>478</v>
      </c>
      <c r="G243" t="s">
        <v>479</v>
      </c>
      <c r="H243">
        <v>-37398</v>
      </c>
      <c r="I243" t="s">
        <v>13</v>
      </c>
    </row>
    <row r="244" spans="1:9" x14ac:dyDescent="0.35">
      <c r="A244">
        <v>6533233</v>
      </c>
      <c r="B244" t="s">
        <v>9</v>
      </c>
      <c r="C244" t="s">
        <v>647</v>
      </c>
      <c r="D244" s="2">
        <v>45658</v>
      </c>
      <c r="E244" s="2">
        <v>46022</v>
      </c>
      <c r="F244" t="s">
        <v>480</v>
      </c>
      <c r="G244" t="s">
        <v>202</v>
      </c>
      <c r="H244">
        <v>0</v>
      </c>
      <c r="I244" t="s">
        <v>13</v>
      </c>
    </row>
    <row r="245" spans="1:9" x14ac:dyDescent="0.35">
      <c r="A245">
        <v>6533234</v>
      </c>
      <c r="B245" t="s">
        <v>9</v>
      </c>
      <c r="C245" t="s">
        <v>647</v>
      </c>
      <c r="D245" s="2">
        <v>45658</v>
      </c>
      <c r="E245" s="2">
        <v>46022</v>
      </c>
      <c r="F245" t="s">
        <v>481</v>
      </c>
      <c r="G245" t="s">
        <v>484</v>
      </c>
      <c r="H245">
        <v>0</v>
      </c>
      <c r="I245" t="s">
        <v>13</v>
      </c>
    </row>
    <row r="246" spans="1:9" x14ac:dyDescent="0.35">
      <c r="A246">
        <v>6533235</v>
      </c>
      <c r="B246" t="s">
        <v>9</v>
      </c>
      <c r="C246" t="s">
        <v>647</v>
      </c>
      <c r="D246" s="2">
        <v>45658</v>
      </c>
      <c r="E246" s="2">
        <v>46022</v>
      </c>
      <c r="F246" t="s">
        <v>483</v>
      </c>
      <c r="G246" t="s">
        <v>486</v>
      </c>
      <c r="H246">
        <v>-11904</v>
      </c>
      <c r="I246" t="s">
        <v>13</v>
      </c>
    </row>
    <row r="247" spans="1:9" x14ac:dyDescent="0.35">
      <c r="A247">
        <v>6533236</v>
      </c>
      <c r="B247" t="s">
        <v>9</v>
      </c>
      <c r="C247" t="s">
        <v>647</v>
      </c>
      <c r="D247" s="2">
        <v>45658</v>
      </c>
      <c r="E247" s="2">
        <v>46022</v>
      </c>
      <c r="F247" t="s">
        <v>487</v>
      </c>
      <c r="G247" t="s">
        <v>177</v>
      </c>
      <c r="H247">
        <v>73439</v>
      </c>
      <c r="I247" t="s">
        <v>13</v>
      </c>
    </row>
    <row r="248" spans="1:9" x14ac:dyDescent="0.35">
      <c r="A248">
        <v>6533237</v>
      </c>
      <c r="B248" t="s">
        <v>9</v>
      </c>
      <c r="C248" t="s">
        <v>647</v>
      </c>
      <c r="D248" s="2">
        <v>45658</v>
      </c>
      <c r="E248" s="2">
        <v>46022</v>
      </c>
      <c r="F248" t="s">
        <v>489</v>
      </c>
      <c r="G248" t="s">
        <v>56</v>
      </c>
      <c r="H248">
        <v>0</v>
      </c>
      <c r="I248" t="s">
        <v>13</v>
      </c>
    </row>
    <row r="249" spans="1:9" x14ac:dyDescent="0.35">
      <c r="A249">
        <v>6533238</v>
      </c>
      <c r="B249" t="s">
        <v>9</v>
      </c>
      <c r="C249" t="s">
        <v>647</v>
      </c>
      <c r="D249" s="2">
        <v>45658</v>
      </c>
      <c r="E249" s="2">
        <v>46022</v>
      </c>
      <c r="F249" t="s">
        <v>490</v>
      </c>
      <c r="G249" t="s">
        <v>491</v>
      </c>
      <c r="H249">
        <v>-221599</v>
      </c>
      <c r="I249" t="s">
        <v>13</v>
      </c>
    </row>
    <row r="250" spans="1:9" x14ac:dyDescent="0.35">
      <c r="A250">
        <v>6533239</v>
      </c>
      <c r="B250" t="s">
        <v>9</v>
      </c>
      <c r="C250" t="s">
        <v>647</v>
      </c>
      <c r="D250" s="2">
        <v>45658</v>
      </c>
      <c r="E250" s="2">
        <v>46022</v>
      </c>
      <c r="F250" t="s">
        <v>492</v>
      </c>
      <c r="G250" t="s">
        <v>637</v>
      </c>
      <c r="H250">
        <v>0</v>
      </c>
      <c r="I250" t="s">
        <v>13</v>
      </c>
    </row>
    <row r="251" spans="1:9" x14ac:dyDescent="0.35">
      <c r="A251">
        <v>6533240</v>
      </c>
      <c r="B251" t="s">
        <v>9</v>
      </c>
      <c r="C251" t="s">
        <v>647</v>
      </c>
      <c r="D251" s="2">
        <v>45658</v>
      </c>
      <c r="E251" s="2">
        <v>46022</v>
      </c>
      <c r="F251" t="s">
        <v>494</v>
      </c>
      <c r="G251" t="s">
        <v>493</v>
      </c>
      <c r="H251">
        <v>-221599</v>
      </c>
      <c r="I251" t="s">
        <v>13</v>
      </c>
    </row>
    <row r="252" spans="1:9" x14ac:dyDescent="0.35">
      <c r="A252">
        <v>6533241</v>
      </c>
      <c r="B252" t="s">
        <v>9</v>
      </c>
      <c r="C252" t="s">
        <v>647</v>
      </c>
      <c r="D252" s="2">
        <v>45658</v>
      </c>
      <c r="E252" s="2">
        <v>46022</v>
      </c>
      <c r="F252" t="s">
        <v>638</v>
      </c>
      <c r="G252" t="s">
        <v>19</v>
      </c>
      <c r="H252">
        <v>0</v>
      </c>
      <c r="I252" t="s">
        <v>13</v>
      </c>
    </row>
    <row r="253" spans="1:9" x14ac:dyDescent="0.35">
      <c r="A253">
        <v>6533242</v>
      </c>
      <c r="B253" t="s">
        <v>9</v>
      </c>
      <c r="C253" t="s">
        <v>647</v>
      </c>
      <c r="D253" s="2">
        <v>45658</v>
      </c>
      <c r="E253" s="2">
        <v>46022</v>
      </c>
      <c r="F253" t="s">
        <v>496</v>
      </c>
      <c r="G253" t="s">
        <v>639</v>
      </c>
      <c r="H253">
        <v>0</v>
      </c>
      <c r="I253" t="s">
        <v>13</v>
      </c>
    </row>
    <row r="254" spans="1:9" x14ac:dyDescent="0.35">
      <c r="A254">
        <v>6533243</v>
      </c>
      <c r="B254" t="s">
        <v>9</v>
      </c>
      <c r="C254" t="s">
        <v>647</v>
      </c>
      <c r="D254" s="2">
        <v>45658</v>
      </c>
      <c r="E254" s="2">
        <v>46022</v>
      </c>
      <c r="F254" t="s">
        <v>640</v>
      </c>
      <c r="G254" t="s">
        <v>641</v>
      </c>
      <c r="H254">
        <v>0</v>
      </c>
      <c r="I254" t="s">
        <v>13</v>
      </c>
    </row>
    <row r="255" spans="1:9" x14ac:dyDescent="0.35">
      <c r="A255">
        <v>6533244</v>
      </c>
      <c r="B255" t="s">
        <v>9</v>
      </c>
      <c r="C255" t="s">
        <v>647</v>
      </c>
      <c r="D255" s="2">
        <v>45658</v>
      </c>
      <c r="E255" s="2">
        <v>46022</v>
      </c>
      <c r="F255" t="s">
        <v>498</v>
      </c>
      <c r="G255" t="s">
        <v>642</v>
      </c>
      <c r="H255">
        <v>0</v>
      </c>
      <c r="I255" t="s">
        <v>13</v>
      </c>
    </row>
    <row r="256" spans="1:9" x14ac:dyDescent="0.35">
      <c r="A256">
        <v>6533245</v>
      </c>
      <c r="B256" t="s">
        <v>9</v>
      </c>
      <c r="C256" t="s">
        <v>647</v>
      </c>
      <c r="D256" s="2">
        <v>45658</v>
      </c>
      <c r="E256" s="2">
        <v>46022</v>
      </c>
      <c r="F256" t="s">
        <v>643</v>
      </c>
      <c r="G256" t="s">
        <v>644</v>
      </c>
      <c r="H256">
        <v>0</v>
      </c>
      <c r="I256" t="s">
        <v>13</v>
      </c>
    </row>
    <row r="257" spans="1:9" x14ac:dyDescent="0.35">
      <c r="A257">
        <v>6533246</v>
      </c>
      <c r="B257" t="s">
        <v>9</v>
      </c>
      <c r="C257" t="s">
        <v>647</v>
      </c>
      <c r="D257" s="2">
        <v>45658</v>
      </c>
      <c r="E257" s="2">
        <v>46022</v>
      </c>
      <c r="F257" t="s">
        <v>500</v>
      </c>
      <c r="G257" t="s">
        <v>645</v>
      </c>
      <c r="H257">
        <v>0</v>
      </c>
      <c r="I257" t="s">
        <v>13</v>
      </c>
    </row>
    <row r="258" spans="1:9" x14ac:dyDescent="0.35">
      <c r="A258">
        <v>6533247</v>
      </c>
      <c r="B258" t="s">
        <v>9</v>
      </c>
      <c r="C258" t="s">
        <v>647</v>
      </c>
      <c r="D258" s="2">
        <v>45658</v>
      </c>
      <c r="E258" s="2">
        <v>46022</v>
      </c>
      <c r="F258" t="s">
        <v>506</v>
      </c>
      <c r="G258" t="s">
        <v>507</v>
      </c>
      <c r="H258">
        <v>-1333173</v>
      </c>
      <c r="I258" t="s">
        <v>13</v>
      </c>
    </row>
    <row r="259" spans="1:9" x14ac:dyDescent="0.35">
      <c r="A259">
        <v>6533248</v>
      </c>
      <c r="B259" t="s">
        <v>9</v>
      </c>
      <c r="C259" t="s">
        <v>647</v>
      </c>
      <c r="D259" s="2">
        <v>45658</v>
      </c>
      <c r="E259" s="2">
        <v>46022</v>
      </c>
      <c r="F259" t="s">
        <v>508</v>
      </c>
      <c r="G259" t="s">
        <v>509</v>
      </c>
      <c r="H259">
        <v>784990</v>
      </c>
      <c r="I259" t="s">
        <v>13</v>
      </c>
    </row>
    <row r="260" spans="1:9" x14ac:dyDescent="0.35">
      <c r="A260">
        <v>6533249</v>
      </c>
      <c r="B260" t="s">
        <v>9</v>
      </c>
      <c r="C260" t="s">
        <v>647</v>
      </c>
      <c r="D260" s="2">
        <v>45658</v>
      </c>
      <c r="E260" s="2">
        <v>46022</v>
      </c>
      <c r="F260" t="s">
        <v>510</v>
      </c>
      <c r="G260" t="s">
        <v>511</v>
      </c>
      <c r="H260">
        <v>-932018</v>
      </c>
      <c r="I260" t="s">
        <v>13</v>
      </c>
    </row>
    <row r="261" spans="1:9" x14ac:dyDescent="0.35">
      <c r="A261">
        <v>6533250</v>
      </c>
      <c r="B261" t="s">
        <v>9</v>
      </c>
      <c r="C261" t="s">
        <v>647</v>
      </c>
      <c r="D261" s="2">
        <v>45658</v>
      </c>
      <c r="E261" s="2">
        <v>46022</v>
      </c>
      <c r="F261" t="s">
        <v>512</v>
      </c>
      <c r="G261" t="s">
        <v>513</v>
      </c>
      <c r="H261">
        <v>-304065</v>
      </c>
      <c r="I261" t="s">
        <v>13</v>
      </c>
    </row>
    <row r="262" spans="1:9" x14ac:dyDescent="0.35">
      <c r="A262">
        <v>6533251</v>
      </c>
      <c r="B262" t="s">
        <v>9</v>
      </c>
      <c r="C262" t="s">
        <v>647</v>
      </c>
      <c r="D262" s="2">
        <v>45658</v>
      </c>
      <c r="E262" s="2">
        <v>46022</v>
      </c>
      <c r="F262" t="s">
        <v>514</v>
      </c>
      <c r="G262" t="s">
        <v>515</v>
      </c>
      <c r="H262">
        <v>-43093</v>
      </c>
      <c r="I262" t="s">
        <v>13</v>
      </c>
    </row>
    <row r="263" spans="1:9" x14ac:dyDescent="0.35">
      <c r="A263">
        <v>6533252</v>
      </c>
      <c r="B263" t="s">
        <v>9</v>
      </c>
      <c r="C263" t="s">
        <v>647</v>
      </c>
      <c r="D263" s="2">
        <v>45658</v>
      </c>
      <c r="E263" s="2">
        <v>46022</v>
      </c>
      <c r="F263" t="s">
        <v>646</v>
      </c>
      <c r="G263" t="s">
        <v>648</v>
      </c>
      <c r="H263">
        <v>-838987</v>
      </c>
      <c r="I263" t="s">
        <v>13</v>
      </c>
    </row>
    <row r="264" spans="1:9" x14ac:dyDescent="0.35">
      <c r="A264">
        <v>6533253</v>
      </c>
      <c r="B264" t="s">
        <v>9</v>
      </c>
      <c r="C264" t="s">
        <v>647</v>
      </c>
      <c r="D264" s="2">
        <v>45658</v>
      </c>
      <c r="E264" s="2">
        <v>46022</v>
      </c>
      <c r="F264" t="s">
        <v>518</v>
      </c>
      <c r="G264" t="s">
        <v>517</v>
      </c>
      <c r="H264">
        <v>0</v>
      </c>
      <c r="I264" t="s">
        <v>13</v>
      </c>
    </row>
    <row r="265" spans="1:9" x14ac:dyDescent="0.35">
      <c r="A265">
        <v>6533254</v>
      </c>
      <c r="B265" t="s">
        <v>9</v>
      </c>
      <c r="C265" t="s">
        <v>647</v>
      </c>
      <c r="D265" s="2">
        <v>45658</v>
      </c>
      <c r="E265" s="2">
        <v>46022</v>
      </c>
      <c r="F265" t="s">
        <v>520</v>
      </c>
      <c r="G265" t="s">
        <v>521</v>
      </c>
      <c r="H265">
        <v>9627</v>
      </c>
      <c r="I265" t="s">
        <v>13</v>
      </c>
    </row>
    <row r="266" spans="1:9" x14ac:dyDescent="0.35">
      <c r="A266">
        <v>6533255</v>
      </c>
      <c r="B266" t="s">
        <v>9</v>
      </c>
      <c r="C266" t="s">
        <v>647</v>
      </c>
      <c r="D266" s="2">
        <v>45658</v>
      </c>
      <c r="E266" s="2">
        <v>46022</v>
      </c>
      <c r="F266" t="s">
        <v>522</v>
      </c>
      <c r="G266" t="s">
        <v>523</v>
      </c>
      <c r="H266">
        <v>-932916</v>
      </c>
      <c r="I266" t="s">
        <v>13</v>
      </c>
    </row>
    <row r="267" spans="1:9" x14ac:dyDescent="0.35">
      <c r="A267">
        <v>6533256</v>
      </c>
      <c r="B267" t="s">
        <v>9</v>
      </c>
      <c r="C267" t="s">
        <v>647</v>
      </c>
      <c r="D267" s="2">
        <v>45658</v>
      </c>
      <c r="E267" s="2">
        <v>46022</v>
      </c>
      <c r="F267" t="s">
        <v>524</v>
      </c>
      <c r="G267" t="s">
        <v>525</v>
      </c>
      <c r="H267">
        <v>1488511</v>
      </c>
      <c r="I267" t="s">
        <v>13</v>
      </c>
    </row>
    <row r="268" spans="1:9" x14ac:dyDescent="0.35">
      <c r="A268">
        <v>6533257</v>
      </c>
      <c r="B268" t="s">
        <v>9</v>
      </c>
      <c r="C268" t="s">
        <v>647</v>
      </c>
      <c r="D268" s="2">
        <v>45658</v>
      </c>
      <c r="E268" s="2">
        <v>46022</v>
      </c>
      <c r="F268" t="s">
        <v>526</v>
      </c>
      <c r="G268" t="s">
        <v>527</v>
      </c>
      <c r="H268">
        <v>555595</v>
      </c>
      <c r="I268" t="s">
        <v>13</v>
      </c>
    </row>
    <row r="269" spans="1:9" x14ac:dyDescent="0.35">
      <c r="A269">
        <v>6533258</v>
      </c>
      <c r="B269" t="s">
        <v>9</v>
      </c>
      <c r="C269" t="s">
        <v>647</v>
      </c>
      <c r="D269" s="2">
        <v>45658</v>
      </c>
      <c r="E269" s="2">
        <v>46022</v>
      </c>
      <c r="F269" t="s">
        <v>528</v>
      </c>
      <c r="G269" t="s">
        <v>529</v>
      </c>
      <c r="H269">
        <v>5116460</v>
      </c>
      <c r="I269" t="s">
        <v>13</v>
      </c>
    </row>
    <row r="270" spans="1:9" x14ac:dyDescent="0.35">
      <c r="A270">
        <v>6533259</v>
      </c>
      <c r="B270" t="s">
        <v>9</v>
      </c>
      <c r="C270" t="s">
        <v>647</v>
      </c>
      <c r="D270" s="2">
        <v>45658</v>
      </c>
      <c r="E270" s="2">
        <v>46022</v>
      </c>
      <c r="F270" t="s">
        <v>530</v>
      </c>
      <c r="G270" t="s">
        <v>531</v>
      </c>
      <c r="H270">
        <v>5093205</v>
      </c>
      <c r="I270" t="s">
        <v>13</v>
      </c>
    </row>
    <row r="271" spans="1:9" x14ac:dyDescent="0.35">
      <c r="A271">
        <v>6533260</v>
      </c>
      <c r="B271" t="s">
        <v>9</v>
      </c>
      <c r="C271" t="s">
        <v>647</v>
      </c>
      <c r="D271" s="2">
        <v>45658</v>
      </c>
      <c r="E271" s="2">
        <v>46022</v>
      </c>
      <c r="F271" t="s">
        <v>532</v>
      </c>
      <c r="G271" t="s">
        <v>533</v>
      </c>
      <c r="H271">
        <v>35038</v>
      </c>
      <c r="I271" t="s">
        <v>13</v>
      </c>
    </row>
    <row r="272" spans="1:9" x14ac:dyDescent="0.35">
      <c r="A272">
        <v>6533261</v>
      </c>
      <c r="B272" t="s">
        <v>9</v>
      </c>
      <c r="C272" t="s">
        <v>647</v>
      </c>
      <c r="D272" s="2">
        <v>45658</v>
      </c>
      <c r="E272" s="2">
        <v>46022</v>
      </c>
      <c r="F272" t="s">
        <v>534</v>
      </c>
      <c r="G272" t="s">
        <v>535</v>
      </c>
      <c r="H272">
        <v>0</v>
      </c>
      <c r="I272" t="s">
        <v>13</v>
      </c>
    </row>
    <row r="273" spans="1:9" x14ac:dyDescent="0.35">
      <c r="A273">
        <v>6533262</v>
      </c>
      <c r="B273" t="s">
        <v>9</v>
      </c>
      <c r="C273" t="s">
        <v>647</v>
      </c>
      <c r="D273" s="2">
        <v>45658</v>
      </c>
      <c r="E273" s="2">
        <v>46022</v>
      </c>
      <c r="F273" t="s">
        <v>536</v>
      </c>
      <c r="G273" t="s">
        <v>533</v>
      </c>
      <c r="H273">
        <v>35038</v>
      </c>
      <c r="I273" t="s">
        <v>13</v>
      </c>
    </row>
    <row r="274" spans="1:9" x14ac:dyDescent="0.35">
      <c r="A274">
        <v>6533263</v>
      </c>
      <c r="B274" t="s">
        <v>9</v>
      </c>
      <c r="C274" t="s">
        <v>647</v>
      </c>
      <c r="D274" s="2">
        <v>45658</v>
      </c>
      <c r="E274" s="2">
        <v>46022</v>
      </c>
      <c r="F274" t="s">
        <v>539</v>
      </c>
      <c r="G274" t="s">
        <v>538</v>
      </c>
      <c r="H274">
        <v>0</v>
      </c>
      <c r="I274" t="s">
        <v>13</v>
      </c>
    </row>
    <row r="275" spans="1:9" x14ac:dyDescent="0.35">
      <c r="A275">
        <v>6533264</v>
      </c>
      <c r="B275" t="s">
        <v>9</v>
      </c>
      <c r="C275" t="s">
        <v>647</v>
      </c>
      <c r="D275" s="2">
        <v>45658</v>
      </c>
      <c r="E275" s="2">
        <v>46022</v>
      </c>
      <c r="F275" t="s">
        <v>540</v>
      </c>
      <c r="G275" t="s">
        <v>541</v>
      </c>
      <c r="H275">
        <v>-11783</v>
      </c>
      <c r="I275" t="s">
        <v>13</v>
      </c>
    </row>
    <row r="276" spans="1:9" x14ac:dyDescent="0.35">
      <c r="A276">
        <v>6533265</v>
      </c>
      <c r="B276" t="s">
        <v>9</v>
      </c>
      <c r="C276" t="s">
        <v>647</v>
      </c>
      <c r="D276" s="2">
        <v>45658</v>
      </c>
      <c r="E276" s="2">
        <v>46022</v>
      </c>
      <c r="F276" t="s">
        <v>542</v>
      </c>
      <c r="G276" t="s">
        <v>543</v>
      </c>
      <c r="H276">
        <v>-2688391</v>
      </c>
      <c r="I276" t="s">
        <v>13</v>
      </c>
    </row>
    <row r="277" spans="1:9" x14ac:dyDescent="0.35">
      <c r="A277">
        <v>6533266</v>
      </c>
      <c r="B277" t="s">
        <v>9</v>
      </c>
      <c r="C277" t="s">
        <v>647</v>
      </c>
      <c r="D277" s="2">
        <v>45658</v>
      </c>
      <c r="E277" s="2">
        <v>46022</v>
      </c>
      <c r="F277" t="s">
        <v>544</v>
      </c>
      <c r="G277" t="s">
        <v>545</v>
      </c>
      <c r="H277">
        <v>-1345144</v>
      </c>
      <c r="I277" t="s">
        <v>13</v>
      </c>
    </row>
    <row r="278" spans="1:9" x14ac:dyDescent="0.35">
      <c r="A278">
        <v>6533267</v>
      </c>
      <c r="B278" t="s">
        <v>9</v>
      </c>
      <c r="C278" t="s">
        <v>647</v>
      </c>
      <c r="D278" s="2">
        <v>45658</v>
      </c>
      <c r="E278" s="2">
        <v>46022</v>
      </c>
      <c r="F278" t="s">
        <v>546</v>
      </c>
      <c r="G278" t="s">
        <v>547</v>
      </c>
      <c r="H278">
        <v>-1358373</v>
      </c>
      <c r="I278" t="s">
        <v>13</v>
      </c>
    </row>
    <row r="279" spans="1:9" x14ac:dyDescent="0.35">
      <c r="A279">
        <v>6533268</v>
      </c>
      <c r="B279" t="s">
        <v>9</v>
      </c>
      <c r="C279" t="s">
        <v>647</v>
      </c>
      <c r="D279" s="2">
        <v>45658</v>
      </c>
      <c r="E279" s="2">
        <v>46022</v>
      </c>
      <c r="F279" t="s">
        <v>548</v>
      </c>
      <c r="G279" t="s">
        <v>549</v>
      </c>
      <c r="H279">
        <v>15674</v>
      </c>
      <c r="I279" t="s">
        <v>13</v>
      </c>
    </row>
    <row r="280" spans="1:9" x14ac:dyDescent="0.35">
      <c r="A280">
        <v>6533269</v>
      </c>
      <c r="B280" t="s">
        <v>9</v>
      </c>
      <c r="C280" t="s">
        <v>647</v>
      </c>
      <c r="D280" s="2">
        <v>45658</v>
      </c>
      <c r="E280" s="2">
        <v>46022</v>
      </c>
      <c r="F280" t="s">
        <v>550</v>
      </c>
      <c r="G280" t="s">
        <v>56</v>
      </c>
      <c r="H280">
        <v>-548</v>
      </c>
      <c r="I280" t="s">
        <v>13</v>
      </c>
    </row>
    <row r="281" spans="1:9" x14ac:dyDescent="0.35">
      <c r="A281">
        <v>6533270</v>
      </c>
      <c r="B281" t="s">
        <v>9</v>
      </c>
      <c r="C281" t="s">
        <v>647</v>
      </c>
      <c r="D281" s="2">
        <v>45658</v>
      </c>
      <c r="E281" s="2">
        <v>46022</v>
      </c>
      <c r="F281" t="s">
        <v>551</v>
      </c>
      <c r="G281" t="s">
        <v>444</v>
      </c>
      <c r="H281">
        <v>0</v>
      </c>
      <c r="I281" t="s">
        <v>13</v>
      </c>
    </row>
    <row r="282" spans="1:9" x14ac:dyDescent="0.35">
      <c r="A282">
        <v>6533271</v>
      </c>
      <c r="B282" t="s">
        <v>9</v>
      </c>
      <c r="C282" t="s">
        <v>647</v>
      </c>
      <c r="D282" s="2">
        <v>45658</v>
      </c>
      <c r="E282" s="2">
        <v>46022</v>
      </c>
      <c r="F282" t="s">
        <v>552</v>
      </c>
      <c r="G282" t="s">
        <v>56</v>
      </c>
      <c r="H282">
        <v>-548</v>
      </c>
      <c r="I282" t="s">
        <v>13</v>
      </c>
    </row>
    <row r="283" spans="1:9" x14ac:dyDescent="0.35">
      <c r="A283">
        <v>6533272</v>
      </c>
      <c r="B283" t="s">
        <v>9</v>
      </c>
      <c r="C283" t="s">
        <v>647</v>
      </c>
      <c r="D283" s="2">
        <v>45658</v>
      </c>
      <c r="E283" s="2">
        <v>46022</v>
      </c>
      <c r="F283" t="s">
        <v>553</v>
      </c>
      <c r="G283" t="s">
        <v>554</v>
      </c>
      <c r="H283">
        <v>2428069</v>
      </c>
      <c r="I283" t="s">
        <v>13</v>
      </c>
    </row>
    <row r="284" spans="1:9" x14ac:dyDescent="0.35">
      <c r="A284">
        <v>6533273</v>
      </c>
      <c r="B284" t="s">
        <v>9</v>
      </c>
      <c r="C284" t="s">
        <v>647</v>
      </c>
      <c r="D284" s="2">
        <v>45658</v>
      </c>
      <c r="E284" s="2">
        <v>46022</v>
      </c>
      <c r="F284" t="s">
        <v>555</v>
      </c>
      <c r="G284" t="s">
        <v>556</v>
      </c>
      <c r="H284">
        <v>-260783</v>
      </c>
      <c r="I284" t="s">
        <v>13</v>
      </c>
    </row>
    <row r="285" spans="1:9" x14ac:dyDescent="0.35">
      <c r="A285">
        <v>6533274</v>
      </c>
      <c r="B285" t="s">
        <v>9</v>
      </c>
      <c r="C285" t="s">
        <v>647</v>
      </c>
      <c r="D285" s="2">
        <v>45658</v>
      </c>
      <c r="E285" s="2">
        <v>46022</v>
      </c>
      <c r="F285" t="s">
        <v>557</v>
      </c>
      <c r="G285" t="s">
        <v>558</v>
      </c>
      <c r="H285">
        <v>-260783</v>
      </c>
      <c r="I285" t="s">
        <v>13</v>
      </c>
    </row>
    <row r="286" spans="1:9" x14ac:dyDescent="0.35">
      <c r="A286">
        <v>6533275</v>
      </c>
      <c r="B286" t="s">
        <v>9</v>
      </c>
      <c r="C286" t="s">
        <v>647</v>
      </c>
      <c r="D286" s="2">
        <v>45658</v>
      </c>
      <c r="E286" s="2">
        <v>46022</v>
      </c>
      <c r="F286" t="s">
        <v>559</v>
      </c>
      <c r="G286" t="s">
        <v>560</v>
      </c>
      <c r="H286">
        <v>0</v>
      </c>
      <c r="I286" t="s">
        <v>13</v>
      </c>
    </row>
    <row r="287" spans="1:9" x14ac:dyDescent="0.35">
      <c r="A287">
        <v>6533276</v>
      </c>
      <c r="B287" t="s">
        <v>9</v>
      </c>
      <c r="C287" t="s">
        <v>647</v>
      </c>
      <c r="D287" s="2">
        <v>45658</v>
      </c>
      <c r="E287" s="2">
        <v>46022</v>
      </c>
      <c r="F287" t="s">
        <v>561</v>
      </c>
      <c r="G287" t="s">
        <v>562</v>
      </c>
      <c r="H287">
        <v>2167286</v>
      </c>
      <c r="I287" t="s">
        <v>13</v>
      </c>
    </row>
    <row r="288" spans="1:9" x14ac:dyDescent="0.35">
      <c r="A288">
        <v>6533277</v>
      </c>
      <c r="B288" t="s">
        <v>9</v>
      </c>
      <c r="C288" t="s">
        <v>647</v>
      </c>
      <c r="D288" s="2">
        <v>45658</v>
      </c>
      <c r="E288" s="2">
        <v>46022</v>
      </c>
      <c r="F288" t="s">
        <v>563</v>
      </c>
      <c r="G288" t="s">
        <v>564</v>
      </c>
      <c r="H288">
        <v>165407</v>
      </c>
      <c r="I288" t="s">
        <v>13</v>
      </c>
    </row>
    <row r="289" spans="1:9" x14ac:dyDescent="0.35">
      <c r="A289">
        <v>6533278</v>
      </c>
      <c r="B289" t="s">
        <v>9</v>
      </c>
      <c r="C289" t="s">
        <v>647</v>
      </c>
      <c r="D289" s="2">
        <v>45658</v>
      </c>
      <c r="E289" s="2">
        <v>46022</v>
      </c>
      <c r="F289" t="s">
        <v>565</v>
      </c>
      <c r="G289" t="s">
        <v>368</v>
      </c>
      <c r="H289">
        <v>46327</v>
      </c>
      <c r="I289" t="s">
        <v>13</v>
      </c>
    </row>
    <row r="290" spans="1:9" x14ac:dyDescent="0.35">
      <c r="A290">
        <v>6533279</v>
      </c>
      <c r="B290" t="s">
        <v>9</v>
      </c>
      <c r="C290" t="s">
        <v>647</v>
      </c>
      <c r="D290" s="2">
        <v>45658</v>
      </c>
      <c r="E290" s="2">
        <v>46022</v>
      </c>
      <c r="F290" t="s">
        <v>566</v>
      </c>
      <c r="G290" t="s">
        <v>374</v>
      </c>
      <c r="H290">
        <v>119080</v>
      </c>
      <c r="I290" t="s">
        <v>13</v>
      </c>
    </row>
    <row r="291" spans="1:9" x14ac:dyDescent="0.35">
      <c r="A291">
        <v>6533280</v>
      </c>
      <c r="B291" t="s">
        <v>9</v>
      </c>
      <c r="C291" t="s">
        <v>647</v>
      </c>
      <c r="D291" s="2">
        <v>45658</v>
      </c>
      <c r="E291" s="2">
        <v>46022</v>
      </c>
      <c r="F291" t="s">
        <v>567</v>
      </c>
      <c r="G291" t="s">
        <v>56</v>
      </c>
      <c r="H291">
        <v>0</v>
      </c>
      <c r="I291" t="s">
        <v>13</v>
      </c>
    </row>
    <row r="292" spans="1:9" x14ac:dyDescent="0.35">
      <c r="A292">
        <v>6533281</v>
      </c>
      <c r="B292" t="s">
        <v>9</v>
      </c>
      <c r="C292" t="s">
        <v>647</v>
      </c>
      <c r="D292" s="2">
        <v>45658</v>
      </c>
      <c r="E292" s="2">
        <v>46022</v>
      </c>
      <c r="F292" t="s">
        <v>568</v>
      </c>
      <c r="G292" t="s">
        <v>56</v>
      </c>
      <c r="H292">
        <v>0</v>
      </c>
      <c r="I292" t="s">
        <v>13</v>
      </c>
    </row>
    <row r="293" spans="1:9" x14ac:dyDescent="0.35">
      <c r="A293">
        <v>6533282</v>
      </c>
      <c r="B293" t="s">
        <v>9</v>
      </c>
      <c r="C293" t="s">
        <v>647</v>
      </c>
      <c r="D293" s="2">
        <v>45658</v>
      </c>
      <c r="E293" s="2">
        <v>46022</v>
      </c>
      <c r="F293" t="s">
        <v>569</v>
      </c>
      <c r="G293" t="s">
        <v>570</v>
      </c>
      <c r="H293">
        <v>0</v>
      </c>
      <c r="I293" t="s">
        <v>13</v>
      </c>
    </row>
    <row r="294" spans="1:9" x14ac:dyDescent="0.35">
      <c r="A294">
        <v>6533283</v>
      </c>
      <c r="B294" t="s">
        <v>9</v>
      </c>
      <c r="C294" t="s">
        <v>647</v>
      </c>
      <c r="D294" s="2">
        <v>45658</v>
      </c>
      <c r="E294" s="2">
        <v>46022</v>
      </c>
      <c r="F294" t="s">
        <v>571</v>
      </c>
      <c r="G294" t="s">
        <v>572</v>
      </c>
      <c r="H294">
        <v>2332693</v>
      </c>
      <c r="I294" t="s">
        <v>13</v>
      </c>
    </row>
    <row r="295" spans="1:9" x14ac:dyDescent="0.35">
      <c r="A295">
        <v>6533284</v>
      </c>
      <c r="B295" t="s">
        <v>9</v>
      </c>
      <c r="C295" t="s">
        <v>647</v>
      </c>
      <c r="D295" s="2">
        <v>45658</v>
      </c>
      <c r="E295" s="2">
        <v>46022</v>
      </c>
      <c r="F295" t="s">
        <v>573</v>
      </c>
      <c r="G295" t="s">
        <v>574</v>
      </c>
      <c r="H295">
        <v>2332693</v>
      </c>
      <c r="I295" t="s">
        <v>13</v>
      </c>
    </row>
    <row r="296" spans="1:9" x14ac:dyDescent="0.35">
      <c r="A296">
        <v>6533285</v>
      </c>
      <c r="B296" t="s">
        <v>9</v>
      </c>
      <c r="C296" t="s">
        <v>647</v>
      </c>
      <c r="D296" s="2">
        <v>45658</v>
      </c>
      <c r="E296" s="2">
        <v>46022</v>
      </c>
      <c r="F296" t="s">
        <v>575</v>
      </c>
      <c r="G296" t="s">
        <v>576</v>
      </c>
      <c r="H296">
        <v>1088396</v>
      </c>
      <c r="I296" t="s">
        <v>13</v>
      </c>
    </row>
    <row r="297" spans="1:9" x14ac:dyDescent="0.35">
      <c r="A297">
        <v>6533286</v>
      </c>
      <c r="B297" t="s">
        <v>9</v>
      </c>
      <c r="C297" t="s">
        <v>647</v>
      </c>
      <c r="D297" s="2">
        <v>45658</v>
      </c>
      <c r="E297" s="2">
        <v>46022</v>
      </c>
      <c r="F297" t="s">
        <v>577</v>
      </c>
      <c r="G297" t="s">
        <v>578</v>
      </c>
      <c r="H297">
        <v>822486</v>
      </c>
      <c r="I297" t="s">
        <v>13</v>
      </c>
    </row>
    <row r="298" spans="1:9" x14ac:dyDescent="0.35">
      <c r="A298">
        <v>6533287</v>
      </c>
      <c r="B298" t="s">
        <v>9</v>
      </c>
      <c r="C298" t="s">
        <v>647</v>
      </c>
      <c r="D298" s="2">
        <v>45658</v>
      </c>
      <c r="E298" s="2">
        <v>46022</v>
      </c>
      <c r="F298" t="s">
        <v>579</v>
      </c>
      <c r="G298" t="s">
        <v>580</v>
      </c>
      <c r="H298">
        <v>222682</v>
      </c>
      <c r="I298" t="s">
        <v>13</v>
      </c>
    </row>
    <row r="299" spans="1:9" x14ac:dyDescent="0.35">
      <c r="A299">
        <v>6533288</v>
      </c>
      <c r="B299" t="s">
        <v>9</v>
      </c>
      <c r="C299" t="s">
        <v>647</v>
      </c>
      <c r="D299" s="2">
        <v>45658</v>
      </c>
      <c r="E299" s="2">
        <v>46022</v>
      </c>
      <c r="F299" t="s">
        <v>581</v>
      </c>
      <c r="G299" t="s">
        <v>582</v>
      </c>
      <c r="H299">
        <v>43228</v>
      </c>
      <c r="I299" t="s">
        <v>13</v>
      </c>
    </row>
    <row r="300" spans="1:9" x14ac:dyDescent="0.35">
      <c r="A300">
        <v>6533289</v>
      </c>
      <c r="B300" t="s">
        <v>9</v>
      </c>
      <c r="C300" t="s">
        <v>647</v>
      </c>
      <c r="D300" s="2">
        <v>45658</v>
      </c>
      <c r="E300" s="2">
        <v>46022</v>
      </c>
      <c r="F300" t="s">
        <v>583</v>
      </c>
      <c r="G300" t="s">
        <v>56</v>
      </c>
      <c r="H300">
        <v>0</v>
      </c>
      <c r="I300" t="s">
        <v>13</v>
      </c>
    </row>
    <row r="301" spans="1:9" x14ac:dyDescent="0.35">
      <c r="A301">
        <v>6533290</v>
      </c>
      <c r="B301" t="s">
        <v>9</v>
      </c>
      <c r="C301" t="s">
        <v>647</v>
      </c>
      <c r="D301" s="2">
        <v>45658</v>
      </c>
      <c r="E301" s="2">
        <v>46022</v>
      </c>
      <c r="F301" t="s">
        <v>584</v>
      </c>
      <c r="G301" t="s">
        <v>585</v>
      </c>
      <c r="H301">
        <v>470738</v>
      </c>
      <c r="I301" t="s">
        <v>13</v>
      </c>
    </row>
    <row r="302" spans="1:9" x14ac:dyDescent="0.35">
      <c r="A302">
        <v>6533291</v>
      </c>
      <c r="B302" t="s">
        <v>9</v>
      </c>
      <c r="C302" t="s">
        <v>647</v>
      </c>
      <c r="D302" s="2">
        <v>45658</v>
      </c>
      <c r="E302" s="2">
        <v>46022</v>
      </c>
      <c r="F302" t="s">
        <v>586</v>
      </c>
      <c r="G302" t="s">
        <v>587</v>
      </c>
      <c r="H302">
        <v>428111</v>
      </c>
      <c r="I302" t="s">
        <v>13</v>
      </c>
    </row>
    <row r="303" spans="1:9" x14ac:dyDescent="0.35">
      <c r="A303">
        <v>6533292</v>
      </c>
      <c r="B303" t="s">
        <v>9</v>
      </c>
      <c r="C303" t="s">
        <v>647</v>
      </c>
      <c r="D303" s="2">
        <v>45658</v>
      </c>
      <c r="E303" s="2">
        <v>46022</v>
      </c>
      <c r="F303" t="s">
        <v>588</v>
      </c>
      <c r="G303" t="s">
        <v>589</v>
      </c>
      <c r="H303">
        <v>38896</v>
      </c>
      <c r="I303" t="s">
        <v>13</v>
      </c>
    </row>
    <row r="304" spans="1:9" x14ac:dyDescent="0.35">
      <c r="A304">
        <v>6533293</v>
      </c>
      <c r="B304" t="s">
        <v>9</v>
      </c>
      <c r="C304" t="s">
        <v>647</v>
      </c>
      <c r="D304" s="2">
        <v>45658</v>
      </c>
      <c r="E304" s="2">
        <v>46022</v>
      </c>
      <c r="F304" t="s">
        <v>590</v>
      </c>
      <c r="G304" t="s">
        <v>591</v>
      </c>
      <c r="H304">
        <v>3731</v>
      </c>
      <c r="I304" t="s">
        <v>13</v>
      </c>
    </row>
    <row r="305" spans="1:9" x14ac:dyDescent="0.35">
      <c r="A305">
        <v>6533294</v>
      </c>
      <c r="B305" t="s">
        <v>9</v>
      </c>
      <c r="C305" t="s">
        <v>647</v>
      </c>
      <c r="D305" s="2">
        <v>45658</v>
      </c>
      <c r="E305" s="2">
        <v>46022</v>
      </c>
      <c r="F305" t="s">
        <v>592</v>
      </c>
      <c r="G305" t="s">
        <v>593</v>
      </c>
      <c r="H305">
        <v>205633</v>
      </c>
      <c r="I305" t="s">
        <v>13</v>
      </c>
    </row>
    <row r="306" spans="1:9" x14ac:dyDescent="0.35">
      <c r="A306">
        <v>6533295</v>
      </c>
      <c r="B306" t="s">
        <v>9</v>
      </c>
      <c r="C306" t="s">
        <v>647</v>
      </c>
      <c r="D306" s="2">
        <v>45658</v>
      </c>
      <c r="E306" s="2">
        <v>46022</v>
      </c>
      <c r="F306" t="s">
        <v>594</v>
      </c>
      <c r="G306" t="s">
        <v>595</v>
      </c>
      <c r="H306">
        <v>148815</v>
      </c>
      <c r="I306" t="s">
        <v>13</v>
      </c>
    </row>
    <row r="307" spans="1:9" x14ac:dyDescent="0.35">
      <c r="A307">
        <v>6533296</v>
      </c>
      <c r="B307" t="s">
        <v>9</v>
      </c>
      <c r="C307" t="s">
        <v>647</v>
      </c>
      <c r="D307" s="2">
        <v>45658</v>
      </c>
      <c r="E307" s="2">
        <v>46022</v>
      </c>
      <c r="F307" t="s">
        <v>596</v>
      </c>
      <c r="G307" t="s">
        <v>597</v>
      </c>
      <c r="H307">
        <v>16546</v>
      </c>
      <c r="I307" t="s">
        <v>13</v>
      </c>
    </row>
    <row r="308" spans="1:9" x14ac:dyDescent="0.35">
      <c r="A308">
        <v>6533297</v>
      </c>
      <c r="B308" t="s">
        <v>9</v>
      </c>
      <c r="C308" t="s">
        <v>647</v>
      </c>
      <c r="D308" s="2">
        <v>45658</v>
      </c>
      <c r="E308" s="2">
        <v>46022</v>
      </c>
      <c r="F308" t="s">
        <v>598</v>
      </c>
      <c r="G308" t="s">
        <v>560</v>
      </c>
      <c r="H308">
        <v>40272</v>
      </c>
      <c r="I308" t="s">
        <v>13</v>
      </c>
    </row>
    <row r="309" spans="1:9" x14ac:dyDescent="0.35">
      <c r="A309">
        <v>6533298</v>
      </c>
      <c r="B309" t="s">
        <v>9</v>
      </c>
      <c r="C309" t="s">
        <v>647</v>
      </c>
      <c r="D309" s="2">
        <v>45658</v>
      </c>
      <c r="E309" s="2">
        <v>46022</v>
      </c>
      <c r="F309" t="s">
        <v>599</v>
      </c>
      <c r="G309" t="s">
        <v>600</v>
      </c>
      <c r="H309">
        <v>567926</v>
      </c>
      <c r="I309" t="s">
        <v>13</v>
      </c>
    </row>
    <row r="310" spans="1:9" x14ac:dyDescent="0.35">
      <c r="A310">
        <v>6533299</v>
      </c>
      <c r="B310" t="s">
        <v>9</v>
      </c>
      <c r="C310" t="s">
        <v>647</v>
      </c>
      <c r="D310" s="2">
        <v>45658</v>
      </c>
      <c r="E310" s="2">
        <v>46022</v>
      </c>
      <c r="F310" t="s">
        <v>601</v>
      </c>
      <c r="G310" t="s">
        <v>602</v>
      </c>
      <c r="H310">
        <v>106000</v>
      </c>
      <c r="I310" t="s">
        <v>13</v>
      </c>
    </row>
    <row r="311" spans="1:9" x14ac:dyDescent="0.35">
      <c r="A311">
        <v>6533300</v>
      </c>
      <c r="B311" t="s">
        <v>9</v>
      </c>
      <c r="C311" t="s">
        <v>647</v>
      </c>
      <c r="D311" s="2">
        <v>45658</v>
      </c>
      <c r="E311" s="2">
        <v>46022</v>
      </c>
      <c r="F311" t="s">
        <v>603</v>
      </c>
      <c r="G311" t="s">
        <v>604</v>
      </c>
      <c r="H311">
        <v>361247</v>
      </c>
      <c r="I311" t="s">
        <v>13</v>
      </c>
    </row>
    <row r="312" spans="1:9" x14ac:dyDescent="0.35">
      <c r="A312">
        <v>6533301</v>
      </c>
      <c r="B312" t="s">
        <v>9</v>
      </c>
      <c r="C312" t="s">
        <v>647</v>
      </c>
      <c r="D312" s="2">
        <v>45658</v>
      </c>
      <c r="E312" s="2">
        <v>46022</v>
      </c>
      <c r="F312" t="s">
        <v>605</v>
      </c>
      <c r="G312" t="s">
        <v>606</v>
      </c>
      <c r="H312">
        <v>101562</v>
      </c>
      <c r="I312" t="s">
        <v>13</v>
      </c>
    </row>
    <row r="313" spans="1:9" x14ac:dyDescent="0.35">
      <c r="A313">
        <v>6533302</v>
      </c>
      <c r="B313" t="s">
        <v>9</v>
      </c>
      <c r="C313" t="s">
        <v>647</v>
      </c>
      <c r="D313" s="2">
        <v>45658</v>
      </c>
      <c r="E313" s="2">
        <v>46022</v>
      </c>
      <c r="F313" t="s">
        <v>607</v>
      </c>
      <c r="G313" t="s">
        <v>608</v>
      </c>
      <c r="H313">
        <v>-883</v>
      </c>
      <c r="I313" t="s">
        <v>13</v>
      </c>
    </row>
    <row r="314" spans="1:9" x14ac:dyDescent="0.35">
      <c r="A314">
        <v>6533303</v>
      </c>
      <c r="B314" t="s">
        <v>9</v>
      </c>
      <c r="C314" t="s">
        <v>647</v>
      </c>
      <c r="D314" s="2">
        <v>45658</v>
      </c>
      <c r="E314" s="2">
        <v>46022</v>
      </c>
      <c r="F314" t="s">
        <v>609</v>
      </c>
      <c r="G314" t="s">
        <v>56</v>
      </c>
      <c r="H314">
        <v>0</v>
      </c>
      <c r="I314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4313-9E31-4C8F-B9A5-D20FB7777EA1}">
  <dimension ref="A1:G30"/>
  <sheetViews>
    <sheetView workbookViewId="0">
      <selection activeCell="D40" sqref="D40"/>
    </sheetView>
  </sheetViews>
  <sheetFormatPr defaultRowHeight="14.5" x14ac:dyDescent="0.35"/>
  <cols>
    <col min="1" max="1" width="49.54296875" bestFit="1" customWidth="1"/>
    <col min="2" max="3" width="15.26953125" bestFit="1" customWidth="1"/>
    <col min="6" max="7" width="15.26953125" bestFit="1" customWidth="1"/>
  </cols>
  <sheetData>
    <row r="1" spans="1:7" x14ac:dyDescent="0.35">
      <c r="A1" s="8" t="s">
        <v>649</v>
      </c>
      <c r="B1" s="7" t="s">
        <v>675</v>
      </c>
      <c r="C1" s="8" t="s">
        <v>676</v>
      </c>
    </row>
    <row r="2" spans="1:7" x14ac:dyDescent="0.35">
      <c r="A2" t="s">
        <v>650</v>
      </c>
      <c r="B2" s="11">
        <f>'2025'!$H$3-'2025'!$H$64</f>
        <v>1023931</v>
      </c>
      <c r="C2" s="11">
        <f>'2024'!$H$3-'2024'!$H$64</f>
        <v>2109534</v>
      </c>
      <c r="F2" s="9"/>
      <c r="G2" s="9"/>
    </row>
    <row r="3" spans="1:7" x14ac:dyDescent="0.35">
      <c r="A3" t="s">
        <v>651</v>
      </c>
      <c r="B3" s="10">
        <f>'2025'!$H$3/'2025'!$H$64</f>
        <v>1.606923903566096</v>
      </c>
      <c r="C3" s="10">
        <f>'2024'!$H$3/'2024'!$H$64</f>
        <v>2.5630739638086966</v>
      </c>
      <c r="F3" s="10"/>
      <c r="G3" s="10"/>
    </row>
    <row r="4" spans="1:7" x14ac:dyDescent="0.35">
      <c r="A4" t="s">
        <v>652</v>
      </c>
      <c r="B4" s="10">
        <f>('2025'!$H$3-'2025'!$H$14-'2025'!$H$18)/'2025'!$H$64</f>
        <v>1.1354272433543577</v>
      </c>
      <c r="C4" s="10">
        <f>('2024'!$H$3-'2024'!$H$14-'2024'!$H$18)/'2024'!$H$64</f>
        <v>2.0032513192739216</v>
      </c>
    </row>
    <row r="5" spans="1:7" x14ac:dyDescent="0.35">
      <c r="A5" t="s">
        <v>653</v>
      </c>
      <c r="B5" s="10">
        <f>'2025'!$H$4/'2025'!$H$64</f>
        <v>0.32932286081953288</v>
      </c>
      <c r="C5" s="10">
        <f>'2024'!$H$4/'2024'!$H$64</f>
        <v>1.1029226307529754</v>
      </c>
    </row>
    <row r="6" spans="1:7" x14ac:dyDescent="0.35">
      <c r="A6" t="s">
        <v>654</v>
      </c>
      <c r="B6" s="10">
        <f>('2025'!$H$3+'2025'!$H$26)/('2025'!$H$64+'2025'!$H$109)</f>
        <v>1.1821807364517622</v>
      </c>
      <c r="C6" s="10">
        <f>('2024'!$H$3+'2024'!$H$26)/('2024'!$H$64+'2024'!$H$108)</f>
        <v>1.4102572425950988</v>
      </c>
    </row>
    <row r="7" spans="1:7" x14ac:dyDescent="0.35">
      <c r="A7" t="s">
        <v>655</v>
      </c>
      <c r="B7" s="10">
        <f>(('2024'!$H$14+'2025'!$H$14)/2)/ABS('2025'!$H$177)*360</f>
        <v>121.13345010232555</v>
      </c>
      <c r="C7" s="10">
        <f>(('2023'!$H$14+'2024'!$H$14)/2)/ABS('2024'!$H$176)*360</f>
        <v>131.53872534642909</v>
      </c>
    </row>
    <row r="8" spans="1:7" x14ac:dyDescent="0.35">
      <c r="A8" t="s">
        <v>656</v>
      </c>
      <c r="B8" s="10">
        <f>360/B7</f>
        <v>2.971928890788595</v>
      </c>
      <c r="C8" s="10">
        <f>360/C7</f>
        <v>2.7368366163795503</v>
      </c>
    </row>
    <row r="9" spans="1:7" x14ac:dyDescent="0.35">
      <c r="A9" t="s">
        <v>657</v>
      </c>
      <c r="B9" s="10">
        <f>(('2024'!$H$11+'2025'!$H$11)/2)/'2025'!$H$176*360</f>
        <v>86.254358827866881</v>
      </c>
      <c r="C9" s="10">
        <f>(('2023'!$H$11+'2024'!$H$11)/2)/'2024'!$H$175*360</f>
        <v>82.440156064134385</v>
      </c>
    </row>
    <row r="10" spans="1:7" x14ac:dyDescent="0.35">
      <c r="A10" t="s">
        <v>658</v>
      </c>
      <c r="B10" s="11">
        <f>ABS('2025'!$H$177)+'2025'!$H$14-'2024'!$H$14</f>
        <v>2234223</v>
      </c>
      <c r="C10" s="11">
        <f>ABS('2024'!$H$176)+'2024'!$H$14-'2023'!$H$14</f>
        <v>2047054</v>
      </c>
    </row>
    <row r="11" spans="1:7" x14ac:dyDescent="0.35">
      <c r="A11" t="s">
        <v>659</v>
      </c>
      <c r="B11" s="10">
        <f>(('2024'!$H$68+'2025'!$H$68)/2)/B10*360</f>
        <v>72.318134760943735</v>
      </c>
      <c r="C11" s="10">
        <f>(('2023'!$H$78+'2024'!$H$68)/2)/C10*360</f>
        <v>74.781564140467225</v>
      </c>
    </row>
    <row r="12" spans="1:7" x14ac:dyDescent="0.35">
      <c r="A12" t="s">
        <v>660</v>
      </c>
      <c r="B12" s="10">
        <f>B7+B9</f>
        <v>207.38780893019242</v>
      </c>
      <c r="C12" s="10">
        <f>C7+C9</f>
        <v>213.97888141056347</v>
      </c>
    </row>
    <row r="13" spans="1:7" x14ac:dyDescent="0.35">
      <c r="A13" t="s">
        <v>661</v>
      </c>
      <c r="B13" s="10">
        <f>B12-B11</f>
        <v>135.06967416924869</v>
      </c>
      <c r="C13" s="10">
        <f>C12-C11</f>
        <v>139.19731727009625</v>
      </c>
    </row>
    <row r="14" spans="1:7" x14ac:dyDescent="0.35">
      <c r="A14" t="s">
        <v>662</v>
      </c>
      <c r="B14" s="10">
        <f>B7</f>
        <v>121.13345010232555</v>
      </c>
      <c r="C14" s="10">
        <f>C7</f>
        <v>131.53872534642909</v>
      </c>
    </row>
    <row r="15" spans="1:7" x14ac:dyDescent="0.35">
      <c r="A15" t="s">
        <v>663</v>
      </c>
      <c r="B15" s="11">
        <f>'2025'!$H$4+'2025'!$H$5</f>
        <v>555595</v>
      </c>
      <c r="C15" s="11">
        <f>'2024'!$H$4+'2024'!$H$5</f>
        <v>1488511</v>
      </c>
    </row>
    <row r="16" spans="1:7" x14ac:dyDescent="0.35">
      <c r="A16" t="s">
        <v>664</v>
      </c>
      <c r="B16" s="11">
        <f>'2025'!$H$3-B15</f>
        <v>2155419</v>
      </c>
      <c r="C16" s="11">
        <f>'2024'!$H$3-C15</f>
        <v>1970629</v>
      </c>
    </row>
    <row r="17" spans="1:3" x14ac:dyDescent="0.35">
      <c r="A17" t="s">
        <v>15</v>
      </c>
      <c r="B17" s="11">
        <f>'2025'!$H$3</f>
        <v>2711014</v>
      </c>
      <c r="C17" s="11">
        <f>'2024'!$H$3</f>
        <v>3459140</v>
      </c>
    </row>
    <row r="18" spans="1:3" x14ac:dyDescent="0.35">
      <c r="A18" t="s">
        <v>665</v>
      </c>
      <c r="B18" s="11">
        <f>'2025'!$H$76</f>
        <v>380547</v>
      </c>
      <c r="C18" s="11">
        <f>'2024'!$H$76</f>
        <v>251373</v>
      </c>
    </row>
    <row r="19" spans="1:3" x14ac:dyDescent="0.35">
      <c r="A19" t="s">
        <v>666</v>
      </c>
      <c r="B19" s="11">
        <f>'2025'!$H$64-B18</f>
        <v>1306536</v>
      </c>
      <c r="C19" s="11">
        <f>'2024'!$H$64-C18</f>
        <v>1098233</v>
      </c>
    </row>
    <row r="20" spans="1:3" x14ac:dyDescent="0.35">
      <c r="A20" t="s">
        <v>140</v>
      </c>
      <c r="B20" s="11">
        <f>'2025'!$H$64</f>
        <v>1687083</v>
      </c>
      <c r="C20" s="11">
        <f>'2024'!$H$64</f>
        <v>1349606</v>
      </c>
    </row>
    <row r="21" spans="1:3" x14ac:dyDescent="0.35">
      <c r="A21" t="s">
        <v>667</v>
      </c>
      <c r="B21" s="11">
        <f>B15-B18</f>
        <v>175048</v>
      </c>
      <c r="C21" s="11">
        <f>C15-C18</f>
        <v>1237138</v>
      </c>
    </row>
    <row r="22" spans="1:3" x14ac:dyDescent="0.35">
      <c r="A22" t="s">
        <v>668</v>
      </c>
      <c r="B22" s="11">
        <f>B16-B19</f>
        <v>848883</v>
      </c>
      <c r="C22" s="11">
        <f>C16-C19</f>
        <v>872396</v>
      </c>
    </row>
    <row r="23" spans="1:3" x14ac:dyDescent="0.35">
      <c r="A23" t="s">
        <v>669</v>
      </c>
      <c r="B23" s="11">
        <f>'2025'!$H$3-'2025'!$H$64</f>
        <v>1023931</v>
      </c>
      <c r="C23" s="11">
        <f>'2024'!$H$3-'2024'!$H$64</f>
        <v>2109534</v>
      </c>
    </row>
    <row r="24" spans="1:3" x14ac:dyDescent="0.35">
      <c r="A24" t="s">
        <v>670</v>
      </c>
      <c r="B24" s="10">
        <f>('2025'!$H$64+'2025'!$H$109)/'2025'!$H$150</f>
        <v>0.8342960485402221</v>
      </c>
      <c r="C24" s="10">
        <f>('2024'!$H$64+'2024'!$H$108)/'2024'!$H$149</f>
        <v>0.69452001410174813</v>
      </c>
    </row>
    <row r="25" spans="1:3" x14ac:dyDescent="0.35">
      <c r="A25" t="s">
        <v>671</v>
      </c>
      <c r="B25" s="10">
        <f>('2025'!$H$64+'2025'!$H$109)/('2025'!$H$64+'2025'!$H$109+'2025'!$H$150)</f>
        <v>0.45483173188110798</v>
      </c>
      <c r="C25" s="10">
        <f>('2024'!$H$64+'2024'!$H$108)/('2024'!$H$64+'2024'!$H$108+'2024'!$H$149)</f>
        <v>0.40986238481810305</v>
      </c>
    </row>
    <row r="26" spans="1:3" x14ac:dyDescent="0.35">
      <c r="A26" t="s">
        <v>672</v>
      </c>
      <c r="B26" s="10">
        <f>'2025'!$H$2/('2025'!$H$64+'2025'!$H$109)</f>
        <v>2.1986152897999602</v>
      </c>
      <c r="C26" s="10">
        <f>'2024'!$H$2/('2024'!$H$64+'2024'!$H$108)</f>
        <v>2.4398433158090369</v>
      </c>
    </row>
    <row r="27" spans="1:3" x14ac:dyDescent="0.35">
      <c r="A27" t="s">
        <v>673</v>
      </c>
      <c r="B27" s="10">
        <f>'2025'!$H$64/('2025'!$H$64+'2025'!$H$109)</f>
        <v>0.60839654107340102</v>
      </c>
      <c r="C27" s="10">
        <f>'2024'!$H$64/('2024'!$H$64+'2024'!$H$108)</f>
        <v>0.4814268377859886</v>
      </c>
    </row>
    <row r="28" spans="1:3" x14ac:dyDescent="0.35">
      <c r="A28" t="s">
        <v>674</v>
      </c>
      <c r="B28" s="10">
        <f>('2025'!$H$55+'2025'!$H$59)/'2025'!$H$150</f>
        <v>0.60781542825457557</v>
      </c>
      <c r="C28" s="10">
        <f>('2024'!$H$55+'2024'!$H$59)/'2024'!$H$149</f>
        <v>0.50804471037035914</v>
      </c>
    </row>
    <row r="30" spans="1:3" x14ac:dyDescent="0.35">
      <c r="A30" t="s">
        <v>682</v>
      </c>
      <c r="B30" s="12">
        <v>683062222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3720-9B17-436F-B2DA-B18387258E27}">
  <dimension ref="A1:D6"/>
  <sheetViews>
    <sheetView tabSelected="1" workbookViewId="0"/>
  </sheetViews>
  <sheetFormatPr defaultRowHeight="14.5" x14ac:dyDescent="0.35"/>
  <cols>
    <col min="1" max="1" width="27" bestFit="1" customWidth="1"/>
  </cols>
  <sheetData>
    <row r="1" spans="1:4" x14ac:dyDescent="0.35">
      <c r="A1" t="s">
        <v>684</v>
      </c>
      <c r="B1" s="7" t="s">
        <v>675</v>
      </c>
      <c r="C1" s="8" t="s">
        <v>676</v>
      </c>
      <c r="D1" s="8" t="s">
        <v>683</v>
      </c>
    </row>
    <row r="2" spans="1:4" x14ac:dyDescent="0.35">
      <c r="A2" t="s">
        <v>677</v>
      </c>
      <c r="B2">
        <f>'2025'!H176</f>
        <v>4564874</v>
      </c>
      <c r="C2">
        <f>'2024'!H175</f>
        <v>4108311</v>
      </c>
      <c r="D2">
        <f>'2023'!H197</f>
        <v>3734146</v>
      </c>
    </row>
    <row r="3" spans="1:4" x14ac:dyDescent="0.35">
      <c r="A3" t="s">
        <v>678</v>
      </c>
      <c r="B3">
        <f>'2025'!H178</f>
        <v>2381646</v>
      </c>
      <c r="C3">
        <f>'2024'!H177</f>
        <v>1772696</v>
      </c>
      <c r="D3">
        <f>'2023'!H199</f>
        <v>1496215</v>
      </c>
    </row>
    <row r="4" spans="1:4" x14ac:dyDescent="0.35">
      <c r="A4" t="s">
        <v>679</v>
      </c>
      <c r="B4">
        <f>'2025'!H187-'2025'!H285</f>
        <v>855531</v>
      </c>
      <c r="C4">
        <f>'2024'!H186-'2024'!H284</f>
        <v>301051</v>
      </c>
      <c r="D4">
        <f>'2023'!H209-'2023'!H309</f>
        <v>-1777736</v>
      </c>
    </row>
    <row r="5" spans="1:4" x14ac:dyDescent="0.35">
      <c r="A5" t="s">
        <v>680</v>
      </c>
      <c r="B5">
        <f>'2025'!H187</f>
        <v>594748</v>
      </c>
      <c r="C5">
        <f>'2024'!H186</f>
        <v>51236</v>
      </c>
      <c r="D5">
        <f>'2023'!H209</f>
        <v>-1988986</v>
      </c>
    </row>
    <row r="6" spans="1:4" x14ac:dyDescent="0.35">
      <c r="A6" t="s">
        <v>681</v>
      </c>
      <c r="B6">
        <f>'2025'!H187-'2025'!H195</f>
        <v>537918</v>
      </c>
      <c r="C6">
        <f>'2024'!H186-'2024'!H194</f>
        <v>36777</v>
      </c>
      <c r="D6">
        <f>'2023'!H209-'2023'!H221</f>
        <v>-1996176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indicadores</vt:lpstr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Monteiro Sena</dc:creator>
  <cp:lastModifiedBy>Samuel Monteiro Sena</cp:lastModifiedBy>
  <dcterms:created xsi:type="dcterms:W3CDTF">2026-03-25T11:44:58Z</dcterms:created>
  <dcterms:modified xsi:type="dcterms:W3CDTF">2026-05-21T11:20:16Z</dcterms:modified>
</cp:coreProperties>
</file>