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elis\Downloads\"/>
    </mc:Choice>
  </mc:AlternateContent>
  <xr:revisionPtr revIDLastSave="0" documentId="13_ncr:1_{38A6AA60-F462-4A42-A4EE-1E6CC17CAF1C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2025" sheetId="3" r:id="rId1"/>
    <sheet name="2024" sheetId="2" r:id="rId2"/>
    <sheet name="2023" sheetId="1" r:id="rId3"/>
    <sheet name="Indicadores" sheetId="5" r:id="rId4"/>
    <sheet name="Rascunho Inicial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3" i="5" l="1"/>
  <c r="F43" i="5"/>
  <c r="F42" i="5"/>
  <c r="E4" i="4"/>
  <c r="H3" i="5"/>
  <c r="E25" i="4"/>
  <c r="D25" i="4"/>
  <c r="E23" i="4"/>
  <c r="D23" i="4"/>
  <c r="E24" i="4"/>
  <c r="D24" i="4"/>
  <c r="F78" i="5"/>
  <c r="F77" i="5"/>
  <c r="F76" i="5"/>
  <c r="F80" i="5"/>
  <c r="F81" i="5"/>
  <c r="F79" i="5"/>
  <c r="F82" i="5" s="1"/>
  <c r="F75" i="5"/>
  <c r="F72" i="5"/>
  <c r="H53" i="5"/>
  <c r="F53" i="5"/>
  <c r="G53" i="5"/>
  <c r="H46" i="5"/>
  <c r="F46" i="5"/>
  <c r="G39" i="5"/>
  <c r="G61" i="5"/>
  <c r="H55" i="5"/>
  <c r="F55" i="5"/>
  <c r="H41" i="5"/>
  <c r="H40" i="5" s="1"/>
  <c r="H39" i="5" s="1"/>
  <c r="F41" i="5"/>
  <c r="F40" i="5" s="1"/>
  <c r="F39" i="5" s="1"/>
  <c r="H29" i="5"/>
  <c r="H31" i="5" s="1"/>
  <c r="H38" i="5" s="1"/>
  <c r="F29" i="5"/>
  <c r="F31" i="5" s="1"/>
  <c r="F38" i="5" s="1"/>
  <c r="G29" i="5"/>
  <c r="I29" i="5"/>
  <c r="F69" i="5" a="1"/>
  <c r="F69" i="5" s="1"/>
  <c r="F70" i="5" s="1"/>
  <c r="F65" i="5" a="1"/>
  <c r="F65" i="5" s="1"/>
  <c r="F67" i="5" s="1"/>
  <c r="F64" i="5" a="1"/>
  <c r="F64" i="5" s="1"/>
  <c r="F71" i="5" s="1"/>
  <c r="H49" i="5" a="1"/>
  <c r="H49" i="5" s="1"/>
  <c r="F49" i="5" a="1"/>
  <c r="F49" i="5" s="1"/>
  <c r="H47" i="5" a="1"/>
  <c r="H47" i="5" s="1"/>
  <c r="H48" i="5" s="1"/>
  <c r="F47" i="5" a="1"/>
  <c r="F47" i="5" s="1"/>
  <c r="F48" i="5" s="1"/>
  <c r="H28" i="5"/>
  <c r="F28" i="5"/>
  <c r="H27" i="5"/>
  <c r="F27" i="5"/>
  <c r="H26" i="5"/>
  <c r="F26" i="5"/>
  <c r="H25" i="5"/>
  <c r="F25" i="5"/>
  <c r="H24" i="5"/>
  <c r="F24" i="5"/>
  <c r="H21" i="5"/>
  <c r="F21" i="5"/>
  <c r="H20" i="5"/>
  <c r="H19" i="5"/>
  <c r="F20" i="5"/>
  <c r="F19" i="5"/>
  <c r="F16" i="5"/>
  <c r="F15" i="5"/>
  <c r="F14" i="5"/>
  <c r="F13" i="5"/>
  <c r="F12" i="5"/>
  <c r="H16" i="5"/>
  <c r="H15" i="5"/>
  <c r="H14" i="5"/>
  <c r="H13" i="5"/>
  <c r="H12" i="5"/>
  <c r="H11" i="5"/>
  <c r="H10" i="5"/>
  <c r="F11" i="5"/>
  <c r="F10" i="5"/>
  <c r="H7" i="5"/>
  <c r="H6" i="5"/>
  <c r="H5" i="5"/>
  <c r="H4" i="5"/>
  <c r="F7" i="5"/>
  <c r="F6" i="5"/>
  <c r="F5" i="5"/>
  <c r="F4" i="5"/>
  <c r="F3" i="5"/>
  <c r="D4" i="4"/>
  <c r="J14" i="4"/>
  <c r="J12" i="4"/>
  <c r="J4" i="4"/>
  <c r="L8" i="4"/>
  <c r="J8" i="4"/>
  <c r="L6" i="4"/>
  <c r="J6" i="4"/>
  <c r="L7" i="4"/>
  <c r="J7" i="4"/>
  <c r="L5" i="4"/>
  <c r="J5" i="4"/>
  <c r="L4" i="4"/>
  <c r="E30" i="4"/>
  <c r="D30" i="4"/>
  <c r="E29" i="4"/>
  <c r="D29" i="4"/>
  <c r="E28" i="4"/>
  <c r="D28" i="4"/>
  <c r="E27" i="4"/>
  <c r="D27" i="4"/>
  <c r="E26" i="4"/>
  <c r="D26" i="4"/>
  <c r="E21" i="4"/>
  <c r="D21" i="4"/>
  <c r="E20" i="4"/>
  <c r="D20" i="4"/>
  <c r="D9" i="4"/>
  <c r="D10" i="4" s="1"/>
  <c r="E12" i="4"/>
  <c r="E13" i="4" s="1"/>
  <c r="D12" i="4"/>
  <c r="D13" i="4" s="1"/>
  <c r="E9" i="4"/>
  <c r="E16" i="4" s="1"/>
  <c r="E11" i="4"/>
  <c r="D11" i="4"/>
  <c r="F73" i="5" l="1"/>
  <c r="F74" i="5" s="1"/>
  <c r="F37" i="5"/>
  <c r="F51" i="5"/>
  <c r="H30" i="5"/>
  <c r="H34" i="5" s="1"/>
  <c r="F68" i="5"/>
  <c r="H51" i="5"/>
  <c r="F50" i="5"/>
  <c r="G50" i="5"/>
  <c r="H50" i="5"/>
  <c r="G51" i="5"/>
  <c r="G52" i="5" s="1"/>
  <c r="H37" i="5"/>
  <c r="H42" i="5"/>
  <c r="F30" i="5"/>
  <c r="F34" i="5" s="1"/>
  <c r="E22" i="4"/>
  <c r="D22" i="4"/>
  <c r="D14" i="4"/>
  <c r="D15" i="4" s="1"/>
  <c r="E14" i="4"/>
  <c r="E15" i="4" s="1"/>
  <c r="E10" i="4"/>
  <c r="D16" i="4"/>
  <c r="E8" i="4"/>
  <c r="D8" i="4"/>
  <c r="E7" i="4"/>
  <c r="D7" i="4"/>
  <c r="E6" i="4"/>
  <c r="D6" i="4"/>
  <c r="E5" i="4"/>
  <c r="E18" i="4"/>
  <c r="E17" i="4"/>
  <c r="D5" i="4"/>
  <c r="D18" i="4"/>
  <c r="D17" i="4"/>
  <c r="H54" i="5" l="1"/>
  <c r="H56" i="5" s="1"/>
  <c r="H52" i="5"/>
  <c r="F54" i="5"/>
  <c r="F56" i="5" s="1"/>
  <c r="F52" i="5"/>
  <c r="F59" i="5"/>
  <c r="F61" i="5" s="1"/>
  <c r="F60" i="5"/>
  <c r="F33" i="5"/>
  <c r="H33" i="5"/>
  <c r="H32" i="5"/>
  <c r="F32" i="5"/>
  <c r="E19" i="4"/>
  <c r="D19" i="4"/>
  <c r="H60" i="5" l="1"/>
  <c r="H59" i="5"/>
  <c r="H6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<sst xmlns="http://schemas.openxmlformats.org/spreadsheetml/2006/main" count="5647" uniqueCount="910">
  <si>
    <t>id</t>
  </si>
  <si>
    <t>empresa_tic</t>
  </si>
  <si>
    <t>ano_tri</t>
  </si>
  <si>
    <t>data_ini</t>
  </si>
  <si>
    <t>data_fim</t>
  </si>
  <si>
    <t>conta</t>
  </si>
  <si>
    <t>descricao</t>
  </si>
  <si>
    <t>valor</t>
  </si>
  <si>
    <t>tipo_balanco</t>
  </si>
  <si>
    <t>VIVA</t>
  </si>
  <si>
    <t>20254T</t>
  </si>
  <si>
    <t>1</t>
  </si>
  <si>
    <t>Ativo Total</t>
  </si>
  <si>
    <t>DFs Consolidadas</t>
  </si>
  <si>
    <t>1.01</t>
  </si>
  <si>
    <t>Ativo Circulante</t>
  </si>
  <si>
    <t>1.01.01</t>
  </si>
  <si>
    <t>Caixa e Equivalentes de Caixa</t>
  </si>
  <si>
    <t>1.01.01.01</t>
  </si>
  <si>
    <t>Caixas e equivalentes de caixa</t>
  </si>
  <si>
    <t>1.01.02</t>
  </si>
  <si>
    <t>Aplicações Financeiras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</si>
  <si>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</si>
  <si>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</si>
  <si>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</si>
  <si>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</si>
  <si>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</si>
  <si>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</si>
  <si>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1.01.02.01.03</t>
  </si>
  <si>
    <t>Títulos e valores mobiliários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</si>
  <si>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</si>
  <si>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</si>
  <si>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</si>
  <si>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</si>
  <si>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</si>
  <si>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</si>
  <si>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1.01.03.01</t>
  </si>
  <si>
    <t>Clientes</t>
  </si>
  <si>
    <t>1.01.03.01.01</t>
  </si>
  <si>
    <t>Contas a receber</t>
  </si>
  <si>
    <t>1.01.03.01.02</t>
  </si>
  <si>
    <t>Contas a receber partes relacionadas</t>
  </si>
  <si>
    <t>1.01.03.02</t>
  </si>
  <si>
    <t>Outras Contas a Receber</t>
  </si>
  <si>
    <t>1.01.03.02.01</t>
  </si>
  <si>
    <t>JSCP a receber</t>
  </si>
  <si>
    <t>1.01.04</t>
  </si>
  <si>
    <t>Estoques</t>
  </si>
  <si>
    <t>1.01.04.01</t>
  </si>
  <si>
    <t>1.01.05</t>
  </si>
  <si>
    <t>Ativos Biológicos</t>
  </si>
  <si>
    <t>1.01.06</t>
  </si>
  <si>
    <t>Tributos a Recuperar</t>
  </si>
  <si>
    <t>1.01.06.01</t>
  </si>
  <si>
    <t>Tributos Correntes a Recuperar</t>
  </si>
  <si>
    <t>1.01.06.01.01</t>
  </si>
  <si>
    <t>Impostos a recuperar</t>
  </si>
  <si>
    <t>1.01.06.01.02</t>
  </si>
  <si>
    <t>IRPJ e CSLL a recuperar</t>
  </si>
  <si>
    <t>1.01.07</t>
  </si>
  <si>
    <t>Despesas Antecipadas</t>
  </si>
  <si>
    <t>1.01.07.01</t>
  </si>
  <si>
    <t>Despesas pagas antecipadamente e outros créditos</t>
  </si>
  <si>
    <t>1.01.08</t>
  </si>
  <si>
    <t>Outros Ativos Circulantes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</si>
  <si>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</si>
  <si>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</si>
  <si>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</si>
  <si>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</si>
  <si>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</si>
  <si>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</si>
  <si>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</si>
  <si>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Instrumentos derivativos ativo</t>
  </si>
  <si>
    <t>1.02</t>
  </si>
  <si>
    <t>Ativo Não Circulante</t>
  </si>
  <si>
    <t>1.02.01</t>
  </si>
  <si>
    <t>Ativo Realizável a Longo Prazo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</si>
  <si>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</si>
  <si>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</si>
  <si>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</si>
  <si>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</si>
  <si>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</si>
  <si>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</si>
  <si>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</si>
  <si>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1.02.01.04.03</t>
  </si>
  <si>
    <t>Contas a receber partes relacionadas LP</t>
  </si>
  <si>
    <t>1.02.01.05</t>
  </si>
  <si>
    <t>1.02.01.06</t>
  </si>
  <si>
    <t>1.02.01.07</t>
  </si>
  <si>
    <t>Tributos Diferidos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</si>
  <si>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</si>
  <si>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</si>
  <si>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</si>
  <si>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</si>
  <si>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</si>
  <si>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</si>
  <si>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</si>
  <si>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</si>
  <si>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</si>
  <si>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</si>
  <si>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</si>
  <si>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</si>
  <si>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</si>
  <si>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1.02.01.10.01</t>
  </si>
  <si>
    <t>1.02.01.10.02</t>
  </si>
  <si>
    <t>1.02.01.10.03</t>
  </si>
  <si>
    <t>Depósitos judiciais</t>
  </si>
  <si>
    <t>1.02.01.10.04</t>
  </si>
  <si>
    <t>Instrumentos derivativos ativo LP</t>
  </si>
  <si>
    <t>1.02.01.10.05</t>
  </si>
  <si>
    <t>Impostos a recuperar LP</t>
  </si>
  <si>
    <t>1.02.01.10.06</t>
  </si>
  <si>
    <t>1.02.01.10.07</t>
  </si>
  <si>
    <t>IRPJ e CSLL a recuperar LP</t>
  </si>
  <si>
    <t>1.02.02</t>
  </si>
  <si>
    <t>Investimentos</t>
  </si>
  <si>
    <t>1.02.02.01</t>
  </si>
  <si>
    <t>Participações Societárias</t>
  </si>
  <si>
    <t>1.02.02.01.01</t>
  </si>
  <si>
    <t>Participações em Coligadas</t>
  </si>
  <si>
    <t>1.02.02.01.04</t>
  </si>
  <si>
    <t>Participações em Controladas em Conjunto</t>
  </si>
  <si>
    <t>1.02.02.01.05</t>
  </si>
  <si>
    <t>Outros Investimentos</t>
  </si>
  <si>
    <t>1.02.02.02</t>
  </si>
  <si>
    <t>Propriedades para Investimento</t>
  </si>
  <si>
    <t>1.02.03</t>
  </si>
  <si>
    <t>Imobilizado</t>
  </si>
  <si>
    <t>1.02.03.01</t>
  </si>
  <si>
    <t>Imobilizado em Operação</t>
  </si>
  <si>
    <t>1.02.03.01.01</t>
  </si>
  <si>
    <t>1.02.03.02</t>
  </si>
  <si>
    <t>Direito de Uso em Arrendamento</t>
  </si>
  <si>
    <t>1.02.03.03</t>
  </si>
  <si>
    <t>Imobilizado em Andamento</t>
  </si>
  <si>
    <t>1.02.04</t>
  </si>
  <si>
    <t>Intangível</t>
  </si>
  <si>
    <t>1.02.04.01</t>
  </si>
  <si>
    <t>Intangíveis</t>
  </si>
  <si>
    <t>1.02.04.01.01</t>
  </si>
  <si>
    <t>Contrato de Concessão</t>
  </si>
  <si>
    <t>1.02.04.01.02</t>
  </si>
  <si>
    <t>1.02.04.02</t>
  </si>
  <si>
    <t>Goodwill</t>
  </si>
  <si>
    <t>2</t>
  </si>
  <si>
    <t>Passivo Total</t>
  </si>
  <si>
    <t xml:space="preserve"> </t>
  </si>
  <si>
    <t>2.01</t>
  </si>
  <si>
    <t>Passivo Circulante</t>
  </si>
  <si>
    <t>2.01.01</t>
  </si>
  <si>
    <t>Obrigações Sociais e Trabalhistas</t>
  </si>
  <si>
    <t>2.01.01.01</t>
  </si>
  <si>
    <t>Obrigações Sociais</t>
  </si>
  <si>
    <t>2.01.01.01.01</t>
  </si>
  <si>
    <t>INSS e FGTS</t>
  </si>
  <si>
    <t>2.01.01.02</t>
  </si>
  <si>
    <t>Obrigações Trabalhistas</t>
  </si>
  <si>
    <t>2.01.01.02.01</t>
  </si>
  <si>
    <t>Provisão de férias e 13º salário</t>
  </si>
  <si>
    <t>2.01.01.02.02</t>
  </si>
  <si>
    <t>Obrigações trabalhistas</t>
  </si>
  <si>
    <t>2.01.02</t>
  </si>
  <si>
    <t>Fornecedores</t>
  </si>
  <si>
    <t>2.01.02.01</t>
  </si>
  <si>
    <t>Fornecedores Nacionais</t>
  </si>
  <si>
    <t>2.01.02.01.01</t>
  </si>
  <si>
    <t>Nacionais</t>
  </si>
  <si>
    <t>2.01.02.01.02</t>
  </si>
  <si>
    <t>Convênio</t>
  </si>
  <si>
    <t>2.01.02.01.03</t>
  </si>
  <si>
    <t>Serviços tomados a pagar</t>
  </si>
  <si>
    <t>2.01.02.02</t>
  </si>
  <si>
    <t>Fornecedores Estrangeiros</t>
  </si>
  <si>
    <t>2.01.02.02.01</t>
  </si>
  <si>
    <t>Estrangeiros</t>
  </si>
  <si>
    <t>2.01.03</t>
  </si>
  <si>
    <t>Obrigações Fiscais</t>
  </si>
  <si>
    <t>2.01.03.01</t>
  </si>
  <si>
    <t>Obrigações Fiscais Federais</t>
  </si>
  <si>
    <t>2.01.03.01.01</t>
  </si>
  <si>
    <t>Imposto de Renda e Contribuição Social a Pagar</t>
  </si>
  <si>
    <t>2.01.03.01.02</t>
  </si>
  <si>
    <t>Pis e Cofins a pagar</t>
  </si>
  <si>
    <t>2.01.03.01.03</t>
  </si>
  <si>
    <t>IPI a pagar</t>
  </si>
  <si>
    <t>2.01.03.01.04</t>
  </si>
  <si>
    <t>Outras obrigações federais a pagar</t>
  </si>
  <si>
    <t>2.01.03.01.05</t>
  </si>
  <si>
    <t>Parcelamento de tributos</t>
  </si>
  <si>
    <t>2.01.03.02</t>
  </si>
  <si>
    <t>Obrigações Fiscais Estaduais</t>
  </si>
  <si>
    <t>2.01.03.02.01</t>
  </si>
  <si>
    <t>ICMS a pagar</t>
  </si>
  <si>
    <t>2.01.03.02.02</t>
  </si>
  <si>
    <t>2.01.03.02.03</t>
  </si>
  <si>
    <t>Outras obrigações estaduais a pagar</t>
  </si>
  <si>
    <t>2.01.03.03</t>
  </si>
  <si>
    <t>Obrigações Fiscais Municipais</t>
  </si>
  <si>
    <t>2.01.03.03.01</t>
  </si>
  <si>
    <t>ISS a pagar</t>
  </si>
  <si>
    <t>2.01.03.03.02</t>
  </si>
  <si>
    <t>Outras obrigações municipais a pagar</t>
  </si>
  <si>
    <t>2.01.04</t>
  </si>
  <si>
    <t>Empréstimos e Financiamentos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</si>
  <si>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</si>
  <si>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</si>
  <si>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</si>
  <si>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</si>
  <si>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</si>
  <si>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</si>
  <si>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</si>
  <si>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</si>
  <si>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</si>
  <si>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</si>
  <si>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</si>
  <si>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2.01.05.01</t>
  </si>
  <si>
    <t>Passivos com Partes Relacionadas</t>
  </si>
  <si>
    <t>2.01.05.01.01</t>
  </si>
  <si>
    <t>Débitos com Coligadas</t>
  </si>
  <si>
    <t>2.01.05.01.03</t>
  </si>
  <si>
    <t>Débitos com Controladores</t>
  </si>
  <si>
    <t>2.01.05.01.04</t>
  </si>
  <si>
    <t>Débitos com Outras Partes Relacionadas</t>
  </si>
  <si>
    <t>2.01.05.02</t>
  </si>
  <si>
    <t>2.01.05.02.01</t>
  </si>
  <si>
    <t>Dividendos e JCP a Pagar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</si>
  <si>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</si>
  <si>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</si>
  <si>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</si>
  <si>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</si>
  <si>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</si>
  <si>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Arrendamentos a pagar</t>
  </si>
  <si>
    <t>2.01.05.02.05</t>
  </si>
  <si>
    <t>Arrendamentos de direito de uso a pagar</t>
  </si>
  <si>
    <t>2.01.05.02.06</t>
  </si>
  <si>
    <t>Instrumentos derivativos passivo</t>
  </si>
  <si>
    <t>2.01.05.02.07</t>
  </si>
  <si>
    <t>2.01.05.02.08</t>
  </si>
  <si>
    <t>Outras obrigações</t>
  </si>
  <si>
    <t>2.01.05.02.09</t>
  </si>
  <si>
    <t>2.01.05.02.10</t>
  </si>
  <si>
    <t>Adiantamentos de clientes</t>
  </si>
  <si>
    <t>2.01.05.02.11</t>
  </si>
  <si>
    <t>Receitas Diferidas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</si>
  <si>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</si>
  <si>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</si>
  <si>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</si>
  <si>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</si>
  <si>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</si>
  <si>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</si>
  <si>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</si>
  <si>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</si>
  <si>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</si>
  <si>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</si>
  <si>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</si>
  <si>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</si>
  <si>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</si>
  <si>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</si>
  <si>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</si>
  <si>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</si>
  <si>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</si>
  <si>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</si>
  <si>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</si>
  <si>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</si>
  <si>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</si>
  <si>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</si>
  <si>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</si>
  <si>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</si>
  <si>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</si>
  <si>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</si>
  <si>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</si>
  <si>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</si>
  <si>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</si>
  <si>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</si>
  <si>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</si>
  <si>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</si>
  <si>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</si>
  <si>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</si>
  <si>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</si>
  <si>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</si>
  <si>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</si>
  <si>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</si>
  <si>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</si>
  <si>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</si>
  <si>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</si>
  <si>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</si>
  <si>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</si>
  <si>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2.02.02.02.04</t>
  </si>
  <si>
    <t>2.02.02.02.05</t>
  </si>
  <si>
    <t>2.02.02.02.06</t>
  </si>
  <si>
    <t>2.02.02.02.07</t>
  </si>
  <si>
    <t>2.02.02.02.08</t>
  </si>
  <si>
    <t>2.02.02.02.09</t>
  </si>
  <si>
    <t>Obrigações Trabalhistas LP</t>
  </si>
  <si>
    <t>2.02.03</t>
  </si>
  <si>
    <t>2.02.03.01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</si>
  <si>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</si>
  <si>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</si>
  <si>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</si>
  <si>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</si>
  <si>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</si>
  <si>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</si>
  <si>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</si>
  <si>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</si>
  <si>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</si>
  <si>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</si>
  <si>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</si>
  <si>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</si>
  <si>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</si>
  <si>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</si>
  <si>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</si>
  <si>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</si>
  <si>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</si>
  <si>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</si>
  <si>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</si>
  <si>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</si>
  <si>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</si>
  <si>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</si>
  <si>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Subvenções de Investimento a ApropriarSubvenções de Investimento a ApropriarSubvenções de Investimento a Apropriar</t>
  </si>
  <si>
    <t>2.03.01</t>
  </si>
  <si>
    <t>Capital Social Realizado</t>
  </si>
  <si>
    <t>2.03.01.01</t>
  </si>
  <si>
    <t>Capital social</t>
  </si>
  <si>
    <t>2.03.01.02</t>
  </si>
  <si>
    <t>( - ) Custo de emissão de ações</t>
  </si>
  <si>
    <t>2.03.02</t>
  </si>
  <si>
    <t>Reservas de Capital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</si>
  <si>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</si>
  <si>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</si>
  <si>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</si>
  <si>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</si>
  <si>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</si>
  <si>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</si>
  <si>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</si>
  <si>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</si>
  <si>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</si>
  <si>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</si>
  <si>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</si>
  <si>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</si>
  <si>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2.03.03</t>
  </si>
  <si>
    <t>Reservas de Reavaliação</t>
  </si>
  <si>
    <t>2.03.04</t>
  </si>
  <si>
    <t>Reservas de Lucros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</si>
  <si>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</si>
  <si>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</si>
  <si>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</si>
  <si>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</si>
  <si>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</si>
  <si>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</si>
  <si>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</si>
  <si>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</si>
  <si>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</si>
  <si>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</si>
  <si>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</si>
  <si>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</si>
  <si>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</si>
  <si>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</si>
  <si>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</si>
  <si>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</si>
  <si>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</si>
  <si>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</si>
  <si>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Reserva de Lucros</t>
  </si>
  <si>
    <t>2.03.05</t>
  </si>
  <si>
    <t>Lucros/Prejuízos Acumulados</t>
  </si>
  <si>
    <t>2.03.06</t>
  </si>
  <si>
    <t>Ajustes de Avaliação Patrimonial</t>
  </si>
  <si>
    <t>2.03.07</t>
  </si>
  <si>
    <t>Ajustes Acumulados de Conversão</t>
  </si>
  <si>
    <t>2.03.08</t>
  </si>
  <si>
    <t>Outros Resultados Abrangentes</t>
  </si>
  <si>
    <t>2.03.08.01</t>
  </si>
  <si>
    <t>Outros resultados abrangentes</t>
  </si>
  <si>
    <t>2.03.09</t>
  </si>
  <si>
    <t>Participação dos Acionistas Não Controladores</t>
  </si>
  <si>
    <t>3.01</t>
  </si>
  <si>
    <t>Receita de Venda de Bens e/ou Serviços</t>
  </si>
  <si>
    <t>3.01.01</t>
  </si>
  <si>
    <t>Receita líquida de vendas de mercadorias e serviços prestados</t>
  </si>
  <si>
    <t>3.02</t>
  </si>
  <si>
    <t>Custo dos Bens e/ou Serviços Vendidos</t>
  </si>
  <si>
    <t>3.02.01</t>
  </si>
  <si>
    <t>Custos das mercadorias vendidas e dos serviços prestados</t>
  </si>
  <si>
    <t>3.03</t>
  </si>
  <si>
    <t>Resultado Bruto</t>
  </si>
  <si>
    <t>3.04</t>
  </si>
  <si>
    <t>Despesas/Receitas Operacionais</t>
  </si>
  <si>
    <t>3.04.01</t>
  </si>
  <si>
    <t>Despesas com Vendas</t>
  </si>
  <si>
    <t>3.04.01.01</t>
  </si>
  <si>
    <t>Com vendas</t>
  </si>
  <si>
    <t>3.04.02</t>
  </si>
  <si>
    <t>Despesas Gerais e Administrativas</t>
  </si>
  <si>
    <t>3.04.02.01</t>
  </si>
  <si>
    <t>Gerias e administrativas</t>
  </si>
  <si>
    <t>3.04.03</t>
  </si>
  <si>
    <t>Perdas pela Não Recuperabilidade de Ativos</t>
  </si>
  <si>
    <t>3.04.04</t>
  </si>
  <si>
    <t>Outras Receitas Operacionais</t>
  </si>
  <si>
    <t>3.04.04.01</t>
  </si>
  <si>
    <t>Outras receitas operacionais</t>
  </si>
  <si>
    <t>3.04.05</t>
  </si>
  <si>
    <t>Outras Despesas Operacionais</t>
  </si>
  <si>
    <t>3.04.05.01</t>
  </si>
  <si>
    <t>Outras despesas operacionais</t>
  </si>
  <si>
    <t>3.04.06</t>
  </si>
  <si>
    <t>Resultado de Equivalência Patrimonial</t>
  </si>
  <si>
    <t>3.04.06.01</t>
  </si>
  <si>
    <t>Resultado de equivalência patrimonial</t>
  </si>
  <si>
    <t>3.05</t>
  </si>
  <si>
    <t>Resultado Antes do Resultado Financeiro e dos Tributos</t>
  </si>
  <si>
    <t>3.06</t>
  </si>
  <si>
    <t>Resultado Financeiro</t>
  </si>
  <si>
    <t>3.06.01</t>
  </si>
  <si>
    <t>Receitas Financeiras</t>
  </si>
  <si>
    <t>3.06.01.01</t>
  </si>
  <si>
    <t>Receitas financeiras</t>
  </si>
  <si>
    <t>3.06.02</t>
  </si>
  <si>
    <t>Despesas Financeiras</t>
  </si>
  <si>
    <t>3.06.02.01</t>
  </si>
  <si>
    <t>Despesas financeiras</t>
  </si>
  <si>
    <t>3.07</t>
  </si>
  <si>
    <t>Resultado Antes dos Tributos sobre o Lucro</t>
  </si>
  <si>
    <t>3.08</t>
  </si>
  <si>
    <t>Imposto de Renda e Contribuição Social sobre o Lucro</t>
  </si>
  <si>
    <t>3.08.01</t>
  </si>
  <si>
    <t>Corrente</t>
  </si>
  <si>
    <t>3.08.02</t>
  </si>
  <si>
    <t>Diferido</t>
  </si>
  <si>
    <t>3.09</t>
  </si>
  <si>
    <t>Resultado Líquido das Operações Continuadas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</si>
  <si>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</si>
  <si>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</si>
  <si>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</si>
  <si>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</si>
  <si>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</si>
  <si>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</si>
  <si>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</si>
  <si>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</si>
  <si>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</si>
  <si>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</si>
  <si>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</si>
  <si>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</si>
  <si>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3.99</t>
  </si>
  <si>
    <t>Lucro por Ação - (Reais / Ação)</t>
  </si>
  <si>
    <t>3.99.01</t>
  </si>
  <si>
    <t>Lucro Básico por Ação</t>
  </si>
  <si>
    <t>3.99.01.01</t>
  </si>
  <si>
    <t>ON</t>
  </si>
  <si>
    <t>3.99.02</t>
  </si>
  <si>
    <t>Lucro Diluído por Ação</t>
  </si>
  <si>
    <t>3.99.02.01</t>
  </si>
  <si>
    <t>6.01</t>
  </si>
  <si>
    <t>Caixa Líquido Atividades Operacionais</t>
  </si>
  <si>
    <t>6.01.01</t>
  </si>
  <si>
    <t>Caixa Gerado nas Operações</t>
  </si>
  <si>
    <t>6.01.01.01</t>
  </si>
  <si>
    <t>Lucro Líquido (prejuízo) do exercício</t>
  </si>
  <si>
    <t>6.01.01.02</t>
  </si>
  <si>
    <t>Depreciação e amortização</t>
  </si>
  <si>
    <t>6.01.01.03</t>
  </si>
  <si>
    <t>Encargos e variação cambial sobre empréstimos e financiamentos</t>
  </si>
  <si>
    <t>6.01.01.04</t>
  </si>
  <si>
    <t>Encargos sobre arrendamento direto de uso locação</t>
  </si>
  <si>
    <t>6.01.01.05</t>
  </si>
  <si>
    <t>Imposto de renda e contribuição social correntes e diferidos</t>
  </si>
  <si>
    <t>6.01.01.06</t>
  </si>
  <si>
    <t>Provisão para perdas de estoque</t>
  </si>
  <si>
    <t>6.01.01.07</t>
  </si>
  <si>
    <t>Provisão para riscos cíveis, trabalhistas e tributários</t>
  </si>
  <si>
    <t>6.01.01.08</t>
  </si>
  <si>
    <t>6.01.01.09</t>
  </si>
  <si>
    <t>Juros sobre parcelamento de tributos</t>
  </si>
  <si>
    <t>6.01.01.10</t>
  </si>
  <si>
    <t>Baixa de ativo imobilizado e intangível</t>
  </si>
  <si>
    <t>6.01.01.11</t>
  </si>
  <si>
    <t>Créditos tributários</t>
  </si>
  <si>
    <t>6.01.01.12</t>
  </si>
  <si>
    <t>Atualização monetária depósitos judiciais e impostos a recuperar</t>
  </si>
  <si>
    <t>6.01.01.13</t>
  </si>
  <si>
    <t>Perdas esperadas de crédito</t>
  </si>
  <si>
    <t>6.01.01.14</t>
  </si>
  <si>
    <t>Descontos arrendamento</t>
  </si>
  <si>
    <t>6.01.01.15</t>
  </si>
  <si>
    <t>Opções outorgadas</t>
  </si>
  <si>
    <t>6.01.01.16</t>
  </si>
  <si>
    <t>Contratos arrendamentos baixados</t>
  </si>
  <si>
    <t>6.01.01.17</t>
  </si>
  <si>
    <t>Incentivos de longo prazo</t>
  </si>
  <si>
    <t>6.01.01.18</t>
  </si>
  <si>
    <t>Variação cambial fornecedores</t>
  </si>
  <si>
    <t>6.01.01.19</t>
  </si>
  <si>
    <t>Encargos sobre antecipação de recebíveis</t>
  </si>
  <si>
    <t>6.01.02</t>
  </si>
  <si>
    <t>Variações nos Ativos e Passivos</t>
  </si>
  <si>
    <t>6.01.02.01</t>
  </si>
  <si>
    <t>6.01.02.02</t>
  </si>
  <si>
    <t>Partes relacionadas</t>
  </si>
  <si>
    <t>6.01.02.03</t>
  </si>
  <si>
    <t>6.01.02.04</t>
  </si>
  <si>
    <t>6.01.02.05</t>
  </si>
  <si>
    <t>6.01.02.06</t>
  </si>
  <si>
    <t>Outros créditos</t>
  </si>
  <si>
    <t>6.01.02.07</t>
  </si>
  <si>
    <t>6.01.02.08</t>
  </si>
  <si>
    <t>Obrigações trabalhistas e previdenciárias</t>
  </si>
  <si>
    <t>6.01.02.09</t>
  </si>
  <si>
    <t>Obrigações tributárias</t>
  </si>
  <si>
    <t>6.01.02.10</t>
  </si>
  <si>
    <t>Arrendamentos variáveis e condominios a pagar</t>
  </si>
  <si>
    <t>6.01.02.11</t>
  </si>
  <si>
    <t>6.01.02.12</t>
  </si>
  <si>
    <t>Contingências pagas</t>
  </si>
  <si>
    <t>6.01.02.13</t>
  </si>
  <si>
    <t>6.01.02.14</t>
  </si>
  <si>
    <t>6.01.02.15</t>
  </si>
  <si>
    <t>Incentivos de longo prazo pagos</t>
  </si>
  <si>
    <t>6.01.02.16</t>
  </si>
  <si>
    <t>Receitas diferidas</t>
  </si>
  <si>
    <t>6.01.03</t>
  </si>
  <si>
    <t>6.01.03.01</t>
  </si>
  <si>
    <t>Imposto de renda e contribuição social pagos</t>
  </si>
  <si>
    <t>6.01.03.02</t>
  </si>
  <si>
    <t>Juros pagos de empréstimos e financiamentos</t>
  </si>
  <si>
    <t>6.01.03.03</t>
  </si>
  <si>
    <t>Juros pagos de arrendamentos de direito de uso</t>
  </si>
  <si>
    <t>6.02</t>
  </si>
  <si>
    <t>Caixa Líquido Atividades de Investimento</t>
  </si>
  <si>
    <t>6.02.01</t>
  </si>
  <si>
    <t>Aplicações financeiras</t>
  </si>
  <si>
    <t>6.02.02</t>
  </si>
  <si>
    <t>Aquisição de imobilizado</t>
  </si>
  <si>
    <t>6.02.03</t>
  </si>
  <si>
    <t>Aquisição de intangível</t>
  </si>
  <si>
    <t>6.02.04</t>
  </si>
  <si>
    <t>Concessão de empréstimo a partes relacionadas</t>
  </si>
  <si>
    <t>6.02.05</t>
  </si>
  <si>
    <t>Venda de imobilizado</t>
  </si>
  <si>
    <t>6.02.06</t>
  </si>
  <si>
    <t>Aporte de capital em controladas</t>
  </si>
  <si>
    <t>6.02.08</t>
  </si>
  <si>
    <t>Juros sobre capital próprios recebidos</t>
  </si>
  <si>
    <t>6.02.09</t>
  </si>
  <si>
    <t>Ações em tesouraria</t>
  </si>
  <si>
    <t>6.02.10</t>
  </si>
  <si>
    <t>Dividendos recebidos</t>
  </si>
  <si>
    <t>6.03</t>
  </si>
  <si>
    <t>Caixa Líquido Atividades de Financiamento</t>
  </si>
  <si>
    <t>6.03.01</t>
  </si>
  <si>
    <t>Recompra de ações</t>
  </si>
  <si>
    <t>6.03.02</t>
  </si>
  <si>
    <t>6.03.03</t>
  </si>
  <si>
    <t>Dividendos pagos</t>
  </si>
  <si>
    <t>6.03.04</t>
  </si>
  <si>
    <t>Captação de empréstimos e financiamentos</t>
  </si>
  <si>
    <t>6.03.05</t>
  </si>
  <si>
    <t>Amortização de empréstimos e financiamentos</t>
  </si>
  <si>
    <t>6.03.06</t>
  </si>
  <si>
    <t>Liquidação contratos SWAP</t>
  </si>
  <si>
    <t>6.03.07</t>
  </si>
  <si>
    <t>Amortização de arrendamentos direito de uso</t>
  </si>
  <si>
    <t>6.03.08</t>
  </si>
  <si>
    <t>Captação de financiamentos fornecedores convênio</t>
  </si>
  <si>
    <t>6.03.09</t>
  </si>
  <si>
    <t>Juros sobre o capital próprio pagos</t>
  </si>
  <si>
    <t>6.03.10</t>
  </si>
  <si>
    <t>Amortização de fornecedores convênio</t>
  </si>
  <si>
    <t>6.03.13</t>
  </si>
  <si>
    <t>Encargos emissão debentures</t>
  </si>
  <si>
    <t>6.04</t>
  </si>
  <si>
    <t>Variação Cambial s/ Caixa e Equivalentes</t>
  </si>
  <si>
    <t>6.05</t>
  </si>
  <si>
    <t>Aumento (Redução) de Caixa e Equivalentes</t>
  </si>
  <si>
    <t>6.05.01</t>
  </si>
  <si>
    <t>Saldo Inicial de Caixa e Equivalentes</t>
  </si>
  <si>
    <t>6.05.02</t>
  </si>
  <si>
    <t>Saldo Final de Caixa e Equivalentes</t>
  </si>
  <si>
    <t>7.01</t>
  </si>
  <si>
    <t>Receitas</t>
  </si>
  <si>
    <t>7.01.01</t>
  </si>
  <si>
    <t>Vendas de Mercadorias, Produtos e Serviços</t>
  </si>
  <si>
    <t>7.01.02</t>
  </si>
  <si>
    <t>Outras Receitas</t>
  </si>
  <si>
    <t>7.01.02.01</t>
  </si>
  <si>
    <t>Outras receitas</t>
  </si>
  <si>
    <t>7.01.02.02</t>
  </si>
  <si>
    <t>Perdas esperadas de créditos</t>
  </si>
  <si>
    <t>7.01.03</t>
  </si>
  <si>
    <t>Receitas refs. à Construção de Ativos Próprios</t>
  </si>
  <si>
    <t>7.01.04</t>
  </si>
  <si>
    <t>Provisão/Reversão de Créds. Liquidação Duvidosa</t>
  </si>
  <si>
    <t>7.02</t>
  </si>
  <si>
    <t>Insumos Adquiridos de Terceiros</t>
  </si>
  <si>
    <t>7.02.01</t>
  </si>
  <si>
    <t>Custos Prods., Mercs. e Servs. Vendidos</t>
  </si>
  <si>
    <t>7.02.02</t>
  </si>
  <si>
    <t>Materiais, Energia, Servs. de Terceiros e Outros</t>
  </si>
  <si>
    <t>7.02.03</t>
  </si>
  <si>
    <t>Perda/Recuperação de Valores Ativos</t>
  </si>
  <si>
    <t>7.02.04</t>
  </si>
  <si>
    <t>7.02.04.01</t>
  </si>
  <si>
    <t>Insumos utilizados na construção de ativos próprios</t>
  </si>
  <si>
    <t>7.03</t>
  </si>
  <si>
    <t>Valor Adicionado Bruto</t>
  </si>
  <si>
    <t>7.04</t>
  </si>
  <si>
    <t>Retenções</t>
  </si>
  <si>
    <t>7.04.01</t>
  </si>
  <si>
    <t>Depreciação, Amortização e Exaustão</t>
  </si>
  <si>
    <t>7.04.02</t>
  </si>
  <si>
    <t>Outras</t>
  </si>
  <si>
    <t>7.05</t>
  </si>
  <si>
    <t>Valor Adicionado Líquido Produzido</t>
  </si>
  <si>
    <t>7.06</t>
  </si>
  <si>
    <t>Vlr Adicionado Recebido em Transferência</t>
  </si>
  <si>
    <t>7.06.01</t>
  </si>
  <si>
    <t>7.06.02</t>
  </si>
  <si>
    <t>7.06.03</t>
  </si>
  <si>
    <t>7.06.03.01</t>
  </si>
  <si>
    <t>Participação nos lucros de controladas/coligadas</t>
  </si>
  <si>
    <t>7.07</t>
  </si>
  <si>
    <t>Valor Adicionado Total a Distribuir</t>
  </si>
  <si>
    <t>7.08</t>
  </si>
  <si>
    <t>Distribuição do Valor Adicionado</t>
  </si>
  <si>
    <t>7.08.01</t>
  </si>
  <si>
    <t>Pessoal</t>
  </si>
  <si>
    <t>7.08.01.01</t>
  </si>
  <si>
    <t>Remuneração Direta</t>
  </si>
  <si>
    <t>7.08.01.02</t>
  </si>
  <si>
    <t>Benefícios</t>
  </si>
  <si>
    <t>7.08.01.03</t>
  </si>
  <si>
    <t>F.G.T.S.</t>
  </si>
  <si>
    <t>7.08.01.04</t>
  </si>
  <si>
    <t>7.08.02</t>
  </si>
  <si>
    <t>Impostos, Taxas e Contribuições</t>
  </si>
  <si>
    <t>7.08.02.01</t>
  </si>
  <si>
    <t>Federais</t>
  </si>
  <si>
    <t>7.08.02.02</t>
  </si>
  <si>
    <t>Estaduais</t>
  </si>
  <si>
    <t>7.08.02.03</t>
  </si>
  <si>
    <t>Municipais</t>
  </si>
  <si>
    <t>7.08.03</t>
  </si>
  <si>
    <t>Remuneração de Capitais de Terceiros</t>
  </si>
  <si>
    <t>7.08.03.01</t>
  </si>
  <si>
    <t>Juros</t>
  </si>
  <si>
    <t>7.08.03.02</t>
  </si>
  <si>
    <t>Aluguéis</t>
  </si>
  <si>
    <t>7.08.03.03</t>
  </si>
  <si>
    <t>7.08.03.03.01</t>
  </si>
  <si>
    <t>Royalties</t>
  </si>
  <si>
    <t>7.08.04</t>
  </si>
  <si>
    <t>Remuneração de Capitais Próprios</t>
  </si>
  <si>
    <t>7.08.04.01</t>
  </si>
  <si>
    <t>Juros sobre o Capital Próprio</t>
  </si>
  <si>
    <t>7.08.04.02</t>
  </si>
  <si>
    <t>Dividendos</t>
  </si>
  <si>
    <t>7.08.04.03</t>
  </si>
  <si>
    <t>Lucros Retidos / Prejuízo do Período</t>
  </si>
  <si>
    <t>7.08.04.04</t>
  </si>
  <si>
    <t>Part. Não Controladores nos Lucros Retidos</t>
  </si>
  <si>
    <t>7.08.05</t>
  </si>
  <si>
    <t>20244T</t>
  </si>
  <si>
    <t>Patrimônio Líquido Consolidado</t>
  </si>
  <si>
    <t>20234T</t>
  </si>
  <si>
    <t>Serviços prestados a pagar</t>
  </si>
  <si>
    <t>Receita Líquida de Vendas de Mercadorias e Serviços Prestados</t>
  </si>
  <si>
    <t>Gerais e Administrativas</t>
  </si>
  <si>
    <t>Lucro líquido (prejuízo) do exercício</t>
  </si>
  <si>
    <t>Depreciação e Amortização</t>
  </si>
  <si>
    <t>Encargos e variação cambial sobre empréstimos e financiamento</t>
  </si>
  <si>
    <t>Encargos sobre arrendamento direito de uso e locação</t>
  </si>
  <si>
    <t>Atualizações monetárias e rendimentos</t>
  </si>
  <si>
    <t>Concessão de empréstimos a partes relacionadas</t>
  </si>
  <si>
    <t>6.02.07</t>
  </si>
  <si>
    <t>Alienação de investimentos</t>
  </si>
  <si>
    <t>Aumento de capital</t>
  </si>
  <si>
    <t>Liquidação contratos de SWAP</t>
  </si>
  <si>
    <t>( - ) Custo emissão de ações</t>
  </si>
  <si>
    <t>7.06.03.02</t>
  </si>
  <si>
    <t>Indicadores de Liquidez</t>
  </si>
  <si>
    <t>Sigla</t>
  </si>
  <si>
    <t>Fórmulas</t>
  </si>
  <si>
    <t>Capital Circulante Líquido</t>
  </si>
  <si>
    <t>CCL</t>
  </si>
  <si>
    <t xml:space="preserve"> AC - PC </t>
  </si>
  <si>
    <t>Índice de Liquides Corrente</t>
  </si>
  <si>
    <t>LC</t>
  </si>
  <si>
    <t xml:space="preserve"> AC/PC</t>
  </si>
  <si>
    <t>Índice de Liquides Seca</t>
  </si>
  <si>
    <t>LS</t>
  </si>
  <si>
    <t xml:space="preserve"> (AC - EST - DA) /PC </t>
  </si>
  <si>
    <t>Índice de Liquides Absoluta</t>
  </si>
  <si>
    <t>LA</t>
  </si>
  <si>
    <t>DISPONIVEL /PC</t>
  </si>
  <si>
    <t>Índice de Liquides Geral</t>
  </si>
  <si>
    <t>LG</t>
  </si>
  <si>
    <t xml:space="preserve">AC + ARLP / PC +PNC </t>
  </si>
  <si>
    <t>Indicadores de Atividade</t>
  </si>
  <si>
    <t>Prazo Médio de Estocagem</t>
  </si>
  <si>
    <t>PME</t>
  </si>
  <si>
    <t>(ESTOQUE MÉDIO/CMV)*360</t>
  </si>
  <si>
    <t>Giro do Estoque</t>
  </si>
  <si>
    <t>GE</t>
  </si>
  <si>
    <t>360/PME</t>
  </si>
  <si>
    <t>Prazo Médio de Recebimento de Vendas</t>
  </si>
  <si>
    <t>PMRV</t>
  </si>
  <si>
    <t>(CLIENTES MÉDIO /RECEITA)*360</t>
  </si>
  <si>
    <t>Prazo Médio de Pagamento de Fornecedores</t>
  </si>
  <si>
    <t>PMPF</t>
  </si>
  <si>
    <t>(FORNECEDORES MÉDIO/COMPRAS)*360</t>
  </si>
  <si>
    <t>Ciclo Operacional</t>
  </si>
  <si>
    <t>CO</t>
  </si>
  <si>
    <t>PME+PMRV</t>
  </si>
  <si>
    <t xml:space="preserve">Ciclo Financeiro </t>
  </si>
  <si>
    <t>CF</t>
  </si>
  <si>
    <t>CO-PMPF</t>
  </si>
  <si>
    <t>Ciclo Econômico</t>
  </si>
  <si>
    <t>CE</t>
  </si>
  <si>
    <t>Indicadores de Capital de Giro</t>
  </si>
  <si>
    <t>Capital de Giro Líquido</t>
  </si>
  <si>
    <t>CDG</t>
  </si>
  <si>
    <t xml:space="preserve">CDG = AC - PC </t>
  </si>
  <si>
    <t>Saldo em Tesouraria</t>
  </si>
  <si>
    <t>ST</t>
  </si>
  <si>
    <t>ST = ACF - PCF</t>
  </si>
  <si>
    <t>Necessidade de Capital de Giro</t>
  </si>
  <si>
    <t>NCG</t>
  </si>
  <si>
    <t xml:space="preserve">NCG = ACO - PCO </t>
  </si>
  <si>
    <t>Indicadores de Estrutura de Capital</t>
  </si>
  <si>
    <t xml:space="preserve">Relação de Capital Próprio e de Terceiros </t>
  </si>
  <si>
    <t>RCPT</t>
  </si>
  <si>
    <t>PASSIVO/PL</t>
  </si>
  <si>
    <t>Endividamento Geral</t>
  </si>
  <si>
    <t>EG</t>
  </si>
  <si>
    <t>PASSIVO/PASSIVO+PL</t>
  </si>
  <si>
    <t>Solvência Geral</t>
  </si>
  <si>
    <t>SG</t>
  </si>
  <si>
    <t>ATIVO TOTAL/PASSIVO</t>
  </si>
  <si>
    <t>Composição do Endividamento</t>
  </si>
  <si>
    <t>PC/PASSIVO</t>
  </si>
  <si>
    <t>Imobilização do Patrimônio Líquido</t>
  </si>
  <si>
    <t>IPL</t>
  </si>
  <si>
    <t xml:space="preserve">ATIVOS FIXOS(3is)/PL </t>
  </si>
  <si>
    <t>Passivo Oneroso</t>
  </si>
  <si>
    <t>PO</t>
  </si>
  <si>
    <t xml:space="preserve">PASSIVOS QUE GERAM DESPESAS FINANCEIRAS </t>
  </si>
  <si>
    <t>Dívida Líquida</t>
  </si>
  <si>
    <t>DL</t>
  </si>
  <si>
    <t xml:space="preserve">PO - (DISPONÍVEL + AP. FINANCEIRA) </t>
  </si>
  <si>
    <t>Investimento</t>
  </si>
  <si>
    <t>INV</t>
  </si>
  <si>
    <t xml:space="preserve">PO + PL </t>
  </si>
  <si>
    <t>Capital Oneroso</t>
  </si>
  <si>
    <t xml:space="preserve">DÍVIDA LÍQUIDA + PL </t>
  </si>
  <si>
    <t xml:space="preserve">Relação dívida Líquida - PL </t>
  </si>
  <si>
    <t>na</t>
  </si>
  <si>
    <t>DL/PL</t>
  </si>
  <si>
    <t>Relação divida líquida e CO</t>
  </si>
  <si>
    <t xml:space="preserve">DÍVIDA LÍQUIDA /dívida líquida +  PL </t>
  </si>
  <si>
    <t>Indicadores de Custo do Capital</t>
  </si>
  <si>
    <t>Percentual da Dívida no Investimento</t>
  </si>
  <si>
    <t>Wi</t>
  </si>
  <si>
    <t xml:space="preserve">PO/Investimento </t>
  </si>
  <si>
    <t>Percentual da Equity no Investimento</t>
  </si>
  <si>
    <t>We</t>
  </si>
  <si>
    <t xml:space="preserve">PL/Investimento </t>
  </si>
  <si>
    <t>Despesa Financeira Líquida</t>
  </si>
  <si>
    <t>DFL</t>
  </si>
  <si>
    <t xml:space="preserve">DF - BENEFÍCIO TRIBUTÁRIO </t>
  </si>
  <si>
    <t>Benefício Tributário da Dívida</t>
  </si>
  <si>
    <t>BT</t>
  </si>
  <si>
    <t>DESPESA FINANCEIRA X ALÍQUOTA IR/CSLL</t>
  </si>
  <si>
    <t>Aliquota Efetiva IR/CSLL</t>
  </si>
  <si>
    <t>% IR</t>
  </si>
  <si>
    <t xml:space="preserve">PROVISÃO IR/CSLL / LAIR </t>
  </si>
  <si>
    <t>Custo da Dívida</t>
  </si>
  <si>
    <t>Ki</t>
  </si>
  <si>
    <t>Despesa financeira / PO</t>
  </si>
  <si>
    <t>Custo Médio Ponderado de Capital</t>
  </si>
  <si>
    <t>CMPC</t>
  </si>
  <si>
    <t>Wi x Ki + We x Ke</t>
  </si>
  <si>
    <t>Indicadores de Lucratividade e Rentabilidade</t>
  </si>
  <si>
    <t>Margem Bruta</t>
  </si>
  <si>
    <t>MB</t>
  </si>
  <si>
    <t>LUCRO BRUTO/RECEITA LÍQUIDA</t>
  </si>
  <si>
    <t xml:space="preserve">EBITDA </t>
  </si>
  <si>
    <t xml:space="preserve">LUCRO OPERACIONAL + DESPESAS  DEPRECIAÇÃO / AMORTIZAÇÃO </t>
  </si>
  <si>
    <t xml:space="preserve">Margem EBITDA </t>
  </si>
  <si>
    <t xml:space="preserve">% EBITDA </t>
  </si>
  <si>
    <t>EBITDA/RECEITA LÍQUIDA</t>
  </si>
  <si>
    <t xml:space="preserve">EBIT </t>
  </si>
  <si>
    <t>LUCRO OPERACIONAL</t>
  </si>
  <si>
    <t xml:space="preserve">Margem EBIT </t>
  </si>
  <si>
    <t xml:space="preserve">% EBIT </t>
  </si>
  <si>
    <t>EBIT/RECEITA LÍQUIDA</t>
  </si>
  <si>
    <t xml:space="preserve">NOPAT </t>
  </si>
  <si>
    <t>LUCRO OPERACIONAL - IR/CSLL</t>
  </si>
  <si>
    <t xml:space="preserve">Margem NOPAT </t>
  </si>
  <si>
    <t xml:space="preserve">% NOPAT </t>
  </si>
  <si>
    <t>NOPAT/RECEITA LÍQUIDA</t>
  </si>
  <si>
    <t>Margem Líquida</t>
  </si>
  <si>
    <t>ML</t>
  </si>
  <si>
    <t>LUCRO LÍQUIDO/RECEITA LÍQUIDA</t>
  </si>
  <si>
    <t>Retorno sobre o Investimento</t>
  </si>
  <si>
    <t xml:space="preserve">ROI </t>
  </si>
  <si>
    <t xml:space="preserve">NOPAT/INVESTIMENTO </t>
  </si>
  <si>
    <t>Retorno sobre o Equity (PL)</t>
  </si>
  <si>
    <t>ROE</t>
  </si>
  <si>
    <t xml:space="preserve">LUCRO LÍQUIDO / PL </t>
  </si>
  <si>
    <t>Grau de Alavancagem Financeira</t>
  </si>
  <si>
    <t>GAF</t>
  </si>
  <si>
    <t xml:space="preserve">ROE/ROI </t>
  </si>
  <si>
    <t>Indicadores de Valor Agregado</t>
  </si>
  <si>
    <t xml:space="preserve">Valor Econômico Adicionado </t>
  </si>
  <si>
    <t>EVA</t>
  </si>
  <si>
    <t>(ROI - CMPC) x Investimento</t>
  </si>
  <si>
    <t>ROI Residual</t>
  </si>
  <si>
    <t>RROI</t>
  </si>
  <si>
    <t xml:space="preserve">ROI - CMPC </t>
  </si>
  <si>
    <t xml:space="preserve">EVA/CMPC </t>
  </si>
  <si>
    <t>Indicadores de Múltiplos</t>
  </si>
  <si>
    <t>Nº de ações</t>
  </si>
  <si>
    <t>Achar no site do RI da empresa</t>
  </si>
  <si>
    <t>Valor Patrimonial das Ações</t>
  </si>
  <si>
    <t>VPA</t>
  </si>
  <si>
    <t xml:space="preserve">PL / Número de Ações </t>
  </si>
  <si>
    <t xml:space="preserve">Preço Atual da ação </t>
  </si>
  <si>
    <t xml:space="preserve">Preço </t>
  </si>
  <si>
    <t>Achar em sites tipos Investidor 10, Suno etc</t>
  </si>
  <si>
    <t>Indicador Preço/Valor Patrimonial</t>
  </si>
  <si>
    <t>P/VP</t>
  </si>
  <si>
    <t>Preço/VPA</t>
  </si>
  <si>
    <t xml:space="preserve">Price to book </t>
  </si>
  <si>
    <t xml:space="preserve">na </t>
  </si>
  <si>
    <t>Market cap/PL</t>
  </si>
  <si>
    <t>Lucro por Ação</t>
  </si>
  <si>
    <t>LPA</t>
  </si>
  <si>
    <t xml:space="preserve">Lucro líquido/ Nº de ações </t>
  </si>
  <si>
    <t>Indicador Preço/Lucro</t>
  </si>
  <si>
    <t xml:space="preserve">P/L </t>
  </si>
  <si>
    <t>Valor da ação/LPA</t>
  </si>
  <si>
    <t>Capitalização da Empresa</t>
  </si>
  <si>
    <t xml:space="preserve">Market cap </t>
  </si>
  <si>
    <t>Número de ações x preço da ação</t>
  </si>
  <si>
    <t>Dividendos Totais Pagos</t>
  </si>
  <si>
    <t>DTP</t>
  </si>
  <si>
    <t xml:space="preserve">Ver na DFC </t>
  </si>
  <si>
    <t>Dividendos por Ação</t>
  </si>
  <si>
    <t>DPA</t>
  </si>
  <si>
    <t xml:space="preserve">Dividendos/Nº de ações </t>
  </si>
  <si>
    <t>Dividend Yield</t>
  </si>
  <si>
    <t>DY</t>
  </si>
  <si>
    <t xml:space="preserve">DPA/preço atual da ação </t>
  </si>
  <si>
    <t>Payout</t>
  </si>
  <si>
    <t>DPA/LPA</t>
  </si>
  <si>
    <t>Ganho de Capital com ações</t>
  </si>
  <si>
    <r>
      <t>Δ</t>
    </r>
    <r>
      <rPr>
        <sz val="9.15"/>
        <color theme="1"/>
        <rFont val="Calibri"/>
        <family val="2"/>
      </rPr>
      <t xml:space="preserve"> Preço</t>
    </r>
  </si>
  <si>
    <t>Preço atual da ação - Preço que eu paguei pela ação (Δ Início e fim de 2025)</t>
  </si>
  <si>
    <t>Retorno com Ganhos de Capital</t>
  </si>
  <si>
    <t>Δ Preço / Preço que eu paguei pela ação (Preço início de 2024)</t>
  </si>
  <si>
    <t>Taxa de Retorno Total da Ação</t>
  </si>
  <si>
    <t>TRA</t>
  </si>
  <si>
    <t>(DPA+ Δ Preço)/Preço que eu paguei pela ação (Preço início de 2024)</t>
  </si>
  <si>
    <t>Entrerprise Value (Valor da Firma)</t>
  </si>
  <si>
    <t>EV</t>
  </si>
  <si>
    <t>Market cap + Dívida Líquida</t>
  </si>
  <si>
    <t>EV/Ebitda</t>
  </si>
  <si>
    <t>EV/Receita</t>
  </si>
  <si>
    <t>Earning Yield</t>
  </si>
  <si>
    <t>EY</t>
  </si>
  <si>
    <t>Ebitda/EV</t>
  </si>
  <si>
    <t>* na - Não existe sigla para esse indicador</t>
  </si>
  <si>
    <t>Indicadores</t>
  </si>
  <si>
    <t>DRE Gerencial</t>
  </si>
  <si>
    <t>Capital Circulante Líquido (AC-PC)</t>
  </si>
  <si>
    <t>Receita Líquida</t>
  </si>
  <si>
    <t>Liquidez Corrente (AC/PC)</t>
  </si>
  <si>
    <t>Lucro Bruto</t>
  </si>
  <si>
    <t>Liquidez Seca ((AC-Est-DA)/PC</t>
  </si>
  <si>
    <t>EBITDA</t>
  </si>
  <si>
    <t>Liquidez Absoluta (Caixa e Equiv/PC)</t>
  </si>
  <si>
    <t>Liquidez Geral ((AC + ARLP)/(PC + PNC))</t>
  </si>
  <si>
    <t>NOPAT</t>
  </si>
  <si>
    <t>PME (((EstInic + EstFin)/2)/CMV)x360</t>
  </si>
  <si>
    <t>Giro de Estoque (360/PME)</t>
  </si>
  <si>
    <t>PMRV (((ClientesInic + ClientesFin)/2)/Receita)x360</t>
  </si>
  <si>
    <t>N° de ações da empresa</t>
  </si>
  <si>
    <t>Unidade</t>
  </si>
  <si>
    <t>-</t>
  </si>
  <si>
    <t>Compras ((CMV) + Estinoc - Estfin)</t>
  </si>
  <si>
    <t>VPA (PL/N° de ações da empresa)</t>
  </si>
  <si>
    <t>Valor Monetário</t>
  </si>
  <si>
    <t>PMPF (((FornecedorInic + FornecedorFin)/2)/Compras)x360</t>
  </si>
  <si>
    <t xml:space="preserve">P/VP (Preço da Ação/VPA) </t>
  </si>
  <si>
    <t>Ciclo Operacional (PME + PMRV)</t>
  </si>
  <si>
    <t>LPA (Lucro líquido/N° de ações)</t>
  </si>
  <si>
    <t>Ciclo Financeiro (CO - PMPF)</t>
  </si>
  <si>
    <t xml:space="preserve">P/L (Preço da Ação/LPA) </t>
  </si>
  <si>
    <t>Vezes</t>
  </si>
  <si>
    <t>Ciclo Econômico (PME)</t>
  </si>
  <si>
    <t>Ativo Circulante Financeiro - ACF</t>
  </si>
  <si>
    <t>Ativo Circulante Operacional - ACO</t>
  </si>
  <si>
    <t>Passivo Circulante Financeiro - PCF</t>
  </si>
  <si>
    <t>Passivo Circulante Operacional - PCO</t>
  </si>
  <si>
    <t>Saldo em Tesouraria - ST (ACF-PCF)</t>
  </si>
  <si>
    <t>Necessidade de Capital de Giro - NCG (ACO-PCO)</t>
  </si>
  <si>
    <t>Capital de Giro Líquido - CGL (AC-PC)</t>
  </si>
  <si>
    <t>Relação de Capitais (Passivo/PL)</t>
  </si>
  <si>
    <t>Endividamento Geral (Passivo/(Passivo + PL))</t>
  </si>
  <si>
    <t>Solvência Geral (Ativo/Passivo)</t>
  </si>
  <si>
    <t>Composição do Endividamento (PC/Passivo)</t>
  </si>
  <si>
    <t>Imobilização do PL (Ativos Fixos/PL)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</si>
</sst>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yyyy\-mm\-dd"/>
    <numFmt numFmtId="165" formatCode="0.0%"/>
    <numFmt numFmtId="166" formatCode="_-&quot;R$&quot;\ * #,##0_-;\-&quot;R$&quot;\ * #,##0_-;_-&quot;R$&quot;\ * &quot;-&quot;??_-;_-@_-"/>
  </numFmts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1"/>
      <name val="Calibri"/>
      <family val="2"/>
    </font>
    <font>
      <sz val="9.15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C0C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32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164" fontId="0" fillId="2" borderId="0" xfId="0" applyNumberFormat="1" applyFill="1"/>
    <xf numFmtId="0" fontId="4" fillId="2" borderId="0" xfId="0" applyFont="1" applyFill="1"/>
    <xf numFmtId="0" fontId="0" fillId="3" borderId="0" xfId="0" applyFill="1"/>
    <xf numFmtId="164" fontId="0" fillId="3" borderId="0" xfId="0" applyNumberFormat="1" applyFill="1"/>
    <xf numFmtId="0" fontId="4" fillId="3" borderId="0" xfId="0" applyFont="1" applyFill="1"/>
    <xf numFmtId="0" fontId="3" fillId="2" borderId="0" xfId="0" applyFont="1" applyFill="1"/>
    <xf numFmtId="164" fontId="3" fillId="2" borderId="0" xfId="0" applyNumberFormat="1" applyFont="1" applyFill="1"/>
    <xf numFmtId="0" fontId="5" fillId="2" borderId="0" xfId="0" applyFont="1" applyFill="1"/>
    <xf numFmtId="0" fontId="6" fillId="2" borderId="0" xfId="0" applyFont="1" applyFill="1"/>
    <xf numFmtId="164" fontId="6" fillId="2" borderId="0" xfId="0" applyNumberFormat="1" applyFont="1" applyFill="1"/>
    <xf numFmtId="0" fontId="7" fillId="2" borderId="0" xfId="0" applyFont="1" applyFill="1"/>
    <xf numFmtId="0" fontId="0" fillId="4" borderId="0" xfId="0" applyFill="1"/>
    <xf numFmtId="164" fontId="0" fillId="4" borderId="0" xfId="0" applyNumberFormat="1" applyFill="1"/>
    <xf numFmtId="0" fontId="4" fillId="4" borderId="0" xfId="0" applyFont="1" applyFill="1"/>
    <xf numFmtId="0" fontId="6" fillId="4" borderId="0" xfId="0" applyFont="1" applyFill="1"/>
    <xf numFmtId="164" fontId="6" fillId="4" borderId="0" xfId="0" applyNumberFormat="1" applyFont="1" applyFill="1"/>
    <xf numFmtId="0" fontId="7" fillId="4" borderId="0" xfId="0" applyFont="1" applyFill="1"/>
    <xf numFmtId="0" fontId="0" fillId="3" borderId="0" xfId="1" applyNumberFormat="1" applyFont="1" applyFill="1"/>
    <xf numFmtId="0" fontId="0" fillId="5" borderId="3" xfId="0" applyFill="1" applyBorder="1" applyAlignment="1">
      <alignment horizontal="left"/>
    </xf>
    <xf numFmtId="44" fontId="0" fillId="5" borderId="4" xfId="1" applyFont="1" applyFill="1" applyBorder="1"/>
    <xf numFmtId="44" fontId="0" fillId="5" borderId="5" xfId="1" applyFont="1" applyFill="1" applyBorder="1"/>
    <xf numFmtId="44" fontId="0" fillId="5" borderId="1" xfId="1" applyFont="1" applyFill="1" applyBorder="1"/>
    <xf numFmtId="44" fontId="0" fillId="5" borderId="7" xfId="1" applyFont="1" applyFill="1" applyBorder="1"/>
    <xf numFmtId="2" fontId="0" fillId="5" borderId="1" xfId="1" applyNumberFormat="1" applyFont="1" applyFill="1" applyBorder="1"/>
    <xf numFmtId="2" fontId="0" fillId="5" borderId="7" xfId="1" applyNumberFormat="1" applyFont="1" applyFill="1" applyBorder="1"/>
    <xf numFmtId="2" fontId="0" fillId="5" borderId="1" xfId="0" applyNumberFormat="1" applyFill="1" applyBorder="1"/>
    <xf numFmtId="2" fontId="0" fillId="5" borderId="7" xfId="0" applyNumberFormat="1" applyFill="1" applyBorder="1"/>
    <xf numFmtId="2" fontId="0" fillId="5" borderId="9" xfId="0" applyNumberFormat="1" applyFill="1" applyBorder="1"/>
    <xf numFmtId="2" fontId="0" fillId="5" borderId="10" xfId="0" applyNumberFormat="1" applyFill="1" applyBorder="1"/>
    <xf numFmtId="0" fontId="4" fillId="6" borderId="2" xfId="0" applyFont="1" applyFill="1" applyBorder="1" applyAlignment="1">
      <alignment horizontal="center"/>
    </xf>
    <xf numFmtId="0" fontId="0" fillId="7" borderId="0" xfId="0" applyFill="1"/>
    <xf numFmtId="0" fontId="4" fillId="7" borderId="0" xfId="0" applyFont="1" applyFill="1"/>
    <xf numFmtId="44" fontId="0" fillId="7" borderId="0" xfId="0" applyNumberFormat="1" applyFill="1"/>
    <xf numFmtId="164" fontId="0" fillId="7" borderId="0" xfId="0" applyNumberFormat="1" applyFill="1"/>
    <xf numFmtId="0" fontId="0" fillId="5" borderId="1" xfId="0" applyFill="1" applyBorder="1"/>
    <xf numFmtId="0" fontId="0" fillId="5" borderId="6" xfId="0" applyFill="1" applyBorder="1"/>
    <xf numFmtId="0" fontId="0" fillId="0" borderId="24" xfId="0" applyBorder="1"/>
    <xf numFmtId="0" fontId="0" fillId="0" borderId="25" xfId="0" applyBorder="1" applyAlignment="1">
      <alignment horizontal="center"/>
    </xf>
    <xf numFmtId="0" fontId="0" fillId="0" borderId="2" xfId="0" applyBorder="1"/>
    <xf numFmtId="0" fontId="0" fillId="0" borderId="24" xfId="0" applyBorder="1" applyAlignment="1">
      <alignment horizontal="center"/>
    </xf>
    <xf numFmtId="0" fontId="0" fillId="0" borderId="26" xfId="0" applyBorder="1"/>
    <xf numFmtId="0" fontId="0" fillId="0" borderId="26" xfId="0" applyBorder="1" applyAlignment="1">
      <alignment horizontal="center"/>
    </xf>
    <xf numFmtId="0" fontId="0" fillId="4" borderId="24" xfId="0" applyFill="1" applyBorder="1" applyAlignment="1">
      <alignment horizontal="center"/>
    </xf>
    <xf numFmtId="0" fontId="0" fillId="8" borderId="25" xfId="0" applyFill="1" applyBorder="1"/>
    <xf numFmtId="0" fontId="0" fillId="8" borderId="24" xfId="0" applyFill="1" applyBorder="1" applyAlignment="1">
      <alignment horizontal="center"/>
    </xf>
    <xf numFmtId="0" fontId="0" fillId="0" borderId="28" xfId="0" applyBorder="1"/>
    <xf numFmtId="0" fontId="0" fillId="0" borderId="28" xfId="0" applyBorder="1" applyAlignment="1">
      <alignment horizontal="center"/>
    </xf>
    <xf numFmtId="0" fontId="0" fillId="8" borderId="24" xfId="0" applyFill="1" applyBorder="1" applyAlignment="1">
      <alignment horizontal="left"/>
    </xf>
    <xf numFmtId="0" fontId="0" fillId="4" borderId="29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8" borderId="24" xfId="0" applyFill="1" applyBorder="1"/>
    <xf numFmtId="0" fontId="0" fillId="0" borderId="30" xfId="0" applyBorder="1"/>
    <xf numFmtId="0" fontId="0" fillId="0" borderId="30" xfId="0" applyBorder="1" applyAlignment="1">
      <alignment horizontal="center"/>
    </xf>
    <xf numFmtId="0" fontId="0" fillId="0" borderId="27" xfId="0" applyBorder="1"/>
    <xf numFmtId="0" fontId="0" fillId="0" borderId="27" xfId="0" applyBorder="1" applyAlignment="1">
      <alignment horizontal="center"/>
    </xf>
    <xf numFmtId="0" fontId="0" fillId="0" borderId="31" xfId="0" applyBorder="1"/>
    <xf numFmtId="0" fontId="0" fillId="0" borderId="25" xfId="0" applyBorder="1"/>
    <xf numFmtId="0" fontId="0" fillId="4" borderId="25" xfId="0" applyFill="1" applyBorder="1" applyAlignment="1">
      <alignment horizontal="center" vertical="center"/>
    </xf>
    <xf numFmtId="3" fontId="0" fillId="0" borderId="24" xfId="0" applyNumberFormat="1" applyBorder="1"/>
    <xf numFmtId="0" fontId="0" fillId="0" borderId="27" xfId="0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4" borderId="24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4" borderId="0" xfId="0" applyFill="1" applyAlignment="1">
      <alignment horizontal="left"/>
    </xf>
    <xf numFmtId="44" fontId="0" fillId="0" borderId="2" xfId="0" applyNumberFormat="1" applyBorder="1" applyAlignment="1">
      <alignment horizontal="center" vertical="center"/>
    </xf>
    <xf numFmtId="44" fontId="0" fillId="0" borderId="24" xfId="0" applyNumberFormat="1" applyBorder="1" applyAlignment="1">
      <alignment horizontal="center" vertical="center"/>
    </xf>
    <xf numFmtId="44" fontId="0" fillId="0" borderId="26" xfId="0" applyNumberForma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44" fontId="0" fillId="0" borderId="5" xfId="1" applyFont="1" applyFill="1" applyBorder="1"/>
    <xf numFmtId="44" fontId="0" fillId="0" borderId="33" xfId="0" applyNumberFormat="1" applyBorder="1" applyAlignment="1">
      <alignment horizontal="center" vertical="center"/>
    </xf>
    <xf numFmtId="0" fontId="0" fillId="8" borderId="0" xfId="0" applyFill="1" applyAlignment="1">
      <alignment horizontal="center"/>
    </xf>
    <xf numFmtId="0" fontId="0" fillId="0" borderId="0" xfId="0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44" fontId="0" fillId="0" borderId="24" xfId="1" applyFont="1" applyBorder="1" applyAlignment="1">
      <alignment horizontal="center" vertical="center"/>
    </xf>
    <xf numFmtId="165" fontId="0" fillId="0" borderId="24" xfId="3" applyNumberFormat="1" applyFont="1" applyBorder="1" applyAlignment="1">
      <alignment horizontal="center" vertical="center"/>
    </xf>
    <xf numFmtId="10" fontId="0" fillId="0" borderId="2" xfId="3" applyNumberFormat="1" applyFont="1" applyBorder="1" applyAlignment="1">
      <alignment horizontal="center" vertical="center"/>
    </xf>
    <xf numFmtId="10" fontId="0" fillId="0" borderId="24" xfId="3" applyNumberFormat="1" applyFont="1" applyBorder="1" applyAlignment="1">
      <alignment horizontal="center" vertical="center"/>
    </xf>
    <xf numFmtId="10" fontId="0" fillId="0" borderId="24" xfId="0" applyNumberFormat="1" applyBorder="1" applyAlignment="1">
      <alignment horizontal="center" vertical="center"/>
    </xf>
    <xf numFmtId="44" fontId="0" fillId="0" borderId="26" xfId="1" applyFont="1" applyBorder="1" applyAlignment="1">
      <alignment horizontal="center" vertical="center"/>
    </xf>
    <xf numFmtId="2" fontId="0" fillId="0" borderId="24" xfId="4" applyNumberFormat="1" applyFont="1" applyBorder="1" applyAlignment="1">
      <alignment horizontal="center" vertical="center"/>
    </xf>
    <xf numFmtId="44" fontId="0" fillId="0" borderId="2" xfId="1" applyFont="1" applyBorder="1" applyAlignment="1">
      <alignment horizontal="center" vertical="center"/>
    </xf>
    <xf numFmtId="166" fontId="0" fillId="0" borderId="24" xfId="0" applyNumberFormat="1" applyBorder="1" applyAlignment="1">
      <alignment horizontal="center" vertical="center"/>
    </xf>
    <xf numFmtId="0" fontId="0" fillId="5" borderId="6" xfId="0" applyFill="1" applyBorder="1" applyAlignment="1">
      <alignment horizontal="left"/>
    </xf>
    <xf numFmtId="0" fontId="0" fillId="5" borderId="8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44" fontId="0" fillId="4" borderId="1" xfId="1" applyFont="1" applyFill="1" applyBorder="1"/>
    <xf numFmtId="44" fontId="0" fillId="4" borderId="7" xfId="1" applyFont="1" applyFill="1" applyBorder="1"/>
    <xf numFmtId="44" fontId="0" fillId="4" borderId="24" xfId="0" applyNumberForma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/>
    </xf>
    <xf numFmtId="0" fontId="4" fillId="6" borderId="14" xfId="0" applyFont="1" applyFill="1" applyBorder="1" applyAlignment="1">
      <alignment horizontal="center"/>
    </xf>
    <xf numFmtId="0" fontId="4" fillId="6" borderId="15" xfId="0" applyFont="1" applyFill="1" applyBorder="1" applyAlignment="1">
      <alignment horizontal="center"/>
    </xf>
    <xf numFmtId="0" fontId="0" fillId="5" borderId="11" xfId="0" applyFill="1" applyBorder="1" applyAlignment="1">
      <alignment horizontal="left"/>
    </xf>
    <xf numFmtId="0" fontId="0" fillId="5" borderId="12" xfId="0" applyFill="1" applyBorder="1" applyAlignment="1">
      <alignment horizontal="left"/>
    </xf>
    <xf numFmtId="0" fontId="0" fillId="5" borderId="6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44" fontId="0" fillId="5" borderId="16" xfId="1" applyFont="1" applyFill="1" applyBorder="1" applyAlignment="1">
      <alignment horizontal="center"/>
    </xf>
    <xf numFmtId="44" fontId="0" fillId="5" borderId="22" xfId="1" applyFont="1" applyFill="1" applyBorder="1" applyAlignment="1">
      <alignment horizontal="center"/>
    </xf>
    <xf numFmtId="44" fontId="0" fillId="5" borderId="18" xfId="1" applyFont="1" applyFill="1" applyBorder="1" applyAlignment="1">
      <alignment horizontal="center"/>
    </xf>
    <xf numFmtId="44" fontId="0" fillId="5" borderId="23" xfId="1" applyFont="1" applyFill="1" applyBorder="1" applyAlignment="1">
      <alignment horizontal="center"/>
    </xf>
    <xf numFmtId="44" fontId="0" fillId="5" borderId="19" xfId="1" applyFont="1" applyFill="1" applyBorder="1" applyAlignment="1">
      <alignment horizontal="center"/>
    </xf>
    <xf numFmtId="44" fontId="0" fillId="5" borderId="20" xfId="1" applyFont="1" applyFill="1" applyBorder="1" applyAlignment="1">
      <alignment horizontal="center"/>
    </xf>
    <xf numFmtId="44" fontId="0" fillId="5" borderId="21" xfId="1" applyFont="1" applyFill="1" applyBorder="1" applyAlignment="1">
      <alignment horizontal="center"/>
    </xf>
    <xf numFmtId="0" fontId="0" fillId="5" borderId="8" xfId="0" applyFill="1" applyBorder="1" applyAlignment="1">
      <alignment horizontal="left"/>
    </xf>
    <xf numFmtId="0" fontId="0" fillId="5" borderId="9" xfId="0" applyFill="1" applyBorder="1" applyAlignment="1">
      <alignment horizontal="left"/>
    </xf>
    <xf numFmtId="44" fontId="0" fillId="5" borderId="16" xfId="1" applyFont="1" applyFill="1" applyBorder="1" applyAlignment="1">
      <alignment horizontal="right"/>
    </xf>
    <xf numFmtId="44" fontId="0" fillId="5" borderId="17" xfId="1" applyFont="1" applyFill="1" applyBorder="1" applyAlignment="1">
      <alignment horizontal="right"/>
    </xf>
    <xf numFmtId="0" fontId="0" fillId="5" borderId="6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44" fontId="0" fillId="5" borderId="1" xfId="0" applyNumberFormat="1" applyFill="1" applyBorder="1" applyAlignment="1">
      <alignment horizontal="center" vertical="center"/>
    </xf>
    <xf numFmtId="44" fontId="0" fillId="5" borderId="7" xfId="0" applyNumberFormat="1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5" borderId="9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5" borderId="3" xfId="0" applyFill="1" applyBorder="1" applyAlignment="1">
      <alignment horizontal="left" vertical="center"/>
    </xf>
    <xf numFmtId="0" fontId="0" fillId="5" borderId="4" xfId="0" applyFill="1" applyBorder="1" applyAlignment="1">
      <alignment horizontal="left" vertical="center"/>
    </xf>
    <xf numFmtId="44" fontId="0" fillId="5" borderId="1" xfId="0" applyNumberFormat="1" applyFill="1" applyBorder="1" applyAlignment="1">
      <alignment horizontal="center"/>
    </xf>
    <xf numFmtId="44" fontId="0" fillId="5" borderId="7" xfId="0" applyNumberFormat="1" applyFill="1" applyBorder="1" applyAlignment="1">
      <alignment horizontal="center"/>
    </xf>
    <xf numFmtId="3" fontId="0" fillId="5" borderId="4" xfId="0" applyNumberFormat="1" applyFill="1" applyBorder="1" applyAlignment="1">
      <alignment horizontal="center"/>
    </xf>
    <xf numFmtId="0" fontId="0" fillId="5" borderId="5" xfId="0" applyFill="1" applyBorder="1" applyAlignment="1">
      <alignment horizontal="center"/>
    </xf>
  </cellXfs>
  <cellStyles count="5">
    <cellStyle name="Moeda" xfId="1" builtinId="4"/>
    <cellStyle name="Normal" xfId="0" builtinId="0"/>
    <cellStyle name="Porcentagem" xfId="3" builtinId="5"/>
    <cellStyle name="Vírgula" xfId="4" builtinId="3"/>
    <cellStyle name="Vírgula 2" xfId="2" xr:uid="{5A0F8785-3B2B-4A34-91FC-2599B16C4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5155A-E86A-4BC3-B663-E6B663FBFDB3}">
  <dimension ref="A1:L362"/>
  <sheetViews>
    <sheetView topLeftCell="A214" zoomScale="87" zoomScaleNormal="100" workbookViewId="0">
      <selection activeCell="C232" sqref="A232:XFD232"/>
    </sheetView>
  </sheetViews>
  <sheetFormatPr defaultRowHeight="14.4" x14ac:dyDescent="0.3"/>
  <cols>
    <col min="1" max="6" width="15.6640625" customWidth="1"/>
    <col min="7" max="7" width="74.6640625" bestFit="1" customWidth="1"/>
    <col min="8" max="8" width="17.6640625" bestFit="1" customWidth="1"/>
    <col min="9" max="9" width="15.6640625" customWidth="1"/>
    <col min="12" max="12" width="15.6640625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s="2">
        <v>6558577</v>
      </c>
      <c r="B2" s="2" t="s">
        <v>9</v>
      </c>
      <c r="C2" s="2" t="s">
        <v>10</v>
      </c>
      <c r="D2" s="3">
        <v>46022</v>
      </c>
      <c r="E2" s="3">
        <v>46022</v>
      </c>
      <c r="F2" s="4" t="s">
        <v>11</v>
      </c>
      <c r="G2" s="2" t="s">
        <v>12</v>
      </c>
      <c r="H2" s="2">
        <v>4722693388</v>
      </c>
      <c r="I2" s="2" t="s">
        <v>13</v>
      </c>
    </row>
    <row r="3" spans="1:9" ht="15" customHeight="1" x14ac:dyDescent="0.3">
      <c r="A3" s="5">
        <v>6558578</v>
      </c>
      <c r="B3" s="5" t="s">
        <v>9</v>
      </c>
      <c r="C3" s="5" t="s">
        <v>10</v>
      </c>
      <c r="D3" s="6">
        <v>46022</v>
      </c>
      <c r="E3" s="6">
        <v>46022</v>
      </c>
      <c r="F3" s="7" t="s">
        <v>14</v>
      </c>
      <c r="G3" s="5" t="s">
        <v>15</v>
      </c>
      <c r="H3" s="5">
        <v>3064599866</v>
      </c>
      <c r="I3" s="5" t="s">
        <v>13</v>
      </c>
    </row>
    <row r="4" spans="1:9" ht="15" customHeight="1" x14ac:dyDescent="0.3">
      <c r="A4" s="2">
        <v>6558579</v>
      </c>
      <c r="B4" s="2" t="s">
        <v>9</v>
      </c>
      <c r="C4" s="2" t="s">
        <v>10</v>
      </c>
      <c r="D4" s="3">
        <v>46022</v>
      </c>
      <c r="E4" s="3">
        <v>46022</v>
      </c>
      <c r="F4" s="4" t="s">
        <v>16</v>
      </c>
      <c r="G4" s="2" t="s">
        <v>17</v>
      </c>
      <c r="H4" s="2">
        <v>365433346</v>
      </c>
      <c r="I4" s="2" t="s">
        <v>13</v>
      </c>
    </row>
    <row r="5" spans="1:9" ht="15" customHeight="1" x14ac:dyDescent="0.3">
      <c r="A5" s="8">
        <v>6558580</v>
      </c>
      <c r="B5" s="8" t="s">
        <v>9</v>
      </c>
      <c r="C5" s="8" t="s">
        <v>10</v>
      </c>
      <c r="D5" s="9">
        <v>46022</v>
      </c>
      <c r="E5" s="9">
        <v>46022</v>
      </c>
      <c r="F5" s="10" t="s">
        <v>18</v>
      </c>
      <c r="G5" s="8" t="s">
        <v>19</v>
      </c>
      <c r="H5" s="8">
        <v>365433346</v>
      </c>
      <c r="I5" s="8" t="s">
        <v>13</v>
      </c>
    </row>
    <row r="6" spans="1:9" ht="15" customHeight="1" x14ac:dyDescent="0.3">
      <c r="A6" s="8">
        <v>6558581</v>
      </c>
      <c r="B6" s="8" t="s">
        <v>9</v>
      </c>
      <c r="C6" s="8" t="s">
        <v>10</v>
      </c>
      <c r="D6" s="9">
        <v>46022</v>
      </c>
      <c r="E6" s="9">
        <v>46022</v>
      </c>
      <c r="F6" s="10" t="s">
        <v>20</v>
      </c>
      <c r="G6" s="8" t="s">
        <v>21</v>
      </c>
      <c r="H6" s="8">
        <v>33210886</v>
      </c>
      <c r="I6" s="8" t="s">
        <v>13</v>
      </c>
    </row>
    <row r="7" spans="1:9" ht="15" customHeight="1" x14ac:dyDescent="0.3">
      <c r="A7" s="2">
        <v>6558582</v>
      </c>
      <c r="B7" s="2" t="s">
        <v>9</v>
      </c>
      <c r="C7" s="2" t="s">
        <v>10</v>
      </c>
      <c r="D7" s="3">
        <v>46022</v>
      </c>
      <c r="E7" s="3">
        <v>46022</v>
      </c>
      <c r="F7" s="4" t="s">
        <v>22</v>
      </c>
      <c r="G7" s="2" t="s">
        <v>23</v>
      </c>
      <c r="H7" s="2">
        <v>0</v>
      </c>
      <c r="I7" s="2" t="s">
        <v>13</v>
      </c>
    </row>
    <row r="8" spans="1:9" ht="15" customHeight="1" x14ac:dyDescent="0.3">
      <c r="A8" s="2">
        <v>6558583</v>
      </c>
      <c r="B8" s="2" t="s">
        <v>9</v>
      </c>
      <c r="C8" s="2" t="s">
        <v>10</v>
      </c>
      <c r="D8" s="3">
        <v>46022</v>
      </c>
      <c r="E8" s="3">
        <v>46022</v>
      </c>
      <c r="F8" s="4" t="s">
        <v>24</v>
      </c>
      <c r="G8" s="2" t="s">
        <v>25</v>
      </c>
      <c r="H8" s="2">
        <v>0</v>
      </c>
      <c r="I8" s="2" t="s">
        <v>13</v>
      </c>
    </row>
    <row r="9" spans="1:9" ht="15" customHeight="1" x14ac:dyDescent="0.3">
      <c r="A9" s="2">
        <v>6558584</v>
      </c>
      <c r="B9" s="2" t="s">
        <v>9</v>
      </c>
      <c r="C9" s="2" t="s">
        <v>10</v>
      </c>
      <c r="D9" s="3">
        <v>46022</v>
      </c>
      <c r="E9" s="3">
        <v>46022</v>
      </c>
      <c r="F9" s="4" t="s">
        <v>26</v>
      </c>
      <c r="G9" s="2" t="s">
        <v>27</v>
      </c>
      <c r="H9" s="2">
        <v>0</v>
      </c>
      <c r="I9" s="2" t="s">
        <v>13</v>
      </c>
    </row>
    <row r="10" spans="1:9" ht="15" customHeight="1" x14ac:dyDescent="0.3">
      <c r="A10" s="2">
        <v>6558585</v>
      </c>
      <c r="B10" s="2" t="s">
        <v>9</v>
      </c>
      <c r="C10" s="2" t="s">
        <v>10</v>
      </c>
      <c r="D10" s="3">
        <v>46022</v>
      </c>
      <c r="E10" s="3">
        <v>46022</v>
      </c>
      <c r="F10" s="4" t="s">
        <v>28</v>
      </c>
      <c r="G10" s="2" t="s">
        <v>29</v>
      </c>
      <c r="H10" s="2">
        <v>0</v>
      </c>
      <c r="I10" s="2" t="s">
        <v>13</v>
      </c>
    </row>
    <row r="11" spans="1:9" ht="15" customHeight="1" x14ac:dyDescent="0.3">
      <c r="A11" s="2">
        <v>6558586</v>
      </c>
      <c r="B11" s="2" t="s">
        <v>9</v>
      </c>
      <c r="C11" s="2" t="s">
        <v>10</v>
      </c>
      <c r="D11" s="3">
        <v>46022</v>
      </c>
      <c r="E11" s="3">
        <v>46022</v>
      </c>
      <c r="F11" s="4" t="s">
        <v>30</v>
      </c>
      <c r="G11" s="2" t="s">
        <v>31</v>
      </c>
      <c r="H11" s="2">
        <v>0</v>
      </c>
      <c r="I11" s="2" t="s">
        <v>13</v>
      </c>
    </row>
    <row r="12" spans="1:9" ht="15" customHeight="1" x14ac:dyDescent="0.3">
      <c r="A12" s="2">
        <v>6558587</v>
      </c>
      <c r="B12" s="2" t="s">
        <v>9</v>
      </c>
      <c r="C12" s="2" t="s">
        <v>10</v>
      </c>
      <c r="D12" s="3">
        <v>46022</v>
      </c>
      <c r="E12" s="3">
        <v>46022</v>
      </c>
      <c r="F12" s="4" t="s">
        <v>32</v>
      </c>
      <c r="G12" s="2" t="s">
        <v>33</v>
      </c>
      <c r="H12" s="2">
        <v>33210886</v>
      </c>
      <c r="I12" s="2" t="s">
        <v>13</v>
      </c>
    </row>
    <row r="13" spans="1:9" ht="15" customHeight="1" x14ac:dyDescent="0.3">
      <c r="A13" s="11">
        <v>6558588</v>
      </c>
      <c r="B13" s="11" t="s">
        <v>9</v>
      </c>
      <c r="C13" s="11" t="s">
        <v>10</v>
      </c>
      <c r="D13" s="12">
        <v>46022</v>
      </c>
      <c r="E13" s="12">
        <v>46022</v>
      </c>
      <c r="F13" s="13" t="s">
        <v>34</v>
      </c>
      <c r="G13" s="11" t="s">
        <v>35</v>
      </c>
      <c r="H13" s="11">
        <v>989601403</v>
      </c>
      <c r="I13" s="11" t="s">
        <v>13</v>
      </c>
    </row>
    <row r="14" spans="1:9" ht="15" customHeight="1" x14ac:dyDescent="0.3">
      <c r="A14" s="2">
        <v>6558589</v>
      </c>
      <c r="B14" s="2" t="s">
        <v>9</v>
      </c>
      <c r="C14" s="2" t="s">
        <v>10</v>
      </c>
      <c r="D14" s="3">
        <v>46022</v>
      </c>
      <c r="E14" s="3">
        <v>46022</v>
      </c>
      <c r="F14" s="4" t="s">
        <v>36</v>
      </c>
      <c r="G14" s="2" t="s">
        <v>37</v>
      </c>
      <c r="H14" s="2">
        <v>989601403</v>
      </c>
      <c r="I14" s="2" t="s">
        <v>13</v>
      </c>
    </row>
    <row r="15" spans="1:9" ht="15" customHeight="1" x14ac:dyDescent="0.3">
      <c r="A15" s="2">
        <v>6558590</v>
      </c>
      <c r="B15" s="2" t="s">
        <v>9</v>
      </c>
      <c r="C15" s="2" t="s">
        <v>10</v>
      </c>
      <c r="D15" s="3">
        <v>46022</v>
      </c>
      <c r="E15" s="3">
        <v>46022</v>
      </c>
      <c r="F15" s="4" t="s">
        <v>38</v>
      </c>
      <c r="G15" s="2" t="s">
        <v>39</v>
      </c>
      <c r="H15" s="2">
        <v>989601403</v>
      </c>
      <c r="I15" s="2" t="s">
        <v>13</v>
      </c>
    </row>
    <row r="16" spans="1:9" ht="15" customHeight="1" x14ac:dyDescent="0.3">
      <c r="A16" s="2">
        <v>6558591</v>
      </c>
      <c r="B16" s="2" t="s">
        <v>9</v>
      </c>
      <c r="C16" s="2" t="s">
        <v>10</v>
      </c>
      <c r="D16" s="3">
        <v>46022</v>
      </c>
      <c r="E16" s="3">
        <v>46022</v>
      </c>
      <c r="F16" s="4" t="s">
        <v>40</v>
      </c>
      <c r="G16" s="2" t="s">
        <v>41</v>
      </c>
      <c r="H16" s="2">
        <v>0</v>
      </c>
      <c r="I16" s="2" t="s">
        <v>13</v>
      </c>
    </row>
    <row r="17" spans="1:9" ht="15" customHeight="1" x14ac:dyDescent="0.3">
      <c r="A17" s="2">
        <v>6558592</v>
      </c>
      <c r="B17" s="2" t="s">
        <v>9</v>
      </c>
      <c r="C17" s="2" t="s">
        <v>10</v>
      </c>
      <c r="D17" s="3">
        <v>46022</v>
      </c>
      <c r="E17" s="3">
        <v>46022</v>
      </c>
      <c r="F17" s="4" t="s">
        <v>42</v>
      </c>
      <c r="G17" s="2" t="s">
        <v>43</v>
      </c>
      <c r="H17" s="2">
        <v>0</v>
      </c>
      <c r="I17" s="2" t="s">
        <v>13</v>
      </c>
    </row>
    <row r="18" spans="1:9" ht="15" customHeight="1" x14ac:dyDescent="0.3">
      <c r="A18" s="2">
        <v>6558593</v>
      </c>
      <c r="B18" s="2" t="s">
        <v>9</v>
      </c>
      <c r="C18" s="2" t="s">
        <v>10</v>
      </c>
      <c r="D18" s="3">
        <v>46022</v>
      </c>
      <c r="E18" s="3">
        <v>46022</v>
      </c>
      <c r="F18" s="4" t="s">
        <v>44</v>
      </c>
      <c r="G18" s="2" t="s">
        <v>45</v>
      </c>
      <c r="H18" s="2">
        <v>0</v>
      </c>
      <c r="I18" s="2" t="s">
        <v>13</v>
      </c>
    </row>
    <row r="19" spans="1:9" ht="15" customHeight="1" x14ac:dyDescent="0.3">
      <c r="A19" s="11">
        <v>6558594</v>
      </c>
      <c r="B19" s="11" t="s">
        <v>9</v>
      </c>
      <c r="C19" s="11" t="s">
        <v>10</v>
      </c>
      <c r="D19" s="12">
        <v>46022</v>
      </c>
      <c r="E19" s="12">
        <v>46022</v>
      </c>
      <c r="F19" s="13" t="s">
        <v>46</v>
      </c>
      <c r="G19" s="11" t="s">
        <v>47</v>
      </c>
      <c r="H19" s="11">
        <v>1478926409</v>
      </c>
      <c r="I19" s="11" t="s">
        <v>13</v>
      </c>
    </row>
    <row r="20" spans="1:9" ht="15" customHeight="1" x14ac:dyDescent="0.3">
      <c r="A20" s="2">
        <v>6558595</v>
      </c>
      <c r="B20" s="2" t="s">
        <v>9</v>
      </c>
      <c r="C20" s="2" t="s">
        <v>10</v>
      </c>
      <c r="D20" s="3">
        <v>46022</v>
      </c>
      <c r="E20" s="3">
        <v>46022</v>
      </c>
      <c r="F20" s="4" t="s">
        <v>48</v>
      </c>
      <c r="G20" s="2" t="s">
        <v>47</v>
      </c>
      <c r="H20" s="2">
        <v>1478926409</v>
      </c>
      <c r="I20" s="2" t="s">
        <v>13</v>
      </c>
    </row>
    <row r="21" spans="1:9" ht="15" customHeight="1" x14ac:dyDescent="0.3">
      <c r="A21" s="2">
        <v>6558596</v>
      </c>
      <c r="B21" s="2" t="s">
        <v>9</v>
      </c>
      <c r="C21" s="2" t="s">
        <v>10</v>
      </c>
      <c r="D21" s="3">
        <v>46022</v>
      </c>
      <c r="E21" s="3">
        <v>46022</v>
      </c>
      <c r="F21" s="4" t="s">
        <v>49</v>
      </c>
      <c r="G21" s="2" t="s">
        <v>50</v>
      </c>
      <c r="H21" s="2">
        <v>0</v>
      </c>
      <c r="I21" s="2" t="s">
        <v>13</v>
      </c>
    </row>
    <row r="22" spans="1:9" ht="15" customHeight="1" x14ac:dyDescent="0.3">
      <c r="A22" s="11">
        <v>6558597</v>
      </c>
      <c r="B22" s="11" t="s">
        <v>9</v>
      </c>
      <c r="C22" s="11" t="s">
        <v>10</v>
      </c>
      <c r="D22" s="12">
        <v>46022</v>
      </c>
      <c r="E22" s="12">
        <v>46022</v>
      </c>
      <c r="F22" s="13" t="s">
        <v>51</v>
      </c>
      <c r="G22" s="11" t="s">
        <v>52</v>
      </c>
      <c r="H22" s="11">
        <v>168473612</v>
      </c>
      <c r="I22" s="11" t="s">
        <v>13</v>
      </c>
    </row>
    <row r="23" spans="1:9" ht="15" customHeight="1" x14ac:dyDescent="0.3">
      <c r="A23" s="2">
        <v>6558598</v>
      </c>
      <c r="B23" s="2" t="s">
        <v>9</v>
      </c>
      <c r="C23" s="2" t="s">
        <v>10</v>
      </c>
      <c r="D23" s="3">
        <v>46022</v>
      </c>
      <c r="E23" s="3">
        <v>46022</v>
      </c>
      <c r="F23" s="4" t="s">
        <v>53</v>
      </c>
      <c r="G23" s="2" t="s">
        <v>54</v>
      </c>
      <c r="H23" s="2">
        <v>168473612</v>
      </c>
      <c r="I23" s="2" t="s">
        <v>13</v>
      </c>
    </row>
    <row r="24" spans="1:9" ht="15" customHeight="1" x14ac:dyDescent="0.3">
      <c r="A24" s="2">
        <v>6558599</v>
      </c>
      <c r="B24" s="2" t="s">
        <v>9</v>
      </c>
      <c r="C24" s="2" t="s">
        <v>10</v>
      </c>
      <c r="D24" s="3">
        <v>46022</v>
      </c>
      <c r="E24" s="3">
        <v>46022</v>
      </c>
      <c r="F24" s="4" t="s">
        <v>55</v>
      </c>
      <c r="G24" s="2" t="s">
        <v>56</v>
      </c>
      <c r="H24" s="2">
        <v>118226767</v>
      </c>
      <c r="I24" s="2" t="s">
        <v>13</v>
      </c>
    </row>
    <row r="25" spans="1:9" ht="15" customHeight="1" x14ac:dyDescent="0.3">
      <c r="A25" s="2">
        <v>6558600</v>
      </c>
      <c r="B25" s="2" t="s">
        <v>9</v>
      </c>
      <c r="C25" s="2" t="s">
        <v>10</v>
      </c>
      <c r="D25" s="3">
        <v>46022</v>
      </c>
      <c r="E25" s="3">
        <v>46022</v>
      </c>
      <c r="F25" s="4" t="s">
        <v>57</v>
      </c>
      <c r="G25" s="2" t="s">
        <v>58</v>
      </c>
      <c r="H25" s="2">
        <v>50246845</v>
      </c>
      <c r="I25" s="2" t="s">
        <v>13</v>
      </c>
    </row>
    <row r="26" spans="1:9" ht="15" customHeight="1" x14ac:dyDescent="0.3">
      <c r="A26" s="17">
        <v>6558601</v>
      </c>
      <c r="B26" s="17" t="s">
        <v>9</v>
      </c>
      <c r="C26" s="17" t="s">
        <v>10</v>
      </c>
      <c r="D26" s="18">
        <v>46022</v>
      </c>
      <c r="E26" s="18">
        <v>46022</v>
      </c>
      <c r="F26" s="19" t="s">
        <v>59</v>
      </c>
      <c r="G26" s="17" t="s">
        <v>60</v>
      </c>
      <c r="H26" s="17">
        <v>28954210</v>
      </c>
      <c r="I26" s="17" t="s">
        <v>13</v>
      </c>
    </row>
    <row r="27" spans="1:9" ht="15" customHeight="1" x14ac:dyDescent="0.3">
      <c r="A27" s="2">
        <v>6558602</v>
      </c>
      <c r="B27" s="2" t="s">
        <v>9</v>
      </c>
      <c r="C27" s="2" t="s">
        <v>10</v>
      </c>
      <c r="D27" s="3">
        <v>46022</v>
      </c>
      <c r="E27" s="3">
        <v>46022</v>
      </c>
      <c r="F27" s="4" t="s">
        <v>61</v>
      </c>
      <c r="G27" s="2" t="s">
        <v>62</v>
      </c>
      <c r="H27" s="2">
        <v>28954210</v>
      </c>
      <c r="I27" s="2" t="s">
        <v>13</v>
      </c>
    </row>
    <row r="28" spans="1:9" ht="15" customHeight="1" x14ac:dyDescent="0.3">
      <c r="A28" s="11">
        <v>6558603</v>
      </c>
      <c r="B28" s="11" t="s">
        <v>9</v>
      </c>
      <c r="C28" s="11" t="s">
        <v>10</v>
      </c>
      <c r="D28" s="12">
        <v>46022</v>
      </c>
      <c r="E28" s="12">
        <v>46022</v>
      </c>
      <c r="F28" s="13" t="s">
        <v>63</v>
      </c>
      <c r="G28" s="11" t="s">
        <v>64</v>
      </c>
      <c r="H28" s="11">
        <v>0</v>
      </c>
      <c r="I28" s="11" t="s">
        <v>13</v>
      </c>
    </row>
    <row r="29" spans="1:9" ht="15" customHeight="1" x14ac:dyDescent="0.3">
      <c r="A29" s="2">
        <v>6558604</v>
      </c>
      <c r="B29" s="2" t="s">
        <v>9</v>
      </c>
      <c r="C29" s="2" t="s">
        <v>10</v>
      </c>
      <c r="D29" s="3">
        <v>46022</v>
      </c>
      <c r="E29" s="3">
        <v>46022</v>
      </c>
      <c r="F29" s="4" t="s">
        <v>65</v>
      </c>
      <c r="G29" s="2" t="s">
        <v>66</v>
      </c>
      <c r="H29" s="2">
        <v>0</v>
      </c>
      <c r="I29" s="2" t="s">
        <v>13</v>
      </c>
    </row>
    <row r="30" spans="1:9" ht="15" customHeight="1" x14ac:dyDescent="0.3">
      <c r="A30" s="2">
        <v>6558605</v>
      </c>
      <c r="B30" s="2" t="s">
        <v>9</v>
      </c>
      <c r="C30" s="2" t="s">
        <v>10</v>
      </c>
      <c r="D30" s="3">
        <v>46022</v>
      </c>
      <c r="E30" s="3">
        <v>46022</v>
      </c>
      <c r="F30" s="4" t="s">
        <v>67</v>
      </c>
      <c r="G30" s="2" t="s">
        <v>68</v>
      </c>
      <c r="H30" s="2">
        <v>0</v>
      </c>
      <c r="I30" s="2" t="s">
        <v>13</v>
      </c>
    </row>
    <row r="31" spans="1:9" ht="15" customHeight="1" x14ac:dyDescent="0.3">
      <c r="A31" s="2">
        <v>6558606</v>
      </c>
      <c r="B31" s="2" t="s">
        <v>9</v>
      </c>
      <c r="C31" s="2" t="s">
        <v>10</v>
      </c>
      <c r="D31" s="3">
        <v>46022</v>
      </c>
      <c r="E31" s="3">
        <v>46022</v>
      </c>
      <c r="F31" s="4" t="s">
        <v>69</v>
      </c>
      <c r="G31" s="2" t="s">
        <v>70</v>
      </c>
      <c r="H31" s="2">
        <v>0</v>
      </c>
      <c r="I31" s="2" t="s">
        <v>13</v>
      </c>
    </row>
    <row r="32" spans="1:9" ht="15" customHeight="1" x14ac:dyDescent="0.3">
      <c r="A32" s="2">
        <v>6558607</v>
      </c>
      <c r="B32" s="2" t="s">
        <v>9</v>
      </c>
      <c r="C32" s="2" t="s">
        <v>10</v>
      </c>
      <c r="D32" s="3">
        <v>46022</v>
      </c>
      <c r="E32" s="3">
        <v>46022</v>
      </c>
      <c r="F32" s="4" t="s">
        <v>71</v>
      </c>
      <c r="G32" s="2" t="s">
        <v>72</v>
      </c>
      <c r="H32" s="2">
        <v>0</v>
      </c>
      <c r="I32" s="2" t="s">
        <v>13</v>
      </c>
    </row>
    <row r="33" spans="1:9" ht="15" customHeight="1" x14ac:dyDescent="0.3">
      <c r="A33" s="2">
        <v>6558608</v>
      </c>
      <c r="B33" s="2" t="s">
        <v>9</v>
      </c>
      <c r="C33" s="2" t="s">
        <v>10</v>
      </c>
      <c r="D33" s="3">
        <v>46022</v>
      </c>
      <c r="E33" s="3">
        <v>46022</v>
      </c>
      <c r="F33" s="4" t="s">
        <v>73</v>
      </c>
      <c r="G33" s="2" t="s">
        <v>74</v>
      </c>
      <c r="H33" s="2">
        <v>1658093522</v>
      </c>
      <c r="I33" s="2" t="s">
        <v>13</v>
      </c>
    </row>
    <row r="34" spans="1:9" ht="15" customHeight="1" x14ac:dyDescent="0.3">
      <c r="A34" s="2">
        <v>6558609</v>
      </c>
      <c r="B34" s="2" t="s">
        <v>9</v>
      </c>
      <c r="C34" s="2" t="s">
        <v>10</v>
      </c>
      <c r="D34" s="3">
        <v>46022</v>
      </c>
      <c r="E34" s="3">
        <v>46022</v>
      </c>
      <c r="F34" s="4" t="s">
        <v>75</v>
      </c>
      <c r="G34" s="2" t="s">
        <v>76</v>
      </c>
      <c r="H34" s="2">
        <v>642808341</v>
      </c>
      <c r="I34" s="2" t="s">
        <v>13</v>
      </c>
    </row>
    <row r="35" spans="1:9" ht="15" customHeight="1" x14ac:dyDescent="0.3">
      <c r="A35" s="2">
        <v>6558610</v>
      </c>
      <c r="B35" s="2" t="s">
        <v>9</v>
      </c>
      <c r="C35" s="2" t="s">
        <v>10</v>
      </c>
      <c r="D35" s="3">
        <v>46022</v>
      </c>
      <c r="E35" s="3">
        <v>46022</v>
      </c>
      <c r="F35" s="4" t="s">
        <v>77</v>
      </c>
      <c r="G35" s="2" t="s">
        <v>23</v>
      </c>
      <c r="H35" s="2">
        <v>0</v>
      </c>
      <c r="I35" s="2" t="s">
        <v>13</v>
      </c>
    </row>
    <row r="36" spans="1:9" ht="15" customHeight="1" x14ac:dyDescent="0.3">
      <c r="A36" s="2">
        <v>6558611</v>
      </c>
      <c r="B36" s="2" t="s">
        <v>9</v>
      </c>
      <c r="C36" s="2" t="s">
        <v>10</v>
      </c>
      <c r="D36" s="3">
        <v>46022</v>
      </c>
      <c r="E36" s="3">
        <v>46022</v>
      </c>
      <c r="F36" s="4" t="s">
        <v>78</v>
      </c>
      <c r="G36" s="2" t="s">
        <v>27</v>
      </c>
      <c r="H36" s="2">
        <v>0</v>
      </c>
      <c r="I36" s="2" t="s">
        <v>13</v>
      </c>
    </row>
    <row r="37" spans="1:9" ht="15" customHeight="1" x14ac:dyDescent="0.3">
      <c r="A37" s="2">
        <v>6558612</v>
      </c>
      <c r="B37" s="2" t="s">
        <v>9</v>
      </c>
      <c r="C37" s="2" t="s">
        <v>10</v>
      </c>
      <c r="D37" s="3">
        <v>46022</v>
      </c>
      <c r="E37" s="3">
        <v>46022</v>
      </c>
      <c r="F37" s="4" t="s">
        <v>79</v>
      </c>
      <c r="G37" s="2" t="s">
        <v>31</v>
      </c>
      <c r="H37" s="2">
        <v>0</v>
      </c>
      <c r="I37" s="2" t="s">
        <v>13</v>
      </c>
    </row>
    <row r="38" spans="1:9" ht="15" customHeight="1" x14ac:dyDescent="0.3">
      <c r="A38" s="2">
        <v>6558613</v>
      </c>
      <c r="B38" s="2" t="s">
        <v>9</v>
      </c>
      <c r="C38" s="2" t="s">
        <v>10</v>
      </c>
      <c r="D38" s="3">
        <v>46022</v>
      </c>
      <c r="E38" s="3">
        <v>46022</v>
      </c>
      <c r="F38" s="4" t="s">
        <v>80</v>
      </c>
      <c r="G38" s="2" t="s">
        <v>33</v>
      </c>
      <c r="H38" s="2">
        <v>0</v>
      </c>
      <c r="I38" s="2" t="s">
        <v>13</v>
      </c>
    </row>
    <row r="39" spans="1:9" ht="15" customHeight="1" x14ac:dyDescent="0.3">
      <c r="A39" s="2">
        <v>6558614</v>
      </c>
      <c r="B39" s="2" t="s">
        <v>9</v>
      </c>
      <c r="C39" s="2" t="s">
        <v>10</v>
      </c>
      <c r="D39" s="3">
        <v>46022</v>
      </c>
      <c r="E39" s="3">
        <v>46022</v>
      </c>
      <c r="F39" s="4" t="s">
        <v>81</v>
      </c>
      <c r="G39" s="2" t="s">
        <v>35</v>
      </c>
      <c r="H39" s="2">
        <v>0</v>
      </c>
      <c r="I39" s="2" t="s">
        <v>13</v>
      </c>
    </row>
    <row r="40" spans="1:9" ht="15" customHeight="1" x14ac:dyDescent="0.3">
      <c r="A40" s="2">
        <v>6558615</v>
      </c>
      <c r="B40" s="2" t="s">
        <v>9</v>
      </c>
      <c r="C40" s="2" t="s">
        <v>10</v>
      </c>
      <c r="D40" s="3">
        <v>46022</v>
      </c>
      <c r="E40" s="3">
        <v>46022</v>
      </c>
      <c r="F40" s="4" t="s">
        <v>82</v>
      </c>
      <c r="G40" s="2" t="s">
        <v>37</v>
      </c>
      <c r="H40" s="2">
        <v>0</v>
      </c>
      <c r="I40" s="2" t="s">
        <v>13</v>
      </c>
    </row>
    <row r="41" spans="1:9" ht="15" customHeight="1" x14ac:dyDescent="0.3">
      <c r="A41" s="2">
        <v>6558616</v>
      </c>
      <c r="B41" s="2" t="s">
        <v>9</v>
      </c>
      <c r="C41" s="2" t="s">
        <v>10</v>
      </c>
      <c r="D41" s="3">
        <v>46022</v>
      </c>
      <c r="E41" s="3">
        <v>46022</v>
      </c>
      <c r="F41" s="4" t="s">
        <v>83</v>
      </c>
      <c r="G41" s="2" t="s">
        <v>43</v>
      </c>
      <c r="H41" s="2">
        <v>0</v>
      </c>
      <c r="I41" s="2" t="s">
        <v>13</v>
      </c>
    </row>
    <row r="42" spans="1:9" ht="15" customHeight="1" x14ac:dyDescent="0.3">
      <c r="A42" s="2">
        <v>6558617</v>
      </c>
      <c r="B42" s="2" t="s">
        <v>9</v>
      </c>
      <c r="C42" s="2" t="s">
        <v>10</v>
      </c>
      <c r="D42" s="3">
        <v>46022</v>
      </c>
      <c r="E42" s="3">
        <v>46022</v>
      </c>
      <c r="F42" s="4" t="s">
        <v>84</v>
      </c>
      <c r="G42" s="2" t="s">
        <v>85</v>
      </c>
      <c r="H42" s="2">
        <v>0</v>
      </c>
      <c r="I42" s="2" t="s">
        <v>13</v>
      </c>
    </row>
    <row r="43" spans="1:9" ht="15" customHeight="1" x14ac:dyDescent="0.3">
      <c r="A43" s="2">
        <v>6558618</v>
      </c>
      <c r="B43" s="2" t="s">
        <v>9</v>
      </c>
      <c r="C43" s="2" t="s">
        <v>10</v>
      </c>
      <c r="D43" s="3">
        <v>46022</v>
      </c>
      <c r="E43" s="3">
        <v>46022</v>
      </c>
      <c r="F43" s="4" t="s">
        <v>86</v>
      </c>
      <c r="G43" s="2" t="s">
        <v>47</v>
      </c>
      <c r="H43" s="2">
        <v>0</v>
      </c>
      <c r="I43" s="2" t="s">
        <v>13</v>
      </c>
    </row>
    <row r="44" spans="1:9" ht="15" customHeight="1" x14ac:dyDescent="0.3">
      <c r="A44" s="2">
        <v>6558619</v>
      </c>
      <c r="B44" s="2" t="s">
        <v>9</v>
      </c>
      <c r="C44" s="2" t="s">
        <v>10</v>
      </c>
      <c r="D44" s="3">
        <v>46022</v>
      </c>
      <c r="E44" s="3">
        <v>46022</v>
      </c>
      <c r="F44" s="4" t="s">
        <v>87</v>
      </c>
      <c r="G44" s="2" t="s">
        <v>50</v>
      </c>
      <c r="H44" s="2">
        <v>0</v>
      </c>
      <c r="I44" s="2" t="s">
        <v>13</v>
      </c>
    </row>
    <row r="45" spans="1:9" ht="15" customHeight="1" x14ac:dyDescent="0.3">
      <c r="A45" s="2">
        <v>6558620</v>
      </c>
      <c r="B45" s="2" t="s">
        <v>9</v>
      </c>
      <c r="C45" s="2" t="s">
        <v>10</v>
      </c>
      <c r="D45" s="3">
        <v>46022</v>
      </c>
      <c r="E45" s="3">
        <v>46022</v>
      </c>
      <c r="F45" s="4" t="s">
        <v>88</v>
      </c>
      <c r="G45" s="2" t="s">
        <v>89</v>
      </c>
      <c r="H45" s="2">
        <v>568589452</v>
      </c>
      <c r="I45" s="2" t="s">
        <v>13</v>
      </c>
    </row>
    <row r="46" spans="1:9" ht="15" customHeight="1" x14ac:dyDescent="0.3">
      <c r="A46" s="2">
        <v>6558621</v>
      </c>
      <c r="B46" s="2" t="s">
        <v>9</v>
      </c>
      <c r="C46" s="2" t="s">
        <v>10</v>
      </c>
      <c r="D46" s="3">
        <v>46022</v>
      </c>
      <c r="E46" s="3">
        <v>46022</v>
      </c>
      <c r="F46" s="4" t="s">
        <v>90</v>
      </c>
      <c r="G46" s="2" t="s">
        <v>91</v>
      </c>
      <c r="H46" s="2">
        <v>568589452</v>
      </c>
      <c r="I46" s="2" t="s">
        <v>13</v>
      </c>
    </row>
    <row r="47" spans="1:9" ht="15" customHeight="1" x14ac:dyDescent="0.3">
      <c r="A47" s="2">
        <v>6558622</v>
      </c>
      <c r="B47" s="2" t="s">
        <v>9</v>
      </c>
      <c r="C47" s="2" t="s">
        <v>10</v>
      </c>
      <c r="D47" s="3">
        <v>46022</v>
      </c>
      <c r="E47" s="3">
        <v>46022</v>
      </c>
      <c r="F47" s="4" t="s">
        <v>92</v>
      </c>
      <c r="G47" s="2" t="s">
        <v>60</v>
      </c>
      <c r="H47" s="2">
        <v>0</v>
      </c>
      <c r="I47" s="2" t="s">
        <v>13</v>
      </c>
    </row>
    <row r="48" spans="1:9" ht="15" customHeight="1" x14ac:dyDescent="0.3">
      <c r="A48" s="2">
        <v>6558623</v>
      </c>
      <c r="B48" s="2" t="s">
        <v>9</v>
      </c>
      <c r="C48" s="2" t="s">
        <v>10</v>
      </c>
      <c r="D48" s="3">
        <v>46022</v>
      </c>
      <c r="E48" s="3">
        <v>46022</v>
      </c>
      <c r="F48" s="4" t="s">
        <v>93</v>
      </c>
      <c r="G48" s="2" t="s">
        <v>94</v>
      </c>
      <c r="H48" s="2">
        <v>0</v>
      </c>
      <c r="I48" s="2" t="s">
        <v>13</v>
      </c>
    </row>
    <row r="49" spans="1:9" ht="15" customHeight="1" x14ac:dyDescent="0.3">
      <c r="A49" s="2">
        <v>6558624</v>
      </c>
      <c r="B49" s="2" t="s">
        <v>9</v>
      </c>
      <c r="C49" s="2" t="s">
        <v>10</v>
      </c>
      <c r="D49" s="3">
        <v>46022</v>
      </c>
      <c r="E49" s="3">
        <v>46022</v>
      </c>
      <c r="F49" s="4" t="s">
        <v>95</v>
      </c>
      <c r="G49" s="2" t="s">
        <v>96</v>
      </c>
      <c r="H49" s="2">
        <v>0</v>
      </c>
      <c r="I49" s="2" t="s">
        <v>13</v>
      </c>
    </row>
    <row r="50" spans="1:9" ht="15" customHeight="1" x14ac:dyDescent="0.3">
      <c r="A50" s="2">
        <v>6558625</v>
      </c>
      <c r="B50" s="2" t="s">
        <v>9</v>
      </c>
      <c r="C50" s="2" t="s">
        <v>10</v>
      </c>
      <c r="D50" s="3">
        <v>46022</v>
      </c>
      <c r="E50" s="3">
        <v>46022</v>
      </c>
      <c r="F50" s="4" t="s">
        <v>97</v>
      </c>
      <c r="G50" s="2" t="s">
        <v>98</v>
      </c>
      <c r="H50" s="2">
        <v>0</v>
      </c>
      <c r="I50" s="2" t="s">
        <v>13</v>
      </c>
    </row>
    <row r="51" spans="1:9" ht="15" customHeight="1" x14ac:dyDescent="0.3">
      <c r="A51" s="2">
        <v>6558626</v>
      </c>
      <c r="B51" s="2" t="s">
        <v>9</v>
      </c>
      <c r="C51" s="2" t="s">
        <v>10</v>
      </c>
      <c r="D51" s="3">
        <v>46022</v>
      </c>
      <c r="E51" s="3">
        <v>46022</v>
      </c>
      <c r="F51" s="4" t="s">
        <v>99</v>
      </c>
      <c r="G51" s="2" t="s">
        <v>100</v>
      </c>
      <c r="H51" s="2">
        <v>0</v>
      </c>
      <c r="I51" s="2" t="s">
        <v>13</v>
      </c>
    </row>
    <row r="52" spans="1:9" ht="15" customHeight="1" x14ac:dyDescent="0.3">
      <c r="A52" s="2">
        <v>6558627</v>
      </c>
      <c r="B52" s="2" t="s">
        <v>9</v>
      </c>
      <c r="C52" s="2" t="s">
        <v>10</v>
      </c>
      <c r="D52" s="3">
        <v>46022</v>
      </c>
      <c r="E52" s="3">
        <v>46022</v>
      </c>
      <c r="F52" s="4" t="s">
        <v>101</v>
      </c>
      <c r="G52" s="2" t="s">
        <v>102</v>
      </c>
      <c r="H52" s="2">
        <v>74218889</v>
      </c>
      <c r="I52" s="2" t="s">
        <v>13</v>
      </c>
    </row>
    <row r="53" spans="1:9" ht="15" customHeight="1" x14ac:dyDescent="0.3">
      <c r="A53" s="2">
        <v>6558628</v>
      </c>
      <c r="B53" s="2" t="s">
        <v>9</v>
      </c>
      <c r="C53" s="2" t="s">
        <v>10</v>
      </c>
      <c r="D53" s="3">
        <v>46022</v>
      </c>
      <c r="E53" s="3">
        <v>46022</v>
      </c>
      <c r="F53" s="4" t="s">
        <v>103</v>
      </c>
      <c r="G53" s="2" t="s">
        <v>66</v>
      </c>
      <c r="H53" s="2">
        <v>0</v>
      </c>
      <c r="I53" s="2" t="s">
        <v>13</v>
      </c>
    </row>
    <row r="54" spans="1:9" ht="15" customHeight="1" x14ac:dyDescent="0.3">
      <c r="A54" s="2">
        <v>6558629</v>
      </c>
      <c r="B54" s="2" t="s">
        <v>9</v>
      </c>
      <c r="C54" s="2" t="s">
        <v>10</v>
      </c>
      <c r="D54" s="3">
        <v>46022</v>
      </c>
      <c r="E54" s="3">
        <v>46022</v>
      </c>
      <c r="F54" s="4" t="s">
        <v>104</v>
      </c>
      <c r="G54" s="2" t="s">
        <v>68</v>
      </c>
      <c r="H54" s="2">
        <v>0</v>
      </c>
      <c r="I54" s="2" t="s">
        <v>13</v>
      </c>
    </row>
    <row r="55" spans="1:9" ht="15" customHeight="1" x14ac:dyDescent="0.3">
      <c r="A55" s="2">
        <v>6558630</v>
      </c>
      <c r="B55" s="2" t="s">
        <v>9</v>
      </c>
      <c r="C55" s="2" t="s">
        <v>10</v>
      </c>
      <c r="D55" s="3">
        <v>46022</v>
      </c>
      <c r="E55" s="3">
        <v>46022</v>
      </c>
      <c r="F55" s="4" t="s">
        <v>105</v>
      </c>
      <c r="G55" s="2" t="s">
        <v>106</v>
      </c>
      <c r="H55" s="2">
        <v>28227228</v>
      </c>
      <c r="I55" s="2" t="s">
        <v>13</v>
      </c>
    </row>
    <row r="56" spans="1:9" ht="15" customHeight="1" x14ac:dyDescent="0.3">
      <c r="A56" s="2">
        <v>6558631</v>
      </c>
      <c r="B56" s="2" t="s">
        <v>9</v>
      </c>
      <c r="C56" s="2" t="s">
        <v>10</v>
      </c>
      <c r="D56" s="3">
        <v>46022</v>
      </c>
      <c r="E56" s="3">
        <v>46022</v>
      </c>
      <c r="F56" s="4" t="s">
        <v>107</v>
      </c>
      <c r="G56" s="2" t="s">
        <v>108</v>
      </c>
      <c r="H56" s="2">
        <v>0</v>
      </c>
      <c r="I56" s="2" t="s">
        <v>13</v>
      </c>
    </row>
    <row r="57" spans="1:9" ht="15" customHeight="1" x14ac:dyDescent="0.3">
      <c r="A57" s="2">
        <v>6558632</v>
      </c>
      <c r="B57" s="2" t="s">
        <v>9</v>
      </c>
      <c r="C57" s="2" t="s">
        <v>10</v>
      </c>
      <c r="D57" s="3">
        <v>46022</v>
      </c>
      <c r="E57" s="3">
        <v>46022</v>
      </c>
      <c r="F57" s="4" t="s">
        <v>109</v>
      </c>
      <c r="G57" s="2" t="s">
        <v>110</v>
      </c>
      <c r="H57" s="2">
        <v>12618143</v>
      </c>
      <c r="I57" s="2" t="s">
        <v>13</v>
      </c>
    </row>
    <row r="58" spans="1:9" ht="15" customHeight="1" x14ac:dyDescent="0.3">
      <c r="A58" s="2">
        <v>6558633</v>
      </c>
      <c r="B58" s="2" t="s">
        <v>9</v>
      </c>
      <c r="C58" s="2" t="s">
        <v>10</v>
      </c>
      <c r="D58" s="3">
        <v>46022</v>
      </c>
      <c r="E58" s="3">
        <v>46022</v>
      </c>
      <c r="F58" s="4" t="s">
        <v>111</v>
      </c>
      <c r="G58" s="2" t="s">
        <v>62</v>
      </c>
      <c r="H58" s="2">
        <v>5193122</v>
      </c>
      <c r="I58" s="2" t="s">
        <v>13</v>
      </c>
    </row>
    <row r="59" spans="1:9" ht="15" customHeight="1" x14ac:dyDescent="0.3">
      <c r="A59" s="2">
        <v>6558634</v>
      </c>
      <c r="B59" s="2" t="s">
        <v>9</v>
      </c>
      <c r="C59" s="2" t="s">
        <v>10</v>
      </c>
      <c r="D59" s="3">
        <v>46022</v>
      </c>
      <c r="E59" s="3">
        <v>46022</v>
      </c>
      <c r="F59" s="4" t="s">
        <v>112</v>
      </c>
      <c r="G59" s="2" t="s">
        <v>113</v>
      </c>
      <c r="H59" s="2">
        <v>28180396</v>
      </c>
      <c r="I59" s="2" t="s">
        <v>13</v>
      </c>
    </row>
    <row r="60" spans="1:9" ht="15" customHeight="1" x14ac:dyDescent="0.3">
      <c r="A60" s="2">
        <v>6558635</v>
      </c>
      <c r="B60" s="2" t="s">
        <v>9</v>
      </c>
      <c r="C60" s="2" t="s">
        <v>10</v>
      </c>
      <c r="D60" s="3">
        <v>46022</v>
      </c>
      <c r="E60" s="3">
        <v>46022</v>
      </c>
      <c r="F60" s="4" t="s">
        <v>114</v>
      </c>
      <c r="G60" s="2" t="s">
        <v>115</v>
      </c>
      <c r="H60" s="2">
        <v>0</v>
      </c>
      <c r="I60" s="2" t="s">
        <v>13</v>
      </c>
    </row>
    <row r="61" spans="1:9" ht="15" customHeight="1" x14ac:dyDescent="0.3">
      <c r="A61" s="2">
        <v>6558636</v>
      </c>
      <c r="B61" s="2" t="s">
        <v>9</v>
      </c>
      <c r="C61" s="2" t="s">
        <v>10</v>
      </c>
      <c r="D61" s="3">
        <v>46022</v>
      </c>
      <c r="E61" s="3">
        <v>46022</v>
      </c>
      <c r="F61" s="4" t="s">
        <v>116</v>
      </c>
      <c r="G61" s="2" t="s">
        <v>117</v>
      </c>
      <c r="H61" s="2">
        <v>0</v>
      </c>
      <c r="I61" s="2" t="s">
        <v>13</v>
      </c>
    </row>
    <row r="62" spans="1:9" ht="15" customHeight="1" x14ac:dyDescent="0.3">
      <c r="A62" s="2">
        <v>6558637</v>
      </c>
      <c r="B62" s="2" t="s">
        <v>9</v>
      </c>
      <c r="C62" s="2" t="s">
        <v>10</v>
      </c>
      <c r="D62" s="3">
        <v>46022</v>
      </c>
      <c r="E62" s="3">
        <v>46022</v>
      </c>
      <c r="F62" s="4" t="s">
        <v>118</v>
      </c>
      <c r="G62" s="2" t="s">
        <v>119</v>
      </c>
      <c r="H62" s="2">
        <v>0</v>
      </c>
      <c r="I62" s="2" t="s">
        <v>13</v>
      </c>
    </row>
    <row r="63" spans="1:9" ht="15" customHeight="1" x14ac:dyDescent="0.3">
      <c r="A63" s="2">
        <v>6558638</v>
      </c>
      <c r="B63" s="2" t="s">
        <v>9</v>
      </c>
      <c r="C63" s="2" t="s">
        <v>10</v>
      </c>
      <c r="D63" s="3">
        <v>46022</v>
      </c>
      <c r="E63" s="3">
        <v>46022</v>
      </c>
      <c r="F63" s="4" t="s">
        <v>120</v>
      </c>
      <c r="G63" s="2" t="s">
        <v>121</v>
      </c>
      <c r="H63" s="2">
        <v>0</v>
      </c>
      <c r="I63" s="2" t="s">
        <v>13</v>
      </c>
    </row>
    <row r="64" spans="1:9" ht="15" customHeight="1" x14ac:dyDescent="0.3">
      <c r="A64" s="2">
        <v>6558639</v>
      </c>
      <c r="B64" s="2" t="s">
        <v>9</v>
      </c>
      <c r="C64" s="2" t="s">
        <v>10</v>
      </c>
      <c r="D64" s="3">
        <v>46022</v>
      </c>
      <c r="E64" s="3">
        <v>46022</v>
      </c>
      <c r="F64" s="4" t="s">
        <v>122</v>
      </c>
      <c r="G64" s="2" t="s">
        <v>123</v>
      </c>
      <c r="H64" s="2">
        <v>0</v>
      </c>
      <c r="I64" s="2" t="s">
        <v>13</v>
      </c>
    </row>
    <row r="65" spans="1:12" ht="15" customHeight="1" x14ac:dyDescent="0.3">
      <c r="A65" s="2">
        <v>6558640</v>
      </c>
      <c r="B65" s="2" t="s">
        <v>9</v>
      </c>
      <c r="C65" s="2" t="s">
        <v>10</v>
      </c>
      <c r="D65" s="3">
        <v>46022</v>
      </c>
      <c r="E65" s="3">
        <v>46022</v>
      </c>
      <c r="F65" s="4" t="s">
        <v>124</v>
      </c>
      <c r="G65" s="2" t="s">
        <v>125</v>
      </c>
      <c r="H65" s="2">
        <v>0</v>
      </c>
      <c r="I65" s="2" t="s">
        <v>13</v>
      </c>
    </row>
    <row r="66" spans="1:12" s="33" customFormat="1" ht="15" customHeight="1" x14ac:dyDescent="0.3">
      <c r="A66" s="33">
        <v>6558641</v>
      </c>
      <c r="B66" s="33" t="s">
        <v>9</v>
      </c>
      <c r="C66" s="33" t="s">
        <v>10</v>
      </c>
      <c r="D66" s="36">
        <v>46022</v>
      </c>
      <c r="E66" s="36">
        <v>46022</v>
      </c>
      <c r="F66" s="34" t="s">
        <v>126</v>
      </c>
      <c r="G66" s="33" t="s">
        <v>127</v>
      </c>
      <c r="H66" s="33">
        <v>955347330</v>
      </c>
      <c r="I66" s="33" t="s">
        <v>13</v>
      </c>
    </row>
    <row r="67" spans="1:12" ht="15" customHeight="1" x14ac:dyDescent="0.3">
      <c r="A67" s="2">
        <v>6558642</v>
      </c>
      <c r="B67" s="2" t="s">
        <v>9</v>
      </c>
      <c r="C67" s="2" t="s">
        <v>10</v>
      </c>
      <c r="D67" s="3">
        <v>46022</v>
      </c>
      <c r="E67" s="3">
        <v>46022</v>
      </c>
      <c r="F67" s="4" t="s">
        <v>128</v>
      </c>
      <c r="G67" s="2" t="s">
        <v>129</v>
      </c>
      <c r="H67" s="2">
        <v>955347330</v>
      </c>
      <c r="I67" s="2" t="s">
        <v>13</v>
      </c>
    </row>
    <row r="68" spans="1:12" ht="15" customHeight="1" x14ac:dyDescent="0.3">
      <c r="A68" s="2">
        <v>6558643</v>
      </c>
      <c r="B68" s="2" t="s">
        <v>9</v>
      </c>
      <c r="C68" s="2" t="s">
        <v>10</v>
      </c>
      <c r="D68" s="3">
        <v>46022</v>
      </c>
      <c r="E68" s="3">
        <v>46022</v>
      </c>
      <c r="F68" s="4" t="s">
        <v>130</v>
      </c>
      <c r="G68" s="2" t="s">
        <v>127</v>
      </c>
      <c r="H68" s="2">
        <v>955347330</v>
      </c>
      <c r="I68" s="2" t="s">
        <v>13</v>
      </c>
    </row>
    <row r="69" spans="1:12" ht="15" customHeight="1" x14ac:dyDescent="0.3">
      <c r="A69" s="2">
        <v>6558644</v>
      </c>
      <c r="B69" s="2" t="s">
        <v>9</v>
      </c>
      <c r="C69" s="2" t="s">
        <v>10</v>
      </c>
      <c r="D69" s="3">
        <v>46022</v>
      </c>
      <c r="E69" s="3">
        <v>46022</v>
      </c>
      <c r="F69" s="4" t="s">
        <v>131</v>
      </c>
      <c r="G69" s="2" t="s">
        <v>132</v>
      </c>
      <c r="H69" s="2">
        <v>0</v>
      </c>
      <c r="I69" s="2" t="s">
        <v>13</v>
      </c>
    </row>
    <row r="70" spans="1:12" ht="15" customHeight="1" x14ac:dyDescent="0.3">
      <c r="A70" s="2">
        <v>6558645</v>
      </c>
      <c r="B70" s="2" t="s">
        <v>9</v>
      </c>
      <c r="C70" s="2" t="s">
        <v>10</v>
      </c>
      <c r="D70" s="3">
        <v>46022</v>
      </c>
      <c r="E70" s="3">
        <v>46022</v>
      </c>
      <c r="F70" s="4" t="s">
        <v>133</v>
      </c>
      <c r="G70" s="2" t="s">
        <v>134</v>
      </c>
      <c r="H70" s="2">
        <v>0</v>
      </c>
      <c r="I70" s="2" t="s">
        <v>13</v>
      </c>
    </row>
    <row r="71" spans="1:12" ht="15" customHeight="1" x14ac:dyDescent="0.3">
      <c r="A71" s="2">
        <v>6558646</v>
      </c>
      <c r="B71" s="2" t="s">
        <v>9</v>
      </c>
      <c r="C71" s="2" t="s">
        <v>10</v>
      </c>
      <c r="D71" s="3">
        <v>46022</v>
      </c>
      <c r="E71" s="3">
        <v>46022</v>
      </c>
      <c r="F71" s="4" t="s">
        <v>135</v>
      </c>
      <c r="G71" s="2" t="s">
        <v>136</v>
      </c>
      <c r="H71" s="2">
        <v>59937851</v>
      </c>
      <c r="I71" s="2" t="s">
        <v>13</v>
      </c>
    </row>
    <row r="72" spans="1:12" ht="15" customHeight="1" x14ac:dyDescent="0.3">
      <c r="A72" s="2">
        <v>6558647</v>
      </c>
      <c r="B72" s="2" t="s">
        <v>9</v>
      </c>
      <c r="C72" s="2" t="s">
        <v>10</v>
      </c>
      <c r="D72" s="3">
        <v>46022</v>
      </c>
      <c r="E72" s="3">
        <v>46022</v>
      </c>
      <c r="F72" s="4" t="s">
        <v>137</v>
      </c>
      <c r="G72" s="2" t="s">
        <v>138</v>
      </c>
      <c r="H72" s="2">
        <v>59937851</v>
      </c>
      <c r="I72" s="2" t="s">
        <v>13</v>
      </c>
    </row>
    <row r="73" spans="1:12" ht="15" customHeight="1" x14ac:dyDescent="0.3">
      <c r="A73" s="2">
        <v>6558648</v>
      </c>
      <c r="B73" s="2" t="s">
        <v>9</v>
      </c>
      <c r="C73" s="2" t="s">
        <v>10</v>
      </c>
      <c r="D73" s="3">
        <v>46022</v>
      </c>
      <c r="E73" s="3">
        <v>46022</v>
      </c>
      <c r="F73" s="4" t="s">
        <v>139</v>
      </c>
      <c r="G73" s="2" t="s">
        <v>140</v>
      </c>
      <c r="H73" s="2">
        <v>0</v>
      </c>
      <c r="I73" s="2" t="s">
        <v>13</v>
      </c>
    </row>
    <row r="74" spans="1:12" ht="15" customHeight="1" x14ac:dyDescent="0.3">
      <c r="A74" s="2">
        <v>6558649</v>
      </c>
      <c r="B74" s="2" t="s">
        <v>9</v>
      </c>
      <c r="C74" s="2" t="s">
        <v>10</v>
      </c>
      <c r="D74" s="3">
        <v>46022</v>
      </c>
      <c r="E74" s="3">
        <v>46022</v>
      </c>
      <c r="F74" s="4" t="s">
        <v>141</v>
      </c>
      <c r="G74" s="2" t="s">
        <v>136</v>
      </c>
      <c r="H74" s="2">
        <v>59937851</v>
      </c>
      <c r="I74" s="2" t="s">
        <v>13</v>
      </c>
    </row>
    <row r="75" spans="1:12" ht="15" customHeight="1" x14ac:dyDescent="0.3">
      <c r="A75" s="2">
        <v>6558650</v>
      </c>
      <c r="B75" s="2" t="s">
        <v>9</v>
      </c>
      <c r="C75" s="2" t="s">
        <v>10</v>
      </c>
      <c r="D75" s="3">
        <v>46022</v>
      </c>
      <c r="E75" s="3">
        <v>46022</v>
      </c>
      <c r="F75" s="4" t="s">
        <v>142</v>
      </c>
      <c r="G75" s="2" t="s">
        <v>143</v>
      </c>
      <c r="H75" s="2">
        <v>0</v>
      </c>
      <c r="I75" s="2" t="s">
        <v>13</v>
      </c>
    </row>
    <row r="76" spans="1:12" ht="15" customHeight="1" x14ac:dyDescent="0.3">
      <c r="A76" s="2">
        <v>6558651</v>
      </c>
      <c r="B76" s="2" t="s">
        <v>9</v>
      </c>
      <c r="C76" s="2" t="s">
        <v>10</v>
      </c>
      <c r="D76" s="3">
        <v>46022</v>
      </c>
      <c r="E76" s="3">
        <v>46022</v>
      </c>
      <c r="F76" s="4" t="s">
        <v>144</v>
      </c>
      <c r="G76" s="2" t="s">
        <v>145</v>
      </c>
      <c r="H76" s="2">
        <v>4722693388</v>
      </c>
      <c r="I76" s="2" t="s">
        <v>13</v>
      </c>
      <c r="L76" t="s">
        <v>146</v>
      </c>
    </row>
    <row r="77" spans="1:12" ht="15" customHeight="1" x14ac:dyDescent="0.3">
      <c r="A77" s="5">
        <v>6558652</v>
      </c>
      <c r="B77" s="5" t="s">
        <v>9</v>
      </c>
      <c r="C77" s="5" t="s">
        <v>10</v>
      </c>
      <c r="D77" s="6">
        <v>46022</v>
      </c>
      <c r="E77" s="6">
        <v>46022</v>
      </c>
      <c r="F77" s="7" t="s">
        <v>147</v>
      </c>
      <c r="G77" s="5" t="s">
        <v>148</v>
      </c>
      <c r="H77" s="20">
        <v>843948319</v>
      </c>
      <c r="I77" s="5" t="s">
        <v>13</v>
      </c>
    </row>
    <row r="78" spans="1:12" ht="15" customHeight="1" x14ac:dyDescent="0.3">
      <c r="A78" s="11">
        <v>6558653</v>
      </c>
      <c r="B78" s="11" t="s">
        <v>9</v>
      </c>
      <c r="C78" s="11" t="s">
        <v>10</v>
      </c>
      <c r="D78" s="12">
        <v>46022</v>
      </c>
      <c r="E78" s="12">
        <v>46022</v>
      </c>
      <c r="F78" s="13" t="s">
        <v>149</v>
      </c>
      <c r="G78" s="11" t="s">
        <v>150</v>
      </c>
      <c r="H78" s="11">
        <v>143620121</v>
      </c>
      <c r="I78" s="11" t="s">
        <v>13</v>
      </c>
    </row>
    <row r="79" spans="1:12" ht="15" customHeight="1" x14ac:dyDescent="0.3">
      <c r="A79" s="2">
        <v>6558654</v>
      </c>
      <c r="B79" s="2" t="s">
        <v>9</v>
      </c>
      <c r="C79" s="2" t="s">
        <v>10</v>
      </c>
      <c r="D79" s="3">
        <v>46022</v>
      </c>
      <c r="E79" s="3">
        <v>46022</v>
      </c>
      <c r="F79" s="4" t="s">
        <v>151</v>
      </c>
      <c r="G79" s="2" t="s">
        <v>152</v>
      </c>
      <c r="H79" s="2">
        <v>23478380</v>
      </c>
      <c r="I79" s="2" t="s">
        <v>13</v>
      </c>
    </row>
    <row r="80" spans="1:12" ht="15" customHeight="1" x14ac:dyDescent="0.3">
      <c r="A80" s="2">
        <v>6558655</v>
      </c>
      <c r="B80" s="2" t="s">
        <v>9</v>
      </c>
      <c r="C80" s="2" t="s">
        <v>10</v>
      </c>
      <c r="D80" s="3">
        <v>46022</v>
      </c>
      <c r="E80" s="3">
        <v>46022</v>
      </c>
      <c r="F80" s="4" t="s">
        <v>153</v>
      </c>
      <c r="G80" s="2" t="s">
        <v>154</v>
      </c>
      <c r="H80" s="2">
        <v>23478380</v>
      </c>
      <c r="I80" s="2" t="s">
        <v>13</v>
      </c>
    </row>
    <row r="81" spans="1:9" ht="15" customHeight="1" x14ac:dyDescent="0.3">
      <c r="A81" s="2">
        <v>6558656</v>
      </c>
      <c r="B81" s="2" t="s">
        <v>9</v>
      </c>
      <c r="C81" s="2" t="s">
        <v>10</v>
      </c>
      <c r="D81" s="3">
        <v>46022</v>
      </c>
      <c r="E81" s="3">
        <v>46022</v>
      </c>
      <c r="F81" s="4" t="s">
        <v>155</v>
      </c>
      <c r="G81" s="2" t="s">
        <v>156</v>
      </c>
      <c r="H81" s="2">
        <v>120141741</v>
      </c>
      <c r="I81" s="2" t="s">
        <v>13</v>
      </c>
    </row>
    <row r="82" spans="1:9" ht="15" customHeight="1" x14ac:dyDescent="0.3">
      <c r="A82" s="2">
        <v>6558657</v>
      </c>
      <c r="B82" s="2" t="s">
        <v>9</v>
      </c>
      <c r="C82" s="2" t="s">
        <v>10</v>
      </c>
      <c r="D82" s="3">
        <v>46022</v>
      </c>
      <c r="E82" s="3">
        <v>46022</v>
      </c>
      <c r="F82" s="4" t="s">
        <v>157</v>
      </c>
      <c r="G82" s="2" t="s">
        <v>158</v>
      </c>
      <c r="H82" s="2">
        <v>46654708</v>
      </c>
      <c r="I82" s="2" t="s">
        <v>13</v>
      </c>
    </row>
    <row r="83" spans="1:9" ht="15" customHeight="1" x14ac:dyDescent="0.3">
      <c r="A83" s="2">
        <v>6558658</v>
      </c>
      <c r="B83" s="2" t="s">
        <v>9</v>
      </c>
      <c r="C83" s="2" t="s">
        <v>10</v>
      </c>
      <c r="D83" s="3">
        <v>46022</v>
      </c>
      <c r="E83" s="3">
        <v>46022</v>
      </c>
      <c r="F83" s="4" t="s">
        <v>159</v>
      </c>
      <c r="G83" s="2" t="s">
        <v>160</v>
      </c>
      <c r="H83" s="2">
        <v>73487033</v>
      </c>
      <c r="I83" s="2" t="s">
        <v>13</v>
      </c>
    </row>
    <row r="84" spans="1:9" ht="15" customHeight="1" x14ac:dyDescent="0.3">
      <c r="A84" s="11">
        <v>6558659</v>
      </c>
      <c r="B84" s="11" t="s">
        <v>9</v>
      </c>
      <c r="C84" s="11" t="s">
        <v>10</v>
      </c>
      <c r="D84" s="12">
        <v>46022</v>
      </c>
      <c r="E84" s="12">
        <v>46022</v>
      </c>
      <c r="F84" s="13" t="s">
        <v>161</v>
      </c>
      <c r="G84" s="11" t="s">
        <v>162</v>
      </c>
      <c r="H84" s="11">
        <v>194081633</v>
      </c>
      <c r="I84" s="11" t="s">
        <v>13</v>
      </c>
    </row>
    <row r="85" spans="1:9" ht="15" customHeight="1" x14ac:dyDescent="0.3">
      <c r="A85" s="2">
        <v>6558660</v>
      </c>
      <c r="B85" s="2" t="s">
        <v>9</v>
      </c>
      <c r="C85" s="2" t="s">
        <v>10</v>
      </c>
      <c r="D85" s="3">
        <v>46022</v>
      </c>
      <c r="E85" s="3">
        <v>46022</v>
      </c>
      <c r="F85" s="4" t="s">
        <v>163</v>
      </c>
      <c r="G85" s="2" t="s">
        <v>164</v>
      </c>
      <c r="H85" s="2">
        <v>163566431</v>
      </c>
      <c r="I85" s="2" t="s">
        <v>13</v>
      </c>
    </row>
    <row r="86" spans="1:9" ht="15" customHeight="1" x14ac:dyDescent="0.3">
      <c r="A86" s="2">
        <v>6558661</v>
      </c>
      <c r="B86" s="2" t="s">
        <v>9</v>
      </c>
      <c r="C86" s="2" t="s">
        <v>10</v>
      </c>
      <c r="D86" s="3">
        <v>46022</v>
      </c>
      <c r="E86" s="3">
        <v>46022</v>
      </c>
      <c r="F86" s="4" t="s">
        <v>165</v>
      </c>
      <c r="G86" s="2" t="s">
        <v>166</v>
      </c>
      <c r="H86" s="2">
        <v>86712162</v>
      </c>
      <c r="I86" s="2" t="s">
        <v>13</v>
      </c>
    </row>
    <row r="87" spans="1:9" ht="15" customHeight="1" x14ac:dyDescent="0.3">
      <c r="A87" s="2">
        <v>6558662</v>
      </c>
      <c r="B87" s="2" t="s">
        <v>9</v>
      </c>
      <c r="C87" s="2" t="s">
        <v>10</v>
      </c>
      <c r="D87" s="3">
        <v>46022</v>
      </c>
      <c r="E87" s="3">
        <v>46022</v>
      </c>
      <c r="F87" s="4" t="s">
        <v>167</v>
      </c>
      <c r="G87" s="2" t="s">
        <v>168</v>
      </c>
      <c r="H87" s="2">
        <v>4609624</v>
      </c>
      <c r="I87" s="2" t="s">
        <v>13</v>
      </c>
    </row>
    <row r="88" spans="1:9" ht="15" customHeight="1" x14ac:dyDescent="0.3">
      <c r="A88" s="2">
        <v>6558663</v>
      </c>
      <c r="B88" s="2" t="s">
        <v>9</v>
      </c>
      <c r="C88" s="2" t="s">
        <v>10</v>
      </c>
      <c r="D88" s="3">
        <v>46022</v>
      </c>
      <c r="E88" s="3">
        <v>46022</v>
      </c>
      <c r="F88" s="4" t="s">
        <v>169</v>
      </c>
      <c r="G88" s="2" t="s">
        <v>170</v>
      </c>
      <c r="H88" s="2">
        <v>72244645</v>
      </c>
      <c r="I88" s="2" t="s">
        <v>13</v>
      </c>
    </row>
    <row r="89" spans="1:9" ht="15" customHeight="1" x14ac:dyDescent="0.3">
      <c r="A89" s="2">
        <v>6558664</v>
      </c>
      <c r="B89" s="2" t="s">
        <v>9</v>
      </c>
      <c r="C89" s="2" t="s">
        <v>10</v>
      </c>
      <c r="D89" s="3">
        <v>46022</v>
      </c>
      <c r="E89" s="3">
        <v>46022</v>
      </c>
      <c r="F89" s="4" t="s">
        <v>171</v>
      </c>
      <c r="G89" s="2" t="s">
        <v>172</v>
      </c>
      <c r="H89" s="2">
        <v>30515202</v>
      </c>
      <c r="I89" s="2" t="s">
        <v>13</v>
      </c>
    </row>
    <row r="90" spans="1:9" ht="15" customHeight="1" x14ac:dyDescent="0.3">
      <c r="A90" s="2">
        <v>6558665</v>
      </c>
      <c r="B90" s="2" t="s">
        <v>9</v>
      </c>
      <c r="C90" s="2" t="s">
        <v>10</v>
      </c>
      <c r="D90" s="3">
        <v>46022</v>
      </c>
      <c r="E90" s="3">
        <v>46022</v>
      </c>
      <c r="F90" s="4" t="s">
        <v>173</v>
      </c>
      <c r="G90" s="2" t="s">
        <v>174</v>
      </c>
      <c r="H90" s="2">
        <v>30515202</v>
      </c>
      <c r="I90" s="2" t="s">
        <v>13</v>
      </c>
    </row>
    <row r="91" spans="1:9" ht="15" customHeight="1" x14ac:dyDescent="0.3">
      <c r="A91" s="14">
        <v>6558666</v>
      </c>
      <c r="B91" s="14" t="s">
        <v>9</v>
      </c>
      <c r="C91" s="14" t="s">
        <v>10</v>
      </c>
      <c r="D91" s="15">
        <v>46022</v>
      </c>
      <c r="E91" s="15">
        <v>46022</v>
      </c>
      <c r="F91" s="16" t="s">
        <v>175</v>
      </c>
      <c r="G91" s="14" t="s">
        <v>176</v>
      </c>
      <c r="H91" s="14">
        <v>123909262</v>
      </c>
      <c r="I91" s="14" t="s">
        <v>13</v>
      </c>
    </row>
    <row r="92" spans="1:9" ht="15" customHeight="1" x14ac:dyDescent="0.3">
      <c r="A92" s="8">
        <v>6558667</v>
      </c>
      <c r="B92" s="8" t="s">
        <v>9</v>
      </c>
      <c r="C92" s="8" t="s">
        <v>10</v>
      </c>
      <c r="D92" s="9">
        <v>46022</v>
      </c>
      <c r="E92" s="9">
        <v>46022</v>
      </c>
      <c r="F92" s="10" t="s">
        <v>177</v>
      </c>
      <c r="G92" s="8" t="s">
        <v>178</v>
      </c>
      <c r="H92" s="8">
        <v>76184467</v>
      </c>
      <c r="I92" s="8" t="s">
        <v>13</v>
      </c>
    </row>
    <row r="93" spans="1:9" ht="15" customHeight="1" x14ac:dyDescent="0.3">
      <c r="A93" s="2">
        <v>6558668</v>
      </c>
      <c r="B93" s="2" t="s">
        <v>9</v>
      </c>
      <c r="C93" s="2" t="s">
        <v>10</v>
      </c>
      <c r="D93" s="3">
        <v>46022</v>
      </c>
      <c r="E93" s="3">
        <v>46022</v>
      </c>
      <c r="F93" s="4" t="s">
        <v>179</v>
      </c>
      <c r="G93" s="2" t="s">
        <v>180</v>
      </c>
      <c r="H93" s="2">
        <v>33581274</v>
      </c>
      <c r="I93" s="2" t="s">
        <v>13</v>
      </c>
    </row>
    <row r="94" spans="1:9" ht="15" customHeight="1" x14ac:dyDescent="0.3">
      <c r="A94" s="2">
        <v>6558669</v>
      </c>
      <c r="B94" s="2" t="s">
        <v>9</v>
      </c>
      <c r="C94" s="2" t="s">
        <v>10</v>
      </c>
      <c r="D94" s="3">
        <v>46022</v>
      </c>
      <c r="E94" s="3">
        <v>46022</v>
      </c>
      <c r="F94" s="4" t="s">
        <v>181</v>
      </c>
      <c r="G94" s="2" t="s">
        <v>182</v>
      </c>
      <c r="H94" s="2">
        <v>35954689</v>
      </c>
      <c r="I94" s="2" t="s">
        <v>13</v>
      </c>
    </row>
    <row r="95" spans="1:9" ht="15" customHeight="1" x14ac:dyDescent="0.3">
      <c r="A95" s="2">
        <v>6558670</v>
      </c>
      <c r="B95" s="2" t="s">
        <v>9</v>
      </c>
      <c r="C95" s="2" t="s">
        <v>10</v>
      </c>
      <c r="D95" s="3">
        <v>46022</v>
      </c>
      <c r="E95" s="3">
        <v>46022</v>
      </c>
      <c r="F95" s="4" t="s">
        <v>183</v>
      </c>
      <c r="G95" s="2" t="s">
        <v>184</v>
      </c>
      <c r="H95" s="2">
        <v>499923</v>
      </c>
      <c r="I95" s="2" t="s">
        <v>13</v>
      </c>
    </row>
    <row r="96" spans="1:9" ht="15" customHeight="1" x14ac:dyDescent="0.3">
      <c r="A96" s="2">
        <v>6558671</v>
      </c>
      <c r="B96" s="2" t="s">
        <v>9</v>
      </c>
      <c r="C96" s="2" t="s">
        <v>10</v>
      </c>
      <c r="D96" s="3">
        <v>46022</v>
      </c>
      <c r="E96" s="3">
        <v>46022</v>
      </c>
      <c r="F96" s="4" t="s">
        <v>185</v>
      </c>
      <c r="G96" s="2" t="s">
        <v>186</v>
      </c>
      <c r="H96" s="2">
        <v>6072280</v>
      </c>
      <c r="I96" s="2" t="s">
        <v>13</v>
      </c>
    </row>
    <row r="97" spans="1:9" ht="15" customHeight="1" x14ac:dyDescent="0.3">
      <c r="A97" s="2">
        <v>6558672</v>
      </c>
      <c r="B97" s="2" t="s">
        <v>9</v>
      </c>
      <c r="C97" s="2" t="s">
        <v>10</v>
      </c>
      <c r="D97" s="3">
        <v>46022</v>
      </c>
      <c r="E97" s="3">
        <v>46022</v>
      </c>
      <c r="F97" s="4" t="s">
        <v>187</v>
      </c>
      <c r="G97" s="2" t="s">
        <v>188</v>
      </c>
      <c r="H97" s="2">
        <v>76301</v>
      </c>
      <c r="I97" s="2" t="s">
        <v>13</v>
      </c>
    </row>
    <row r="98" spans="1:9" ht="15" customHeight="1" x14ac:dyDescent="0.3">
      <c r="A98" s="11">
        <v>6558673</v>
      </c>
      <c r="B98" s="11" t="s">
        <v>9</v>
      </c>
      <c r="C98" s="11" t="s">
        <v>10</v>
      </c>
      <c r="D98" s="12">
        <v>46022</v>
      </c>
      <c r="E98" s="12">
        <v>46022</v>
      </c>
      <c r="F98" s="13" t="s">
        <v>189</v>
      </c>
      <c r="G98" s="11" t="s">
        <v>190</v>
      </c>
      <c r="H98" s="11">
        <v>47249603</v>
      </c>
      <c r="I98" s="11" t="s">
        <v>13</v>
      </c>
    </row>
    <row r="99" spans="1:9" ht="15" customHeight="1" x14ac:dyDescent="0.3">
      <c r="A99" s="2">
        <v>6558674</v>
      </c>
      <c r="B99" s="2" t="s">
        <v>9</v>
      </c>
      <c r="C99" s="2" t="s">
        <v>10</v>
      </c>
      <c r="D99" s="3">
        <v>46022</v>
      </c>
      <c r="E99" s="3">
        <v>46022</v>
      </c>
      <c r="F99" s="4" t="s">
        <v>191</v>
      </c>
      <c r="G99" s="2" t="s">
        <v>192</v>
      </c>
      <c r="H99" s="2">
        <v>45839189</v>
      </c>
      <c r="I99" s="2" t="s">
        <v>13</v>
      </c>
    </row>
    <row r="100" spans="1:9" ht="15" customHeight="1" x14ac:dyDescent="0.3">
      <c r="A100" s="2">
        <v>6558675</v>
      </c>
      <c r="B100" s="2" t="s">
        <v>9</v>
      </c>
      <c r="C100" s="2" t="s">
        <v>10</v>
      </c>
      <c r="D100" s="3">
        <v>46022</v>
      </c>
      <c r="E100" s="3">
        <v>46022</v>
      </c>
      <c r="F100" s="4" t="s">
        <v>193</v>
      </c>
      <c r="G100" s="2" t="s">
        <v>188</v>
      </c>
      <c r="H100" s="2">
        <v>0</v>
      </c>
      <c r="I100" s="2" t="s">
        <v>13</v>
      </c>
    </row>
    <row r="101" spans="1:9" ht="15" customHeight="1" x14ac:dyDescent="0.3">
      <c r="A101" s="2">
        <v>6558676</v>
      </c>
      <c r="B101" s="2" t="s">
        <v>9</v>
      </c>
      <c r="C101" s="2" t="s">
        <v>10</v>
      </c>
      <c r="D101" s="3">
        <v>46022</v>
      </c>
      <c r="E101" s="3">
        <v>46022</v>
      </c>
      <c r="F101" s="4" t="s">
        <v>194</v>
      </c>
      <c r="G101" s="2" t="s">
        <v>195</v>
      </c>
      <c r="H101" s="2">
        <v>1410414</v>
      </c>
      <c r="I101" s="2" t="s">
        <v>13</v>
      </c>
    </row>
    <row r="102" spans="1:9" ht="15" customHeight="1" x14ac:dyDescent="0.3">
      <c r="A102" s="11">
        <v>6558677</v>
      </c>
      <c r="B102" s="11" t="s">
        <v>9</v>
      </c>
      <c r="C102" s="11" t="s">
        <v>10</v>
      </c>
      <c r="D102" s="12">
        <v>46022</v>
      </c>
      <c r="E102" s="12">
        <v>46022</v>
      </c>
      <c r="F102" s="13" t="s">
        <v>196</v>
      </c>
      <c r="G102" s="11" t="s">
        <v>197</v>
      </c>
      <c r="H102" s="11">
        <v>475192</v>
      </c>
      <c r="I102" s="11" t="s">
        <v>13</v>
      </c>
    </row>
    <row r="103" spans="1:9" ht="15" customHeight="1" x14ac:dyDescent="0.3">
      <c r="A103" s="2">
        <v>6558678</v>
      </c>
      <c r="B103" s="2" t="s">
        <v>9</v>
      </c>
      <c r="C103" s="2" t="s">
        <v>10</v>
      </c>
      <c r="D103" s="3">
        <v>46022</v>
      </c>
      <c r="E103" s="3">
        <v>46022</v>
      </c>
      <c r="F103" s="4" t="s">
        <v>198</v>
      </c>
      <c r="G103" s="2" t="s">
        <v>199</v>
      </c>
      <c r="H103" s="2">
        <v>28754</v>
      </c>
      <c r="I103" s="2" t="s">
        <v>13</v>
      </c>
    </row>
    <row r="104" spans="1:9" ht="15" customHeight="1" x14ac:dyDescent="0.3">
      <c r="A104" s="2">
        <v>6558679</v>
      </c>
      <c r="B104" s="2" t="s">
        <v>9</v>
      </c>
      <c r="C104" s="2" t="s">
        <v>10</v>
      </c>
      <c r="D104" s="3">
        <v>46022</v>
      </c>
      <c r="E104" s="3">
        <v>46022</v>
      </c>
      <c r="F104" s="4" t="s">
        <v>200</v>
      </c>
      <c r="G104" s="2" t="s">
        <v>201</v>
      </c>
      <c r="H104" s="2">
        <v>446438</v>
      </c>
      <c r="I104" s="2" t="s">
        <v>13</v>
      </c>
    </row>
    <row r="105" spans="1:9" ht="15" customHeight="1" x14ac:dyDescent="0.3">
      <c r="A105" s="8">
        <v>6558680</v>
      </c>
      <c r="B105" s="8" t="s">
        <v>9</v>
      </c>
      <c r="C105" s="8" t="s">
        <v>10</v>
      </c>
      <c r="D105" s="9">
        <v>46022</v>
      </c>
      <c r="E105" s="9">
        <v>46022</v>
      </c>
      <c r="F105" s="10" t="s">
        <v>202</v>
      </c>
      <c r="G105" s="8" t="s">
        <v>203</v>
      </c>
      <c r="H105" s="8">
        <v>232972843</v>
      </c>
      <c r="I105" s="8" t="s">
        <v>13</v>
      </c>
    </row>
    <row r="106" spans="1:9" ht="15" customHeight="1" x14ac:dyDescent="0.3">
      <c r="A106" s="2">
        <v>6558681</v>
      </c>
      <c r="B106" s="2" t="s">
        <v>9</v>
      </c>
      <c r="C106" s="2" t="s">
        <v>10</v>
      </c>
      <c r="D106" s="3">
        <v>46022</v>
      </c>
      <c r="E106" s="3">
        <v>46022</v>
      </c>
      <c r="F106" s="4" t="s">
        <v>204</v>
      </c>
      <c r="G106" s="2" t="s">
        <v>203</v>
      </c>
      <c r="H106" s="2">
        <v>232972843</v>
      </c>
      <c r="I106" s="2" t="s">
        <v>13</v>
      </c>
    </row>
    <row r="107" spans="1:9" ht="15" customHeight="1" x14ac:dyDescent="0.3">
      <c r="A107" s="2">
        <v>6558682</v>
      </c>
      <c r="B107" s="2" t="s">
        <v>9</v>
      </c>
      <c r="C107" s="2" t="s">
        <v>10</v>
      </c>
      <c r="D107" s="3">
        <v>46022</v>
      </c>
      <c r="E107" s="3">
        <v>46022</v>
      </c>
      <c r="F107" s="4" t="s">
        <v>205</v>
      </c>
      <c r="G107" s="2" t="s">
        <v>206</v>
      </c>
      <c r="H107" s="2">
        <v>14400749</v>
      </c>
      <c r="I107" s="2" t="s">
        <v>13</v>
      </c>
    </row>
    <row r="108" spans="1:9" ht="15" customHeight="1" x14ac:dyDescent="0.3">
      <c r="A108" s="2">
        <v>6558683</v>
      </c>
      <c r="B108" s="2" t="s">
        <v>9</v>
      </c>
      <c r="C108" s="2" t="s">
        <v>10</v>
      </c>
      <c r="D108" s="3">
        <v>46022</v>
      </c>
      <c r="E108" s="3">
        <v>46022</v>
      </c>
      <c r="F108" s="4" t="s">
        <v>207</v>
      </c>
      <c r="G108" s="2" t="s">
        <v>208</v>
      </c>
      <c r="H108" s="2">
        <v>218572094</v>
      </c>
      <c r="I108" s="2" t="s">
        <v>13</v>
      </c>
    </row>
    <row r="109" spans="1:9" ht="15" customHeight="1" x14ac:dyDescent="0.3">
      <c r="A109" s="2">
        <v>6558684</v>
      </c>
      <c r="B109" s="2" t="s">
        <v>9</v>
      </c>
      <c r="C109" s="2" t="s">
        <v>10</v>
      </c>
      <c r="D109" s="3">
        <v>46022</v>
      </c>
      <c r="E109" s="3">
        <v>46022</v>
      </c>
      <c r="F109" s="4" t="s">
        <v>209</v>
      </c>
      <c r="G109" s="2" t="s">
        <v>210</v>
      </c>
      <c r="H109" s="2">
        <v>0</v>
      </c>
      <c r="I109" s="2" t="s">
        <v>13</v>
      </c>
    </row>
    <row r="110" spans="1:9" ht="15" customHeight="1" x14ac:dyDescent="0.3">
      <c r="A110" s="2">
        <v>6558685</v>
      </c>
      <c r="B110" s="2" t="s">
        <v>9</v>
      </c>
      <c r="C110" s="2" t="s">
        <v>10</v>
      </c>
      <c r="D110" s="3">
        <v>46022</v>
      </c>
      <c r="E110" s="3">
        <v>46022</v>
      </c>
      <c r="F110" s="4" t="s">
        <v>211</v>
      </c>
      <c r="G110" s="2" t="s">
        <v>212</v>
      </c>
      <c r="H110" s="2">
        <v>0</v>
      </c>
      <c r="I110" s="2" t="s">
        <v>13</v>
      </c>
    </row>
    <row r="111" spans="1:9" ht="15" customHeight="1" x14ac:dyDescent="0.3">
      <c r="A111" s="14">
        <v>6558686</v>
      </c>
      <c r="B111" s="14" t="s">
        <v>9</v>
      </c>
      <c r="C111" s="14" t="s">
        <v>10</v>
      </c>
      <c r="D111" s="15">
        <v>46022</v>
      </c>
      <c r="E111" s="15">
        <v>46022</v>
      </c>
      <c r="F111" s="16" t="s">
        <v>213</v>
      </c>
      <c r="G111" s="14" t="s">
        <v>214</v>
      </c>
      <c r="H111" s="14">
        <v>149364460</v>
      </c>
      <c r="I111" s="14" t="s">
        <v>13</v>
      </c>
    </row>
    <row r="112" spans="1:9" ht="15" customHeight="1" x14ac:dyDescent="0.3">
      <c r="A112" s="2">
        <v>6558687</v>
      </c>
      <c r="B112" s="2" t="s">
        <v>9</v>
      </c>
      <c r="C112" s="2" t="s">
        <v>10</v>
      </c>
      <c r="D112" s="3">
        <v>46022</v>
      </c>
      <c r="E112" s="3">
        <v>46022</v>
      </c>
      <c r="F112" s="4" t="s">
        <v>215</v>
      </c>
      <c r="G112" s="2" t="s">
        <v>216</v>
      </c>
      <c r="H112" s="2">
        <v>0</v>
      </c>
      <c r="I112" s="2" t="s">
        <v>13</v>
      </c>
    </row>
    <row r="113" spans="1:9" ht="15" customHeight="1" x14ac:dyDescent="0.3">
      <c r="A113" s="2">
        <v>6558688</v>
      </c>
      <c r="B113" s="2" t="s">
        <v>9</v>
      </c>
      <c r="C113" s="2" t="s">
        <v>10</v>
      </c>
      <c r="D113" s="3">
        <v>46022</v>
      </c>
      <c r="E113" s="3">
        <v>46022</v>
      </c>
      <c r="F113" s="4" t="s">
        <v>217</v>
      </c>
      <c r="G113" s="2" t="s">
        <v>218</v>
      </c>
      <c r="H113" s="2">
        <v>0</v>
      </c>
      <c r="I113" s="2" t="s">
        <v>13</v>
      </c>
    </row>
    <row r="114" spans="1:9" ht="15" customHeight="1" x14ac:dyDescent="0.3">
      <c r="A114" s="2">
        <v>6558689</v>
      </c>
      <c r="B114" s="2" t="s">
        <v>9</v>
      </c>
      <c r="C114" s="2" t="s">
        <v>10</v>
      </c>
      <c r="D114" s="3">
        <v>46022</v>
      </c>
      <c r="E114" s="3">
        <v>46022</v>
      </c>
      <c r="F114" s="4" t="s">
        <v>219</v>
      </c>
      <c r="G114" s="2" t="s">
        <v>220</v>
      </c>
      <c r="H114" s="2">
        <v>0</v>
      </c>
      <c r="I114" s="2" t="s">
        <v>13</v>
      </c>
    </row>
    <row r="115" spans="1:9" ht="15" customHeight="1" x14ac:dyDescent="0.3">
      <c r="A115" s="2">
        <v>6558690</v>
      </c>
      <c r="B115" s="2" t="s">
        <v>9</v>
      </c>
      <c r="C115" s="2" t="s">
        <v>10</v>
      </c>
      <c r="D115" s="3">
        <v>46022</v>
      </c>
      <c r="E115" s="3">
        <v>46022</v>
      </c>
      <c r="F115" s="4" t="s">
        <v>221</v>
      </c>
      <c r="G115" s="2" t="s">
        <v>222</v>
      </c>
      <c r="H115" s="2">
        <v>0</v>
      </c>
      <c r="I115" s="2" t="s">
        <v>13</v>
      </c>
    </row>
    <row r="116" spans="1:9" ht="15" customHeight="1" x14ac:dyDescent="0.3">
      <c r="A116" s="2">
        <v>6558691</v>
      </c>
      <c r="B116" s="2" t="s">
        <v>9</v>
      </c>
      <c r="C116" s="2" t="s">
        <v>10</v>
      </c>
      <c r="D116" s="3">
        <v>46022</v>
      </c>
      <c r="E116" s="3">
        <v>46022</v>
      </c>
      <c r="F116" s="4" t="s">
        <v>223</v>
      </c>
      <c r="G116" s="2" t="s">
        <v>70</v>
      </c>
      <c r="H116" s="2">
        <v>149364460</v>
      </c>
      <c r="I116" s="2" t="s">
        <v>13</v>
      </c>
    </row>
    <row r="117" spans="1:9" ht="15" customHeight="1" x14ac:dyDescent="0.3">
      <c r="A117" s="8">
        <v>6558692</v>
      </c>
      <c r="B117" s="8" t="s">
        <v>9</v>
      </c>
      <c r="C117" s="8" t="s">
        <v>10</v>
      </c>
      <c r="D117" s="9">
        <v>46022</v>
      </c>
      <c r="E117" s="9">
        <v>46022</v>
      </c>
      <c r="F117" s="10" t="s">
        <v>224</v>
      </c>
      <c r="G117" s="8" t="s">
        <v>225</v>
      </c>
      <c r="H117" s="8">
        <v>10099</v>
      </c>
      <c r="I117" s="8" t="s">
        <v>13</v>
      </c>
    </row>
    <row r="118" spans="1:9" ht="15" customHeight="1" x14ac:dyDescent="0.3">
      <c r="A118" s="2">
        <v>6558693</v>
      </c>
      <c r="B118" s="2" t="s">
        <v>9</v>
      </c>
      <c r="C118" s="2" t="s">
        <v>10</v>
      </c>
      <c r="D118" s="3">
        <v>46022</v>
      </c>
      <c r="E118" s="3">
        <v>46022</v>
      </c>
      <c r="F118" s="4" t="s">
        <v>226</v>
      </c>
      <c r="G118" s="2" t="s">
        <v>227</v>
      </c>
      <c r="H118" s="2">
        <v>0</v>
      </c>
      <c r="I118" s="2" t="s">
        <v>13</v>
      </c>
    </row>
    <row r="119" spans="1:9" ht="15" customHeight="1" x14ac:dyDescent="0.3">
      <c r="A119" s="2">
        <v>6558694</v>
      </c>
      <c r="B119" s="2" t="s">
        <v>9</v>
      </c>
      <c r="C119" s="2" t="s">
        <v>10</v>
      </c>
      <c r="D119" s="3">
        <v>46022</v>
      </c>
      <c r="E119" s="3">
        <v>46022</v>
      </c>
      <c r="F119" s="4" t="s">
        <v>228</v>
      </c>
      <c r="G119" s="2" t="s">
        <v>229</v>
      </c>
      <c r="H119" s="2">
        <v>0</v>
      </c>
      <c r="I119" s="2" t="s">
        <v>13</v>
      </c>
    </row>
    <row r="120" spans="1:9" ht="15" customHeight="1" x14ac:dyDescent="0.3">
      <c r="A120" s="2">
        <v>6558695</v>
      </c>
      <c r="B120" s="2" t="s">
        <v>9</v>
      </c>
      <c r="C120" s="2" t="s">
        <v>10</v>
      </c>
      <c r="D120" s="3">
        <v>46022</v>
      </c>
      <c r="E120" s="3">
        <v>46022</v>
      </c>
      <c r="F120" s="4" t="s">
        <v>230</v>
      </c>
      <c r="G120" s="2" t="s">
        <v>231</v>
      </c>
      <c r="H120" s="2">
        <v>14487029</v>
      </c>
      <c r="I120" s="2" t="s">
        <v>13</v>
      </c>
    </row>
    <row r="121" spans="1:9" ht="15" customHeight="1" x14ac:dyDescent="0.3">
      <c r="A121" s="2">
        <v>6558696</v>
      </c>
      <c r="B121" s="2" t="s">
        <v>9</v>
      </c>
      <c r="C121" s="2" t="s">
        <v>10</v>
      </c>
      <c r="D121" s="3">
        <v>46022</v>
      </c>
      <c r="E121" s="3">
        <v>46022</v>
      </c>
      <c r="F121" s="4" t="s">
        <v>232</v>
      </c>
      <c r="G121" s="2" t="s">
        <v>233</v>
      </c>
      <c r="H121" s="2">
        <v>83186388</v>
      </c>
      <c r="I121" s="2" t="s">
        <v>13</v>
      </c>
    </row>
    <row r="122" spans="1:9" ht="15" customHeight="1" x14ac:dyDescent="0.3">
      <c r="A122" s="2">
        <v>6558697</v>
      </c>
      <c r="B122" s="2" t="s">
        <v>9</v>
      </c>
      <c r="C122" s="2" t="s">
        <v>10</v>
      </c>
      <c r="D122" s="3">
        <v>46022</v>
      </c>
      <c r="E122" s="3">
        <v>46022</v>
      </c>
      <c r="F122" s="4" t="s">
        <v>234</v>
      </c>
      <c r="G122" s="2" t="s">
        <v>235</v>
      </c>
      <c r="H122" s="2">
        <v>22729448</v>
      </c>
      <c r="I122" s="2" t="s">
        <v>13</v>
      </c>
    </row>
    <row r="123" spans="1:9" ht="15" customHeight="1" x14ac:dyDescent="0.3">
      <c r="A123" s="2">
        <v>6558698</v>
      </c>
      <c r="B123" s="2" t="s">
        <v>9</v>
      </c>
      <c r="C123" s="2" t="s">
        <v>10</v>
      </c>
      <c r="D123" s="3">
        <v>46022</v>
      </c>
      <c r="E123" s="3">
        <v>46022</v>
      </c>
      <c r="F123" s="4" t="s">
        <v>236</v>
      </c>
      <c r="G123" s="2" t="s">
        <v>188</v>
      </c>
      <c r="H123" s="2">
        <v>0</v>
      </c>
      <c r="I123" s="2" t="s">
        <v>13</v>
      </c>
    </row>
    <row r="124" spans="1:9" ht="15" customHeight="1" x14ac:dyDescent="0.3">
      <c r="A124" s="2">
        <v>6558699</v>
      </c>
      <c r="B124" s="2" t="s">
        <v>9</v>
      </c>
      <c r="C124" s="2" t="s">
        <v>10</v>
      </c>
      <c r="D124" s="3">
        <v>46022</v>
      </c>
      <c r="E124" s="3">
        <v>46022</v>
      </c>
      <c r="F124" s="4" t="s">
        <v>237</v>
      </c>
      <c r="G124" s="2" t="s">
        <v>238</v>
      </c>
      <c r="H124" s="2">
        <v>8117607</v>
      </c>
      <c r="I124" s="2" t="s">
        <v>13</v>
      </c>
    </row>
    <row r="125" spans="1:9" ht="15" customHeight="1" x14ac:dyDescent="0.3">
      <c r="A125" s="2">
        <v>6558700</v>
      </c>
      <c r="B125" s="2" t="s">
        <v>9</v>
      </c>
      <c r="C125" s="2" t="s">
        <v>10</v>
      </c>
      <c r="D125" s="3">
        <v>46022</v>
      </c>
      <c r="E125" s="3">
        <v>46022</v>
      </c>
      <c r="F125" s="4" t="s">
        <v>239</v>
      </c>
      <c r="G125" s="2" t="s">
        <v>170</v>
      </c>
      <c r="H125" s="2">
        <v>0</v>
      </c>
      <c r="I125" s="2" t="s">
        <v>13</v>
      </c>
    </row>
    <row r="126" spans="1:9" ht="15" customHeight="1" x14ac:dyDescent="0.3">
      <c r="A126" s="2">
        <v>6558701</v>
      </c>
      <c r="B126" s="2" t="s">
        <v>9</v>
      </c>
      <c r="C126" s="2" t="s">
        <v>10</v>
      </c>
      <c r="D126" s="3">
        <v>46022</v>
      </c>
      <c r="E126" s="3">
        <v>46022</v>
      </c>
      <c r="F126" s="4" t="s">
        <v>240</v>
      </c>
      <c r="G126" s="2" t="s">
        <v>241</v>
      </c>
      <c r="H126" s="2">
        <v>18376725</v>
      </c>
      <c r="I126" s="2" t="s">
        <v>13</v>
      </c>
    </row>
    <row r="127" spans="1:9" ht="15" customHeight="1" x14ac:dyDescent="0.3">
      <c r="A127" s="2">
        <v>6558702</v>
      </c>
      <c r="B127" s="2" t="s">
        <v>9</v>
      </c>
      <c r="C127" s="2" t="s">
        <v>10</v>
      </c>
      <c r="D127" s="3">
        <v>46022</v>
      </c>
      <c r="E127" s="3">
        <v>46022</v>
      </c>
      <c r="F127" s="4" t="s">
        <v>242</v>
      </c>
      <c r="G127" s="2" t="s">
        <v>243</v>
      </c>
      <c r="H127" s="2">
        <v>2457164</v>
      </c>
      <c r="I127" s="2" t="s">
        <v>13</v>
      </c>
    </row>
    <row r="128" spans="1:9" ht="15" customHeight="1" x14ac:dyDescent="0.3">
      <c r="A128" s="2">
        <v>6558703</v>
      </c>
      <c r="B128" s="2" t="s">
        <v>9</v>
      </c>
      <c r="C128" s="2" t="s">
        <v>10</v>
      </c>
      <c r="D128" s="3">
        <v>46022</v>
      </c>
      <c r="E128" s="3">
        <v>46022</v>
      </c>
      <c r="F128" s="4" t="s">
        <v>244</v>
      </c>
      <c r="G128" s="2" t="s">
        <v>245</v>
      </c>
      <c r="H128" s="2">
        <v>0</v>
      </c>
      <c r="I128" s="2" t="s">
        <v>13</v>
      </c>
    </row>
    <row r="129" spans="1:9" ht="15" customHeight="1" x14ac:dyDescent="0.3">
      <c r="A129" s="2">
        <v>6558704</v>
      </c>
      <c r="B129" s="2" t="s">
        <v>9</v>
      </c>
      <c r="C129" s="2" t="s">
        <v>10</v>
      </c>
      <c r="D129" s="3">
        <v>46022</v>
      </c>
      <c r="E129" s="3">
        <v>46022</v>
      </c>
      <c r="F129" s="4" t="s">
        <v>246</v>
      </c>
      <c r="G129" s="2" t="s">
        <v>247</v>
      </c>
      <c r="H129" s="2">
        <v>0</v>
      </c>
      <c r="I129" s="2" t="s">
        <v>13</v>
      </c>
    </row>
    <row r="130" spans="1:9" ht="15" customHeight="1" x14ac:dyDescent="0.3">
      <c r="A130" s="2">
        <v>6558705</v>
      </c>
      <c r="B130" s="2" t="s">
        <v>9</v>
      </c>
      <c r="C130" s="2" t="s">
        <v>10</v>
      </c>
      <c r="D130" s="3">
        <v>46022</v>
      </c>
      <c r="E130" s="3">
        <v>46022</v>
      </c>
      <c r="F130" s="4" t="s">
        <v>248</v>
      </c>
      <c r="G130" s="2" t="s">
        <v>249</v>
      </c>
      <c r="H130" s="2">
        <v>0</v>
      </c>
      <c r="I130" s="2" t="s">
        <v>13</v>
      </c>
    </row>
    <row r="131" spans="1:9" ht="15" customHeight="1" x14ac:dyDescent="0.3">
      <c r="A131" s="2">
        <v>6558706</v>
      </c>
      <c r="B131" s="2" t="s">
        <v>9</v>
      </c>
      <c r="C131" s="2" t="s">
        <v>10</v>
      </c>
      <c r="D131" s="3">
        <v>46022</v>
      </c>
      <c r="E131" s="3">
        <v>46022</v>
      </c>
      <c r="F131" s="4" t="s">
        <v>250</v>
      </c>
      <c r="G131" s="2" t="s">
        <v>251</v>
      </c>
      <c r="H131" s="2">
        <v>0</v>
      </c>
      <c r="I131" s="2" t="s">
        <v>13</v>
      </c>
    </row>
    <row r="132" spans="1:9" ht="15" customHeight="1" x14ac:dyDescent="0.3">
      <c r="A132" s="2">
        <v>6558707</v>
      </c>
      <c r="B132" s="2" t="s">
        <v>9</v>
      </c>
      <c r="C132" s="2" t="s">
        <v>10</v>
      </c>
      <c r="D132" s="3">
        <v>46022</v>
      </c>
      <c r="E132" s="3">
        <v>46022</v>
      </c>
      <c r="F132" s="4" t="s">
        <v>252</v>
      </c>
      <c r="G132" s="2" t="s">
        <v>253</v>
      </c>
      <c r="H132" s="2">
        <v>0</v>
      </c>
      <c r="I132" s="2" t="s">
        <v>13</v>
      </c>
    </row>
    <row r="133" spans="1:9" ht="15" customHeight="1" x14ac:dyDescent="0.3">
      <c r="A133" s="2">
        <v>6558708</v>
      </c>
      <c r="B133" s="2" t="s">
        <v>9</v>
      </c>
      <c r="C133" s="2" t="s">
        <v>10</v>
      </c>
      <c r="D133" s="3">
        <v>46022</v>
      </c>
      <c r="E133" s="3">
        <v>46022</v>
      </c>
      <c r="F133" s="4" t="s">
        <v>254</v>
      </c>
      <c r="G133" s="2" t="s">
        <v>255</v>
      </c>
      <c r="H133" s="2">
        <v>0</v>
      </c>
      <c r="I133" s="2" t="s">
        <v>13</v>
      </c>
    </row>
    <row r="134" spans="1:9" ht="15" customHeight="1" x14ac:dyDescent="0.3">
      <c r="A134" s="2">
        <v>6558709</v>
      </c>
      <c r="B134" s="2" t="s">
        <v>9</v>
      </c>
      <c r="C134" s="2" t="s">
        <v>10</v>
      </c>
      <c r="D134" s="3">
        <v>46022</v>
      </c>
      <c r="E134" s="3">
        <v>46022</v>
      </c>
      <c r="F134" s="4" t="s">
        <v>256</v>
      </c>
      <c r="G134" s="2" t="s">
        <v>257</v>
      </c>
      <c r="H134" s="2">
        <v>0</v>
      </c>
      <c r="I134" s="2" t="s">
        <v>13</v>
      </c>
    </row>
    <row r="135" spans="1:9" ht="15" customHeight="1" x14ac:dyDescent="0.3">
      <c r="A135" s="2">
        <v>6558710</v>
      </c>
      <c r="B135" s="2" t="s">
        <v>9</v>
      </c>
      <c r="C135" s="2" t="s">
        <v>10</v>
      </c>
      <c r="D135" s="3">
        <v>46022</v>
      </c>
      <c r="E135" s="3">
        <v>46022</v>
      </c>
      <c r="F135" s="4" t="s">
        <v>258</v>
      </c>
      <c r="G135" s="2" t="s">
        <v>259</v>
      </c>
      <c r="H135" s="2">
        <v>0</v>
      </c>
      <c r="I135" s="2" t="s">
        <v>13</v>
      </c>
    </row>
    <row r="136" spans="1:9" ht="15" customHeight="1" x14ac:dyDescent="0.3">
      <c r="A136" s="2">
        <v>6558711</v>
      </c>
      <c r="B136" s="2" t="s">
        <v>9</v>
      </c>
      <c r="C136" s="2" t="s">
        <v>10</v>
      </c>
      <c r="D136" s="3">
        <v>46022</v>
      </c>
      <c r="E136" s="3">
        <v>46022</v>
      </c>
      <c r="F136" s="4" t="s">
        <v>260</v>
      </c>
      <c r="G136" s="2" t="s">
        <v>261</v>
      </c>
      <c r="H136" s="2">
        <v>0</v>
      </c>
      <c r="I136" s="2" t="s">
        <v>13</v>
      </c>
    </row>
    <row r="137" spans="1:9" ht="15" customHeight="1" x14ac:dyDescent="0.3">
      <c r="A137" s="2">
        <v>6558712</v>
      </c>
      <c r="B137" s="2" t="s">
        <v>9</v>
      </c>
      <c r="C137" s="2" t="s">
        <v>10</v>
      </c>
      <c r="D137" s="3">
        <v>46022</v>
      </c>
      <c r="E137" s="3">
        <v>46022</v>
      </c>
      <c r="F137" s="4" t="s">
        <v>262</v>
      </c>
      <c r="G137" s="2" t="s">
        <v>263</v>
      </c>
      <c r="H137" s="2">
        <v>0</v>
      </c>
      <c r="I137" s="2" t="s">
        <v>13</v>
      </c>
    </row>
    <row r="138" spans="1:9" ht="15" customHeight="1" x14ac:dyDescent="0.3">
      <c r="A138" s="2">
        <v>6558713</v>
      </c>
      <c r="B138" s="2" t="s">
        <v>9</v>
      </c>
      <c r="C138" s="2" t="s">
        <v>10</v>
      </c>
      <c r="D138" s="3">
        <v>46022</v>
      </c>
      <c r="E138" s="3">
        <v>46022</v>
      </c>
      <c r="F138" s="4" t="s">
        <v>264</v>
      </c>
      <c r="G138" s="2" t="s">
        <v>265</v>
      </c>
      <c r="H138" s="2">
        <v>0</v>
      </c>
      <c r="I138" s="2" t="s">
        <v>13</v>
      </c>
    </row>
    <row r="139" spans="1:9" ht="15" customHeight="1" x14ac:dyDescent="0.3">
      <c r="A139" s="2">
        <v>6558714</v>
      </c>
      <c r="B139" s="2" t="s">
        <v>9</v>
      </c>
      <c r="C139" s="2" t="s">
        <v>10</v>
      </c>
      <c r="D139" s="3">
        <v>46022</v>
      </c>
      <c r="E139" s="3">
        <v>46022</v>
      </c>
      <c r="F139" s="4" t="s">
        <v>266</v>
      </c>
      <c r="G139" s="2" t="s">
        <v>267</v>
      </c>
      <c r="H139" s="2">
        <v>0</v>
      </c>
      <c r="I139" s="2" t="s">
        <v>13</v>
      </c>
    </row>
    <row r="140" spans="1:9" ht="15" customHeight="1" x14ac:dyDescent="0.3">
      <c r="A140" s="2">
        <v>6558715</v>
      </c>
      <c r="B140" s="2" t="s">
        <v>9</v>
      </c>
      <c r="C140" s="2" t="s">
        <v>10</v>
      </c>
      <c r="D140" s="3">
        <v>46022</v>
      </c>
      <c r="E140" s="3">
        <v>46022</v>
      </c>
      <c r="F140" s="4" t="s">
        <v>268</v>
      </c>
      <c r="G140" s="2" t="s">
        <v>269</v>
      </c>
      <c r="H140" s="2">
        <v>0</v>
      </c>
      <c r="I140" s="2" t="s">
        <v>13</v>
      </c>
    </row>
    <row r="141" spans="1:9" ht="15" customHeight="1" x14ac:dyDescent="0.3">
      <c r="A141" s="5">
        <v>6558716</v>
      </c>
      <c r="B141" s="5" t="s">
        <v>9</v>
      </c>
      <c r="C141" s="5" t="s">
        <v>10</v>
      </c>
      <c r="D141" s="6">
        <v>46022</v>
      </c>
      <c r="E141" s="6">
        <v>46022</v>
      </c>
      <c r="F141" s="7" t="s">
        <v>270</v>
      </c>
      <c r="G141" s="5" t="s">
        <v>271</v>
      </c>
      <c r="H141" s="5">
        <v>929178228</v>
      </c>
      <c r="I141" s="5" t="s">
        <v>13</v>
      </c>
    </row>
    <row r="142" spans="1:9" ht="15" customHeight="1" x14ac:dyDescent="0.3">
      <c r="A142" s="2">
        <v>6558717</v>
      </c>
      <c r="B142" s="2" t="s">
        <v>9</v>
      </c>
      <c r="C142" s="2" t="s">
        <v>10</v>
      </c>
      <c r="D142" s="3">
        <v>46022</v>
      </c>
      <c r="E142" s="3">
        <v>46022</v>
      </c>
      <c r="F142" s="4" t="s">
        <v>272</v>
      </c>
      <c r="G142" s="2" t="s">
        <v>203</v>
      </c>
      <c r="H142" s="2">
        <v>298302864</v>
      </c>
      <c r="I142" s="2" t="s">
        <v>13</v>
      </c>
    </row>
    <row r="143" spans="1:9" ht="15" customHeight="1" x14ac:dyDescent="0.3">
      <c r="A143" s="2">
        <v>6558718</v>
      </c>
      <c r="B143" s="2" t="s">
        <v>9</v>
      </c>
      <c r="C143" s="2" t="s">
        <v>10</v>
      </c>
      <c r="D143" s="3">
        <v>46022</v>
      </c>
      <c r="E143" s="3">
        <v>46022</v>
      </c>
      <c r="F143" s="4" t="s">
        <v>273</v>
      </c>
      <c r="G143" s="2" t="s">
        <v>203</v>
      </c>
      <c r="H143" s="2">
        <v>298302864</v>
      </c>
      <c r="I143" s="2" t="s">
        <v>13</v>
      </c>
    </row>
    <row r="144" spans="1:9" ht="15" customHeight="1" x14ac:dyDescent="0.3">
      <c r="A144" s="2">
        <v>6558719</v>
      </c>
      <c r="B144" s="2" t="s">
        <v>9</v>
      </c>
      <c r="C144" s="2" t="s">
        <v>10</v>
      </c>
      <c r="D144" s="3">
        <v>46022</v>
      </c>
      <c r="E144" s="3">
        <v>46022</v>
      </c>
      <c r="F144" s="4" t="s">
        <v>274</v>
      </c>
      <c r="G144" s="2" t="s">
        <v>206</v>
      </c>
      <c r="H144" s="2">
        <v>298302864</v>
      </c>
      <c r="I144" s="2" t="s">
        <v>13</v>
      </c>
    </row>
    <row r="145" spans="1:9" ht="15" customHeight="1" x14ac:dyDescent="0.3">
      <c r="A145" s="2">
        <v>6558720</v>
      </c>
      <c r="B145" s="2" t="s">
        <v>9</v>
      </c>
      <c r="C145" s="2" t="s">
        <v>10</v>
      </c>
      <c r="D145" s="3">
        <v>46022</v>
      </c>
      <c r="E145" s="3">
        <v>46022</v>
      </c>
      <c r="F145" s="4" t="s">
        <v>275</v>
      </c>
      <c r="G145" s="2" t="s">
        <v>208</v>
      </c>
      <c r="H145" s="2">
        <v>0</v>
      </c>
      <c r="I145" s="2" t="s">
        <v>13</v>
      </c>
    </row>
    <row r="146" spans="1:9" ht="15" customHeight="1" x14ac:dyDescent="0.3">
      <c r="A146" s="2">
        <v>6558721</v>
      </c>
      <c r="B146" s="2" t="s">
        <v>9</v>
      </c>
      <c r="C146" s="2" t="s">
        <v>10</v>
      </c>
      <c r="D146" s="3">
        <v>46022</v>
      </c>
      <c r="E146" s="3">
        <v>46022</v>
      </c>
      <c r="F146" s="4" t="s">
        <v>276</v>
      </c>
      <c r="G146" s="2" t="s">
        <v>210</v>
      </c>
      <c r="H146" s="2">
        <v>0</v>
      </c>
      <c r="I146" s="2" t="s">
        <v>13</v>
      </c>
    </row>
    <row r="147" spans="1:9" ht="15" customHeight="1" x14ac:dyDescent="0.3">
      <c r="A147" s="2">
        <v>6558722</v>
      </c>
      <c r="B147" s="2" t="s">
        <v>9</v>
      </c>
      <c r="C147" s="2" t="s">
        <v>10</v>
      </c>
      <c r="D147" s="3">
        <v>46022</v>
      </c>
      <c r="E147" s="3">
        <v>46022</v>
      </c>
      <c r="F147" s="4" t="s">
        <v>277</v>
      </c>
      <c r="G147" s="2" t="s">
        <v>212</v>
      </c>
      <c r="H147" s="2">
        <v>0</v>
      </c>
      <c r="I147" s="2" t="s">
        <v>13</v>
      </c>
    </row>
    <row r="148" spans="1:9" ht="15" customHeight="1" x14ac:dyDescent="0.3">
      <c r="A148" s="2">
        <v>6558723</v>
      </c>
      <c r="B148" s="2" t="s">
        <v>9</v>
      </c>
      <c r="C148" s="2" t="s">
        <v>10</v>
      </c>
      <c r="D148" s="3">
        <v>46022</v>
      </c>
      <c r="E148" s="3">
        <v>46022</v>
      </c>
      <c r="F148" s="4" t="s">
        <v>278</v>
      </c>
      <c r="G148" s="2" t="s">
        <v>214</v>
      </c>
      <c r="H148" s="2">
        <v>603938777</v>
      </c>
      <c r="I148" s="2" t="s">
        <v>13</v>
      </c>
    </row>
    <row r="149" spans="1:9" ht="15" customHeight="1" x14ac:dyDescent="0.3">
      <c r="A149" s="2">
        <v>6558724</v>
      </c>
      <c r="B149" s="2" t="s">
        <v>9</v>
      </c>
      <c r="C149" s="2" t="s">
        <v>10</v>
      </c>
      <c r="D149" s="3">
        <v>46022</v>
      </c>
      <c r="E149" s="3">
        <v>46022</v>
      </c>
      <c r="F149" s="4" t="s">
        <v>279</v>
      </c>
      <c r="G149" s="2" t="s">
        <v>216</v>
      </c>
      <c r="H149" s="2">
        <v>0</v>
      </c>
      <c r="I149" s="2" t="s">
        <v>13</v>
      </c>
    </row>
    <row r="150" spans="1:9" ht="15" customHeight="1" x14ac:dyDescent="0.3">
      <c r="A150" s="2">
        <v>6558725</v>
      </c>
      <c r="B150" s="2" t="s">
        <v>9</v>
      </c>
      <c r="C150" s="2" t="s">
        <v>10</v>
      </c>
      <c r="D150" s="3">
        <v>46022</v>
      </c>
      <c r="E150" s="3">
        <v>46022</v>
      </c>
      <c r="F150" s="4" t="s">
        <v>280</v>
      </c>
      <c r="G150" s="2" t="s">
        <v>218</v>
      </c>
      <c r="H150" s="2">
        <v>0</v>
      </c>
      <c r="I150" s="2" t="s">
        <v>13</v>
      </c>
    </row>
    <row r="151" spans="1:9" ht="15" customHeight="1" x14ac:dyDescent="0.3">
      <c r="A151" s="2">
        <v>6558726</v>
      </c>
      <c r="B151" s="2" t="s">
        <v>9</v>
      </c>
      <c r="C151" s="2" t="s">
        <v>10</v>
      </c>
      <c r="D151" s="3">
        <v>46022</v>
      </c>
      <c r="E151" s="3">
        <v>46022</v>
      </c>
      <c r="F151" s="4" t="s">
        <v>281</v>
      </c>
      <c r="G151" s="2" t="s">
        <v>220</v>
      </c>
      <c r="H151" s="2">
        <v>0</v>
      </c>
      <c r="I151" s="2" t="s">
        <v>13</v>
      </c>
    </row>
    <row r="152" spans="1:9" ht="15" customHeight="1" x14ac:dyDescent="0.3">
      <c r="A152" s="2">
        <v>6558727</v>
      </c>
      <c r="B152" s="2" t="s">
        <v>9</v>
      </c>
      <c r="C152" s="2" t="s">
        <v>10</v>
      </c>
      <c r="D152" s="3">
        <v>46022</v>
      </c>
      <c r="E152" s="3">
        <v>46022</v>
      </c>
      <c r="F152" s="4" t="s">
        <v>282</v>
      </c>
      <c r="G152" s="2" t="s">
        <v>222</v>
      </c>
      <c r="H152" s="2">
        <v>0</v>
      </c>
      <c r="I152" s="2" t="s">
        <v>13</v>
      </c>
    </row>
    <row r="153" spans="1:9" ht="15" customHeight="1" x14ac:dyDescent="0.3">
      <c r="A153" s="2">
        <v>6558728</v>
      </c>
      <c r="B153" s="2" t="s">
        <v>9</v>
      </c>
      <c r="C153" s="2" t="s">
        <v>10</v>
      </c>
      <c r="D153" s="3">
        <v>46022</v>
      </c>
      <c r="E153" s="3">
        <v>46022</v>
      </c>
      <c r="F153" s="4" t="s">
        <v>283</v>
      </c>
      <c r="G153" s="2" t="s">
        <v>70</v>
      </c>
      <c r="H153" s="2">
        <v>603938777</v>
      </c>
      <c r="I153" s="2" t="s">
        <v>13</v>
      </c>
    </row>
    <row r="154" spans="1:9" ht="15" customHeight="1" x14ac:dyDescent="0.3">
      <c r="A154" s="2">
        <v>6558729</v>
      </c>
      <c r="B154" s="2" t="s">
        <v>9</v>
      </c>
      <c r="C154" s="2" t="s">
        <v>10</v>
      </c>
      <c r="D154" s="3">
        <v>46022</v>
      </c>
      <c r="E154" s="3">
        <v>46022</v>
      </c>
      <c r="F154" s="4" t="s">
        <v>284</v>
      </c>
      <c r="G154" s="2" t="s">
        <v>229</v>
      </c>
      <c r="H154" s="2">
        <v>0</v>
      </c>
      <c r="I154" s="2" t="s">
        <v>13</v>
      </c>
    </row>
    <row r="155" spans="1:9" ht="15" customHeight="1" x14ac:dyDescent="0.3">
      <c r="A155" s="2">
        <v>6558730</v>
      </c>
      <c r="B155" s="2" t="s">
        <v>9</v>
      </c>
      <c r="C155" s="2" t="s">
        <v>10</v>
      </c>
      <c r="D155" s="3">
        <v>46022</v>
      </c>
      <c r="E155" s="3">
        <v>46022</v>
      </c>
      <c r="F155" s="4" t="s">
        <v>285</v>
      </c>
      <c r="G155" s="2" t="s">
        <v>286</v>
      </c>
      <c r="H155" s="2">
        <v>0</v>
      </c>
      <c r="I155" s="2" t="s">
        <v>13</v>
      </c>
    </row>
    <row r="156" spans="1:9" ht="15" customHeight="1" x14ac:dyDescent="0.3">
      <c r="A156" s="2">
        <v>6558731</v>
      </c>
      <c r="B156" s="2" t="s">
        <v>9</v>
      </c>
      <c r="C156" s="2" t="s">
        <v>10</v>
      </c>
      <c r="D156" s="3">
        <v>46022</v>
      </c>
      <c r="E156" s="3">
        <v>46022</v>
      </c>
      <c r="F156" s="4" t="s">
        <v>287</v>
      </c>
      <c r="G156" s="2" t="s">
        <v>233</v>
      </c>
      <c r="H156" s="2">
        <v>599517923</v>
      </c>
      <c r="I156" s="2" t="s">
        <v>13</v>
      </c>
    </row>
    <row r="157" spans="1:9" ht="15" customHeight="1" x14ac:dyDescent="0.3">
      <c r="A157" s="2">
        <v>6558732</v>
      </c>
      <c r="B157" s="2" t="s">
        <v>9</v>
      </c>
      <c r="C157" s="2" t="s">
        <v>10</v>
      </c>
      <c r="D157" s="3">
        <v>46022</v>
      </c>
      <c r="E157" s="3">
        <v>46022</v>
      </c>
      <c r="F157" s="4" t="s">
        <v>288</v>
      </c>
      <c r="G157" s="2" t="s">
        <v>235</v>
      </c>
      <c r="H157" s="2">
        <v>0</v>
      </c>
      <c r="I157" s="2" t="s">
        <v>13</v>
      </c>
    </row>
    <row r="158" spans="1:9" ht="15" customHeight="1" x14ac:dyDescent="0.3">
      <c r="A158" s="2">
        <v>6558733</v>
      </c>
      <c r="B158" s="2" t="s">
        <v>9</v>
      </c>
      <c r="C158" s="2" t="s">
        <v>10</v>
      </c>
      <c r="D158" s="3">
        <v>46022</v>
      </c>
      <c r="E158" s="3">
        <v>46022</v>
      </c>
      <c r="F158" s="4" t="s">
        <v>289</v>
      </c>
      <c r="G158" s="2" t="s">
        <v>243</v>
      </c>
      <c r="H158" s="2">
        <v>3977576</v>
      </c>
      <c r="I158" s="2" t="s">
        <v>13</v>
      </c>
    </row>
    <row r="159" spans="1:9" ht="15" customHeight="1" x14ac:dyDescent="0.3">
      <c r="A159" s="2">
        <v>6558734</v>
      </c>
      <c r="B159" s="2" t="s">
        <v>9</v>
      </c>
      <c r="C159" s="2" t="s">
        <v>10</v>
      </c>
      <c r="D159" s="3">
        <v>46022</v>
      </c>
      <c r="E159" s="3">
        <v>46022</v>
      </c>
      <c r="F159" s="4" t="s">
        <v>290</v>
      </c>
      <c r="G159" s="2" t="s">
        <v>188</v>
      </c>
      <c r="H159" s="2">
        <v>94720</v>
      </c>
      <c r="I159" s="2" t="s">
        <v>13</v>
      </c>
    </row>
    <row r="160" spans="1:9" ht="15" customHeight="1" x14ac:dyDescent="0.3">
      <c r="A160" s="2">
        <v>6558735</v>
      </c>
      <c r="B160" s="2" t="s">
        <v>9</v>
      </c>
      <c r="C160" s="2" t="s">
        <v>10</v>
      </c>
      <c r="D160" s="3">
        <v>46022</v>
      </c>
      <c r="E160" s="3">
        <v>46022</v>
      </c>
      <c r="F160" s="4" t="s">
        <v>291</v>
      </c>
      <c r="G160" s="2" t="s">
        <v>238</v>
      </c>
      <c r="H160" s="2">
        <v>348558</v>
      </c>
      <c r="I160" s="2" t="s">
        <v>13</v>
      </c>
    </row>
    <row r="161" spans="1:9" ht="15" customHeight="1" x14ac:dyDescent="0.3">
      <c r="A161" s="2">
        <v>6558736</v>
      </c>
      <c r="B161" s="2" t="s">
        <v>9</v>
      </c>
      <c r="C161" s="2" t="s">
        <v>10</v>
      </c>
      <c r="D161" s="3">
        <v>46022</v>
      </c>
      <c r="E161" s="3">
        <v>46022</v>
      </c>
      <c r="F161" s="4" t="s">
        <v>292</v>
      </c>
      <c r="G161" s="2" t="s">
        <v>293</v>
      </c>
      <c r="H161" s="2">
        <v>0</v>
      </c>
      <c r="I161" s="2" t="s">
        <v>13</v>
      </c>
    </row>
    <row r="162" spans="1:9" ht="15" customHeight="1" x14ac:dyDescent="0.3">
      <c r="A162" s="2">
        <v>6558737</v>
      </c>
      <c r="B162" s="2" t="s">
        <v>9</v>
      </c>
      <c r="C162" s="2" t="s">
        <v>10</v>
      </c>
      <c r="D162" s="3">
        <v>46022</v>
      </c>
      <c r="E162" s="3">
        <v>46022</v>
      </c>
      <c r="F162" s="4" t="s">
        <v>294</v>
      </c>
      <c r="G162" s="2" t="s">
        <v>89</v>
      </c>
      <c r="H162" s="2">
        <v>0</v>
      </c>
      <c r="I162" s="2" t="s">
        <v>13</v>
      </c>
    </row>
    <row r="163" spans="1:9" ht="15" customHeight="1" x14ac:dyDescent="0.3">
      <c r="A163" s="2">
        <v>6558738</v>
      </c>
      <c r="B163" s="2" t="s">
        <v>9</v>
      </c>
      <c r="C163" s="2" t="s">
        <v>10</v>
      </c>
      <c r="D163" s="3">
        <v>46022</v>
      </c>
      <c r="E163" s="3">
        <v>46022</v>
      </c>
      <c r="F163" s="4" t="s">
        <v>295</v>
      </c>
      <c r="G163" s="2" t="s">
        <v>91</v>
      </c>
      <c r="H163" s="2">
        <v>0</v>
      </c>
      <c r="I163" s="2" t="s">
        <v>13</v>
      </c>
    </row>
    <row r="164" spans="1:9" ht="15" customHeight="1" x14ac:dyDescent="0.3">
      <c r="A164" s="2">
        <v>6558739</v>
      </c>
      <c r="B164" s="2" t="s">
        <v>9</v>
      </c>
      <c r="C164" s="2" t="s">
        <v>10</v>
      </c>
      <c r="D164" s="3">
        <v>46022</v>
      </c>
      <c r="E164" s="3">
        <v>46022</v>
      </c>
      <c r="F164" s="4" t="s">
        <v>296</v>
      </c>
      <c r="G164" s="2" t="s">
        <v>245</v>
      </c>
      <c r="H164" s="2">
        <v>26936587</v>
      </c>
      <c r="I164" s="2" t="s">
        <v>13</v>
      </c>
    </row>
    <row r="165" spans="1:9" ht="15" customHeight="1" x14ac:dyDescent="0.3">
      <c r="A165" s="2">
        <v>6558740</v>
      </c>
      <c r="B165" s="2" t="s">
        <v>9</v>
      </c>
      <c r="C165" s="2" t="s">
        <v>10</v>
      </c>
      <c r="D165" s="3">
        <v>46022</v>
      </c>
      <c r="E165" s="3">
        <v>46022</v>
      </c>
      <c r="F165" s="4" t="s">
        <v>297</v>
      </c>
      <c r="G165" s="2" t="s">
        <v>247</v>
      </c>
      <c r="H165" s="2">
        <v>26936587</v>
      </c>
      <c r="I165" s="2" t="s">
        <v>13</v>
      </c>
    </row>
    <row r="166" spans="1:9" ht="15" customHeight="1" x14ac:dyDescent="0.3">
      <c r="A166" s="2">
        <v>6558741</v>
      </c>
      <c r="B166" s="2" t="s">
        <v>9</v>
      </c>
      <c r="C166" s="2" t="s">
        <v>10</v>
      </c>
      <c r="D166" s="3">
        <v>46022</v>
      </c>
      <c r="E166" s="3">
        <v>46022</v>
      </c>
      <c r="F166" s="4" t="s">
        <v>298</v>
      </c>
      <c r="G166" s="2" t="s">
        <v>249</v>
      </c>
      <c r="H166" s="2">
        <v>6744668</v>
      </c>
      <c r="I166" s="2" t="s">
        <v>13</v>
      </c>
    </row>
    <row r="167" spans="1:9" ht="15" customHeight="1" x14ac:dyDescent="0.3">
      <c r="A167" s="2">
        <v>6558742</v>
      </c>
      <c r="B167" s="2" t="s">
        <v>9</v>
      </c>
      <c r="C167" s="2" t="s">
        <v>10</v>
      </c>
      <c r="D167" s="3">
        <v>46022</v>
      </c>
      <c r="E167" s="3">
        <v>46022</v>
      </c>
      <c r="F167" s="4" t="s">
        <v>299</v>
      </c>
      <c r="G167" s="2" t="s">
        <v>251</v>
      </c>
      <c r="H167" s="2">
        <v>16317947</v>
      </c>
      <c r="I167" s="2" t="s">
        <v>13</v>
      </c>
    </row>
    <row r="168" spans="1:9" ht="15" customHeight="1" x14ac:dyDescent="0.3">
      <c r="A168" s="2">
        <v>6558743</v>
      </c>
      <c r="B168" s="2" t="s">
        <v>9</v>
      </c>
      <c r="C168" s="2" t="s">
        <v>10</v>
      </c>
      <c r="D168" s="3">
        <v>46022</v>
      </c>
      <c r="E168" s="3">
        <v>46022</v>
      </c>
      <c r="F168" s="4" t="s">
        <v>300</v>
      </c>
      <c r="G168" s="2" t="s">
        <v>253</v>
      </c>
      <c r="H168" s="2">
        <v>0</v>
      </c>
      <c r="I168" s="2" t="s">
        <v>13</v>
      </c>
    </row>
    <row r="169" spans="1:9" ht="15" customHeight="1" x14ac:dyDescent="0.3">
      <c r="A169" s="2">
        <v>6558744</v>
      </c>
      <c r="B169" s="2" t="s">
        <v>9</v>
      </c>
      <c r="C169" s="2" t="s">
        <v>10</v>
      </c>
      <c r="D169" s="3">
        <v>46022</v>
      </c>
      <c r="E169" s="3">
        <v>46022</v>
      </c>
      <c r="F169" s="4" t="s">
        <v>301</v>
      </c>
      <c r="G169" s="2" t="s">
        <v>255</v>
      </c>
      <c r="H169" s="2">
        <v>3873972</v>
      </c>
      <c r="I169" s="2" t="s">
        <v>13</v>
      </c>
    </row>
    <row r="170" spans="1:9" ht="15" customHeight="1" x14ac:dyDescent="0.3">
      <c r="A170" s="2">
        <v>6558745</v>
      </c>
      <c r="B170" s="2" t="s">
        <v>9</v>
      </c>
      <c r="C170" s="2" t="s">
        <v>10</v>
      </c>
      <c r="D170" s="3">
        <v>46022</v>
      </c>
      <c r="E170" s="3">
        <v>46022</v>
      </c>
      <c r="F170" s="4" t="s">
        <v>302</v>
      </c>
      <c r="G170" s="2" t="s">
        <v>257</v>
      </c>
      <c r="H170" s="2">
        <v>0</v>
      </c>
      <c r="I170" s="2" t="s">
        <v>13</v>
      </c>
    </row>
    <row r="171" spans="1:9" ht="15" customHeight="1" x14ac:dyDescent="0.3">
      <c r="A171" s="2">
        <v>6558746</v>
      </c>
      <c r="B171" s="2" t="s">
        <v>9</v>
      </c>
      <c r="C171" s="2" t="s">
        <v>10</v>
      </c>
      <c r="D171" s="3">
        <v>46022</v>
      </c>
      <c r="E171" s="3">
        <v>46022</v>
      </c>
      <c r="F171" s="4" t="s">
        <v>303</v>
      </c>
      <c r="G171" s="2" t="s">
        <v>259</v>
      </c>
      <c r="H171" s="2">
        <v>0</v>
      </c>
      <c r="I171" s="2" t="s">
        <v>13</v>
      </c>
    </row>
    <row r="172" spans="1:9" ht="15" customHeight="1" x14ac:dyDescent="0.3">
      <c r="A172" s="2">
        <v>6558747</v>
      </c>
      <c r="B172" s="2" t="s">
        <v>9</v>
      </c>
      <c r="C172" s="2" t="s">
        <v>10</v>
      </c>
      <c r="D172" s="3">
        <v>46022</v>
      </c>
      <c r="E172" s="3">
        <v>46022</v>
      </c>
      <c r="F172" s="4" t="s">
        <v>304</v>
      </c>
      <c r="G172" s="2" t="s">
        <v>261</v>
      </c>
      <c r="H172" s="2">
        <v>0</v>
      </c>
      <c r="I172" s="2" t="s">
        <v>13</v>
      </c>
    </row>
    <row r="173" spans="1:9" ht="15" customHeight="1" x14ac:dyDescent="0.3">
      <c r="A173" s="2">
        <v>6558748</v>
      </c>
      <c r="B173" s="2" t="s">
        <v>9</v>
      </c>
      <c r="C173" s="2" t="s">
        <v>10</v>
      </c>
      <c r="D173" s="3">
        <v>46022</v>
      </c>
      <c r="E173" s="3">
        <v>46022</v>
      </c>
      <c r="F173" s="4" t="s">
        <v>305</v>
      </c>
      <c r="G173" s="2" t="s">
        <v>263</v>
      </c>
      <c r="H173" s="2">
        <v>0</v>
      </c>
      <c r="I173" s="2" t="s">
        <v>13</v>
      </c>
    </row>
    <row r="174" spans="1:9" ht="15" customHeight="1" x14ac:dyDescent="0.3">
      <c r="A174" s="2">
        <v>6558749</v>
      </c>
      <c r="B174" s="2" t="s">
        <v>9</v>
      </c>
      <c r="C174" s="2" t="s">
        <v>10</v>
      </c>
      <c r="D174" s="3">
        <v>46022</v>
      </c>
      <c r="E174" s="3">
        <v>46022</v>
      </c>
      <c r="F174" s="4" t="s">
        <v>306</v>
      </c>
      <c r="G174" s="2" t="s">
        <v>265</v>
      </c>
      <c r="H174" s="2">
        <v>0</v>
      </c>
      <c r="I174" s="2" t="s">
        <v>13</v>
      </c>
    </row>
    <row r="175" spans="1:9" ht="15" customHeight="1" x14ac:dyDescent="0.3">
      <c r="A175" s="2">
        <v>6558750</v>
      </c>
      <c r="B175" s="2" t="s">
        <v>9</v>
      </c>
      <c r="C175" s="2" t="s">
        <v>10</v>
      </c>
      <c r="D175" s="3">
        <v>46022</v>
      </c>
      <c r="E175" s="3">
        <v>46022</v>
      </c>
      <c r="F175" s="4" t="s">
        <v>307</v>
      </c>
      <c r="G175" s="2" t="s">
        <v>267</v>
      </c>
      <c r="H175" s="2">
        <v>0</v>
      </c>
      <c r="I175" s="2" t="s">
        <v>13</v>
      </c>
    </row>
    <row r="176" spans="1:9" ht="15" customHeight="1" x14ac:dyDescent="0.3">
      <c r="A176" s="2">
        <v>6558751</v>
      </c>
      <c r="B176" s="2" t="s">
        <v>9</v>
      </c>
      <c r="C176" s="2" t="s">
        <v>10</v>
      </c>
      <c r="D176" s="3">
        <v>46022</v>
      </c>
      <c r="E176" s="3">
        <v>46022</v>
      </c>
      <c r="F176" s="4" t="s">
        <v>308</v>
      </c>
      <c r="G176" s="2" t="s">
        <v>269</v>
      </c>
      <c r="H176" s="2">
        <v>0</v>
      </c>
      <c r="I176" s="2" t="s">
        <v>13</v>
      </c>
    </row>
    <row r="177" spans="1:9" ht="15" customHeight="1" x14ac:dyDescent="0.3">
      <c r="A177" s="2">
        <v>6558752</v>
      </c>
      <c r="B177" s="2" t="s">
        <v>9</v>
      </c>
      <c r="C177" s="2" t="s">
        <v>10</v>
      </c>
      <c r="D177" s="3">
        <v>46022</v>
      </c>
      <c r="E177" s="3">
        <v>46022</v>
      </c>
      <c r="F177" s="4" t="s">
        <v>309</v>
      </c>
      <c r="G177" s="2" t="s">
        <v>310</v>
      </c>
      <c r="H177" s="2">
        <v>0</v>
      </c>
      <c r="I177" s="2" t="s">
        <v>13</v>
      </c>
    </row>
    <row r="178" spans="1:9" ht="15" customHeight="1" x14ac:dyDescent="0.3">
      <c r="A178" s="2">
        <v>6558753</v>
      </c>
      <c r="B178" s="2" t="s">
        <v>9</v>
      </c>
      <c r="C178" s="2" t="s">
        <v>10</v>
      </c>
      <c r="D178" s="3">
        <v>46022</v>
      </c>
      <c r="E178" s="3">
        <v>46022</v>
      </c>
      <c r="F178" s="4" t="s">
        <v>311</v>
      </c>
      <c r="G178" s="2" t="s">
        <v>312</v>
      </c>
      <c r="H178" s="2">
        <v>0</v>
      </c>
      <c r="I178" s="2" t="s">
        <v>13</v>
      </c>
    </row>
    <row r="179" spans="1:9" ht="15" customHeight="1" x14ac:dyDescent="0.3">
      <c r="A179" s="2">
        <v>6558754</v>
      </c>
      <c r="B179" s="2" t="s">
        <v>9</v>
      </c>
      <c r="C179" s="2" t="s">
        <v>10</v>
      </c>
      <c r="D179" s="3">
        <v>46022</v>
      </c>
      <c r="E179" s="3">
        <v>46022</v>
      </c>
      <c r="F179" s="4" t="s">
        <v>313</v>
      </c>
      <c r="G179" s="2" t="s">
        <v>314</v>
      </c>
      <c r="H179" s="2">
        <v>0</v>
      </c>
      <c r="I179" s="2" t="s">
        <v>13</v>
      </c>
    </row>
    <row r="180" spans="1:9" ht="15" customHeight="1" x14ac:dyDescent="0.3">
      <c r="A180" s="2">
        <v>6558755</v>
      </c>
      <c r="B180" s="2" t="s">
        <v>9</v>
      </c>
      <c r="C180" s="2" t="s">
        <v>10</v>
      </c>
      <c r="D180" s="3">
        <v>46022</v>
      </c>
      <c r="E180" s="3">
        <v>46022</v>
      </c>
      <c r="F180" s="4" t="s">
        <v>315</v>
      </c>
      <c r="G180" s="2" t="s">
        <v>316</v>
      </c>
      <c r="H180" s="2">
        <v>0</v>
      </c>
      <c r="I180" s="2" t="s">
        <v>13</v>
      </c>
    </row>
    <row r="181" spans="1:9" s="33" customFormat="1" ht="15" customHeight="1" x14ac:dyDescent="0.3">
      <c r="A181" s="33">
        <v>6558756</v>
      </c>
      <c r="B181" s="33" t="s">
        <v>9</v>
      </c>
      <c r="C181" s="33" t="s">
        <v>10</v>
      </c>
      <c r="D181" s="36">
        <v>46022</v>
      </c>
      <c r="E181" s="36">
        <v>46022</v>
      </c>
      <c r="F181" s="34" t="s">
        <v>317</v>
      </c>
      <c r="G181" s="33" t="s">
        <v>318</v>
      </c>
      <c r="H181" s="33">
        <v>2949566841</v>
      </c>
      <c r="I181" s="33" t="s">
        <v>13</v>
      </c>
    </row>
    <row r="182" spans="1:9" ht="15" customHeight="1" x14ac:dyDescent="0.3">
      <c r="A182" s="2">
        <v>6558757</v>
      </c>
      <c r="B182" s="2" t="s">
        <v>9</v>
      </c>
      <c r="C182" s="2" t="s">
        <v>10</v>
      </c>
      <c r="D182" s="3">
        <v>46022</v>
      </c>
      <c r="E182" s="3">
        <v>46022</v>
      </c>
      <c r="F182" s="4" t="s">
        <v>319</v>
      </c>
      <c r="G182" s="2" t="s">
        <v>320</v>
      </c>
      <c r="H182" s="2">
        <v>2572025340</v>
      </c>
      <c r="I182" s="2" t="s">
        <v>13</v>
      </c>
    </row>
    <row r="183" spans="1:9" ht="15" customHeight="1" x14ac:dyDescent="0.3">
      <c r="A183" s="2">
        <v>6558758</v>
      </c>
      <c r="B183" s="2" t="s">
        <v>9</v>
      </c>
      <c r="C183" s="2" t="s">
        <v>10</v>
      </c>
      <c r="D183" s="3">
        <v>46022</v>
      </c>
      <c r="E183" s="3">
        <v>46022</v>
      </c>
      <c r="F183" s="4" t="s">
        <v>321</v>
      </c>
      <c r="G183" s="2" t="s">
        <v>322</v>
      </c>
      <c r="H183" s="2">
        <v>2572025340</v>
      </c>
      <c r="I183" s="2" t="s">
        <v>13</v>
      </c>
    </row>
    <row r="184" spans="1:9" ht="15" customHeight="1" x14ac:dyDescent="0.3">
      <c r="A184" s="2">
        <v>6558759</v>
      </c>
      <c r="B184" s="2" t="s">
        <v>9</v>
      </c>
      <c r="C184" s="2" t="s">
        <v>10</v>
      </c>
      <c r="D184" s="3">
        <v>46022</v>
      </c>
      <c r="E184" s="3">
        <v>46022</v>
      </c>
      <c r="F184" s="4" t="s">
        <v>323</v>
      </c>
      <c r="G184" s="2" t="s">
        <v>324</v>
      </c>
      <c r="H184" s="2">
        <v>0</v>
      </c>
      <c r="I184" s="2" t="s">
        <v>13</v>
      </c>
    </row>
    <row r="185" spans="1:9" ht="15" customHeight="1" x14ac:dyDescent="0.3">
      <c r="A185" s="2">
        <v>6558760</v>
      </c>
      <c r="B185" s="2" t="s">
        <v>9</v>
      </c>
      <c r="C185" s="2" t="s">
        <v>10</v>
      </c>
      <c r="D185" s="3">
        <v>46022</v>
      </c>
      <c r="E185" s="3">
        <v>46022</v>
      </c>
      <c r="F185" s="4" t="s">
        <v>325</v>
      </c>
      <c r="G185" s="2" t="s">
        <v>326</v>
      </c>
      <c r="H185" s="2">
        <v>-77882717</v>
      </c>
      <c r="I185" s="2" t="s">
        <v>13</v>
      </c>
    </row>
    <row r="186" spans="1:9" ht="15" customHeight="1" x14ac:dyDescent="0.3">
      <c r="A186" s="2">
        <v>6558761</v>
      </c>
      <c r="B186" s="2" t="s">
        <v>9</v>
      </c>
      <c r="C186" s="2" t="s">
        <v>10</v>
      </c>
      <c r="D186" s="3">
        <v>46022</v>
      </c>
      <c r="E186" s="3">
        <v>46022</v>
      </c>
      <c r="F186" s="4" t="s">
        <v>327</v>
      </c>
      <c r="G186" s="2" t="s">
        <v>328</v>
      </c>
      <c r="H186" s="2">
        <v>0</v>
      </c>
      <c r="I186" s="2" t="s">
        <v>13</v>
      </c>
    </row>
    <row r="187" spans="1:9" ht="15" customHeight="1" x14ac:dyDescent="0.3">
      <c r="A187" s="2">
        <v>6558762</v>
      </c>
      <c r="B187" s="2" t="s">
        <v>9</v>
      </c>
      <c r="C187" s="2" t="s">
        <v>10</v>
      </c>
      <c r="D187" s="3">
        <v>46022</v>
      </c>
      <c r="E187" s="3">
        <v>46022</v>
      </c>
      <c r="F187" s="4" t="s">
        <v>329</v>
      </c>
      <c r="G187" s="2" t="s">
        <v>330</v>
      </c>
      <c r="H187" s="2">
        <v>0</v>
      </c>
      <c r="I187" s="2" t="s">
        <v>13</v>
      </c>
    </row>
    <row r="188" spans="1:9" ht="15" customHeight="1" x14ac:dyDescent="0.3">
      <c r="A188" s="2">
        <v>6558763</v>
      </c>
      <c r="B188" s="2" t="s">
        <v>9</v>
      </c>
      <c r="C188" s="2" t="s">
        <v>10</v>
      </c>
      <c r="D188" s="3">
        <v>46022</v>
      </c>
      <c r="E188" s="3">
        <v>46022</v>
      </c>
      <c r="F188" s="4" t="s">
        <v>331</v>
      </c>
      <c r="G188" s="2" t="s">
        <v>332</v>
      </c>
      <c r="H188" s="2">
        <v>0</v>
      </c>
      <c r="I188" s="2" t="s">
        <v>13</v>
      </c>
    </row>
    <row r="189" spans="1:9" ht="15" customHeight="1" x14ac:dyDescent="0.3">
      <c r="A189" s="2">
        <v>6558764</v>
      </c>
      <c r="B189" s="2" t="s">
        <v>9</v>
      </c>
      <c r="C189" s="2" t="s">
        <v>10</v>
      </c>
      <c r="D189" s="3">
        <v>46022</v>
      </c>
      <c r="E189" s="3">
        <v>46022</v>
      </c>
      <c r="F189" s="4" t="s">
        <v>333</v>
      </c>
      <c r="G189" s="2" t="s">
        <v>334</v>
      </c>
      <c r="H189" s="2">
        <v>1976297</v>
      </c>
      <c r="I189" s="2" t="s">
        <v>13</v>
      </c>
    </row>
    <row r="190" spans="1:9" ht="15" customHeight="1" x14ac:dyDescent="0.3">
      <c r="A190" s="2">
        <v>6558765</v>
      </c>
      <c r="B190" s="2" t="s">
        <v>9</v>
      </c>
      <c r="C190" s="2" t="s">
        <v>10</v>
      </c>
      <c r="D190" s="3">
        <v>46022</v>
      </c>
      <c r="E190" s="3">
        <v>46022</v>
      </c>
      <c r="F190" s="4" t="s">
        <v>335</v>
      </c>
      <c r="G190" s="2" t="s">
        <v>336</v>
      </c>
      <c r="H190" s="2">
        <v>-26817887</v>
      </c>
      <c r="I190" s="2" t="s">
        <v>13</v>
      </c>
    </row>
    <row r="191" spans="1:9" ht="15" customHeight="1" x14ac:dyDescent="0.3">
      <c r="A191" s="2">
        <v>6558766</v>
      </c>
      <c r="B191" s="2" t="s">
        <v>9</v>
      </c>
      <c r="C191" s="2" t="s">
        <v>10</v>
      </c>
      <c r="D191" s="3">
        <v>46022</v>
      </c>
      <c r="E191" s="3">
        <v>46022</v>
      </c>
      <c r="F191" s="4" t="s">
        <v>337</v>
      </c>
      <c r="G191" s="2" t="s">
        <v>286</v>
      </c>
      <c r="H191" s="2">
        <v>0</v>
      </c>
      <c r="I191" s="2" t="s">
        <v>13</v>
      </c>
    </row>
    <row r="192" spans="1:9" ht="15" customHeight="1" x14ac:dyDescent="0.3">
      <c r="A192" s="2">
        <v>6558767</v>
      </c>
      <c r="B192" s="2" t="s">
        <v>9</v>
      </c>
      <c r="C192" s="2" t="s">
        <v>10</v>
      </c>
      <c r="D192" s="3">
        <v>46022</v>
      </c>
      <c r="E192" s="3">
        <v>46022</v>
      </c>
      <c r="F192" s="4" t="s">
        <v>338</v>
      </c>
      <c r="G192" s="2" t="s">
        <v>324</v>
      </c>
      <c r="H192" s="2">
        <v>-53041127</v>
      </c>
      <c r="I192" s="2" t="s">
        <v>13</v>
      </c>
    </row>
    <row r="193" spans="1:9" ht="15" customHeight="1" x14ac:dyDescent="0.3">
      <c r="A193" s="2">
        <v>6558768</v>
      </c>
      <c r="B193" s="2" t="s">
        <v>9</v>
      </c>
      <c r="C193" s="2" t="s">
        <v>10</v>
      </c>
      <c r="D193" s="3">
        <v>46022</v>
      </c>
      <c r="E193" s="3">
        <v>46022</v>
      </c>
      <c r="F193" s="4" t="s">
        <v>339</v>
      </c>
      <c r="G193" s="2" t="s">
        <v>340</v>
      </c>
      <c r="H193" s="2">
        <v>0</v>
      </c>
      <c r="I193" s="2" t="s">
        <v>13</v>
      </c>
    </row>
    <row r="194" spans="1:9" ht="15" customHeight="1" x14ac:dyDescent="0.3">
      <c r="A194" s="2">
        <v>6558769</v>
      </c>
      <c r="B194" s="2" t="s">
        <v>9</v>
      </c>
      <c r="C194" s="2" t="s">
        <v>10</v>
      </c>
      <c r="D194" s="3">
        <v>46022</v>
      </c>
      <c r="E194" s="3">
        <v>46022</v>
      </c>
      <c r="F194" s="4" t="s">
        <v>341</v>
      </c>
      <c r="G194" s="2" t="s">
        <v>342</v>
      </c>
      <c r="H194" s="2">
        <v>455502299</v>
      </c>
      <c r="I194" s="2" t="s">
        <v>13</v>
      </c>
    </row>
    <row r="195" spans="1:9" ht="15" customHeight="1" x14ac:dyDescent="0.3">
      <c r="A195" s="2">
        <v>6558770</v>
      </c>
      <c r="B195" s="2" t="s">
        <v>9</v>
      </c>
      <c r="C195" s="2" t="s">
        <v>10</v>
      </c>
      <c r="D195" s="3">
        <v>46022</v>
      </c>
      <c r="E195" s="3">
        <v>46022</v>
      </c>
      <c r="F195" s="4" t="s">
        <v>343</v>
      </c>
      <c r="G195" s="2" t="s">
        <v>344</v>
      </c>
      <c r="H195" s="2">
        <v>30975115</v>
      </c>
      <c r="I195" s="2" t="s">
        <v>13</v>
      </c>
    </row>
    <row r="196" spans="1:9" ht="15" customHeight="1" x14ac:dyDescent="0.3">
      <c r="A196" s="2">
        <v>6558771</v>
      </c>
      <c r="B196" s="2" t="s">
        <v>9</v>
      </c>
      <c r="C196" s="2" t="s">
        <v>10</v>
      </c>
      <c r="D196" s="3">
        <v>46022</v>
      </c>
      <c r="E196" s="3">
        <v>46022</v>
      </c>
      <c r="F196" s="4" t="s">
        <v>345</v>
      </c>
      <c r="G196" s="2" t="s">
        <v>346</v>
      </c>
      <c r="H196" s="2">
        <v>424527184</v>
      </c>
      <c r="I196" s="2" t="s">
        <v>13</v>
      </c>
    </row>
    <row r="197" spans="1:9" ht="15" customHeight="1" x14ac:dyDescent="0.3">
      <c r="A197" s="2">
        <v>6558772</v>
      </c>
      <c r="B197" s="2" t="s">
        <v>9</v>
      </c>
      <c r="C197" s="2" t="s">
        <v>10</v>
      </c>
      <c r="D197" s="3">
        <v>46022</v>
      </c>
      <c r="E197" s="3">
        <v>46022</v>
      </c>
      <c r="F197" s="4" t="s">
        <v>347</v>
      </c>
      <c r="G197" s="2" t="s">
        <v>348</v>
      </c>
      <c r="H197" s="2">
        <v>0</v>
      </c>
      <c r="I197" s="2" t="s">
        <v>13</v>
      </c>
    </row>
    <row r="198" spans="1:9" ht="15" customHeight="1" x14ac:dyDescent="0.3">
      <c r="A198" s="2">
        <v>6558773</v>
      </c>
      <c r="B198" s="2" t="s">
        <v>9</v>
      </c>
      <c r="C198" s="2" t="s">
        <v>10</v>
      </c>
      <c r="D198" s="3">
        <v>46022</v>
      </c>
      <c r="E198" s="3">
        <v>46022</v>
      </c>
      <c r="F198" s="4" t="s">
        <v>349</v>
      </c>
      <c r="G198" s="2" t="s">
        <v>350</v>
      </c>
      <c r="H198" s="2">
        <v>0</v>
      </c>
      <c r="I198" s="2" t="s">
        <v>13</v>
      </c>
    </row>
    <row r="199" spans="1:9" ht="15" customHeight="1" x14ac:dyDescent="0.3">
      <c r="A199" s="2">
        <v>6558774</v>
      </c>
      <c r="B199" s="2" t="s">
        <v>9</v>
      </c>
      <c r="C199" s="2" t="s">
        <v>10</v>
      </c>
      <c r="D199" s="3">
        <v>46022</v>
      </c>
      <c r="E199" s="3">
        <v>46022</v>
      </c>
      <c r="F199" s="4" t="s">
        <v>351</v>
      </c>
      <c r="G199" s="2" t="s">
        <v>352</v>
      </c>
      <c r="H199" s="2">
        <v>0</v>
      </c>
      <c r="I199" s="2" t="s">
        <v>13</v>
      </c>
    </row>
    <row r="200" spans="1:9" ht="15" customHeight="1" x14ac:dyDescent="0.3">
      <c r="A200" s="2">
        <v>6558775</v>
      </c>
      <c r="B200" s="2" t="s">
        <v>9</v>
      </c>
      <c r="C200" s="2" t="s">
        <v>10</v>
      </c>
      <c r="D200" s="3">
        <v>46022</v>
      </c>
      <c r="E200" s="3">
        <v>46022</v>
      </c>
      <c r="F200" s="4" t="s">
        <v>353</v>
      </c>
      <c r="G200" s="2" t="s">
        <v>354</v>
      </c>
      <c r="H200" s="2">
        <v>0</v>
      </c>
      <c r="I200" s="2" t="s">
        <v>13</v>
      </c>
    </row>
    <row r="201" spans="1:9" ht="15" customHeight="1" x14ac:dyDescent="0.3">
      <c r="A201" s="2">
        <v>6558776</v>
      </c>
      <c r="B201" s="2" t="s">
        <v>9</v>
      </c>
      <c r="C201" s="2" t="s">
        <v>10</v>
      </c>
      <c r="D201" s="3">
        <v>46022</v>
      </c>
      <c r="E201" s="3">
        <v>46022</v>
      </c>
      <c r="F201" s="4" t="s">
        <v>355</v>
      </c>
      <c r="G201" s="2" t="s">
        <v>356</v>
      </c>
      <c r="H201" s="2">
        <v>0</v>
      </c>
      <c r="I201" s="2" t="s">
        <v>13</v>
      </c>
    </row>
    <row r="202" spans="1:9" ht="15" customHeight="1" x14ac:dyDescent="0.3">
      <c r="A202" s="2">
        <v>6558777</v>
      </c>
      <c r="B202" s="2" t="s">
        <v>9</v>
      </c>
      <c r="C202" s="2" t="s">
        <v>10</v>
      </c>
      <c r="D202" s="3">
        <v>46022</v>
      </c>
      <c r="E202" s="3">
        <v>46022</v>
      </c>
      <c r="F202" s="4" t="s">
        <v>357</v>
      </c>
      <c r="G202" s="2" t="s">
        <v>358</v>
      </c>
      <c r="H202" s="2">
        <v>0</v>
      </c>
      <c r="I202" s="2" t="s">
        <v>13</v>
      </c>
    </row>
    <row r="203" spans="1:9" ht="15" customHeight="1" x14ac:dyDescent="0.3">
      <c r="A203" s="2">
        <v>6558778</v>
      </c>
      <c r="B203" s="2" t="s">
        <v>9</v>
      </c>
      <c r="C203" s="2" t="s">
        <v>10</v>
      </c>
      <c r="D203" s="3">
        <v>46022</v>
      </c>
      <c r="E203" s="3">
        <v>46022</v>
      </c>
      <c r="F203" s="4" t="s">
        <v>359</v>
      </c>
      <c r="G203" s="2" t="s">
        <v>336</v>
      </c>
      <c r="H203" s="2">
        <v>0</v>
      </c>
      <c r="I203" s="2" t="s">
        <v>13</v>
      </c>
    </row>
    <row r="204" spans="1:9" ht="15" customHeight="1" x14ac:dyDescent="0.3">
      <c r="A204" s="2">
        <v>6558779</v>
      </c>
      <c r="B204" s="2" t="s">
        <v>9</v>
      </c>
      <c r="C204" s="2" t="s">
        <v>10</v>
      </c>
      <c r="D204" s="3">
        <v>46022</v>
      </c>
      <c r="E204" s="3">
        <v>46022</v>
      </c>
      <c r="F204" s="4" t="s">
        <v>360</v>
      </c>
      <c r="G204" s="2" t="s">
        <v>361</v>
      </c>
      <c r="H204" s="2">
        <v>0</v>
      </c>
      <c r="I204" s="2" t="s">
        <v>13</v>
      </c>
    </row>
    <row r="205" spans="1:9" ht="15" customHeight="1" x14ac:dyDescent="0.3">
      <c r="A205" s="2">
        <v>6558780</v>
      </c>
      <c r="B205" s="2" t="s">
        <v>9</v>
      </c>
      <c r="C205" s="2" t="s">
        <v>10</v>
      </c>
      <c r="D205" s="3">
        <v>46022</v>
      </c>
      <c r="E205" s="3">
        <v>46022</v>
      </c>
      <c r="F205" s="4" t="s">
        <v>362</v>
      </c>
      <c r="G205" s="2" t="s">
        <v>363</v>
      </c>
      <c r="H205" s="2">
        <v>0</v>
      </c>
      <c r="I205" s="2" t="s">
        <v>13</v>
      </c>
    </row>
    <row r="206" spans="1:9" ht="15" customHeight="1" x14ac:dyDescent="0.3">
      <c r="A206" s="2">
        <v>6558781</v>
      </c>
      <c r="B206" s="2" t="s">
        <v>9</v>
      </c>
      <c r="C206" s="2" t="s">
        <v>10</v>
      </c>
      <c r="D206" s="3">
        <v>46022</v>
      </c>
      <c r="E206" s="3">
        <v>46022</v>
      </c>
      <c r="F206" s="4" t="s">
        <v>364</v>
      </c>
      <c r="G206" s="2" t="s">
        <v>365</v>
      </c>
      <c r="H206" s="2">
        <v>0</v>
      </c>
      <c r="I206" s="2" t="s">
        <v>13</v>
      </c>
    </row>
    <row r="207" spans="1:9" ht="15" customHeight="1" x14ac:dyDescent="0.3">
      <c r="A207" s="2">
        <v>6558782</v>
      </c>
      <c r="B207" s="2" t="s">
        <v>9</v>
      </c>
      <c r="C207" s="2" t="s">
        <v>10</v>
      </c>
      <c r="D207" s="3">
        <v>46022</v>
      </c>
      <c r="E207" s="3">
        <v>46022</v>
      </c>
      <c r="F207" s="4" t="s">
        <v>366</v>
      </c>
      <c r="G207" s="2" t="s">
        <v>367</v>
      </c>
      <c r="H207" s="2">
        <v>0</v>
      </c>
      <c r="I207" s="2" t="s">
        <v>13</v>
      </c>
    </row>
    <row r="208" spans="1:9" ht="15" customHeight="1" x14ac:dyDescent="0.3">
      <c r="A208" s="2">
        <v>6558783</v>
      </c>
      <c r="B208" s="2" t="s">
        <v>9</v>
      </c>
      <c r="C208" s="2" t="s">
        <v>10</v>
      </c>
      <c r="D208" s="3">
        <v>46022</v>
      </c>
      <c r="E208" s="3">
        <v>46022</v>
      </c>
      <c r="F208" s="4" t="s">
        <v>368</v>
      </c>
      <c r="G208" s="2" t="s">
        <v>369</v>
      </c>
      <c r="H208" s="2">
        <v>-78081</v>
      </c>
      <c r="I208" s="2" t="s">
        <v>13</v>
      </c>
    </row>
    <row r="209" spans="1:9" ht="15" customHeight="1" x14ac:dyDescent="0.3">
      <c r="A209" s="2">
        <v>6558784</v>
      </c>
      <c r="B209" s="2" t="s">
        <v>9</v>
      </c>
      <c r="C209" s="2" t="s">
        <v>10</v>
      </c>
      <c r="D209" s="3">
        <v>46022</v>
      </c>
      <c r="E209" s="3">
        <v>46022</v>
      </c>
      <c r="F209" s="4" t="s">
        <v>370</v>
      </c>
      <c r="G209" s="2" t="s">
        <v>371</v>
      </c>
      <c r="H209" s="2">
        <v>-78081</v>
      </c>
      <c r="I209" s="2" t="s">
        <v>13</v>
      </c>
    </row>
    <row r="210" spans="1:9" ht="15" customHeight="1" x14ac:dyDescent="0.3">
      <c r="A210" s="2">
        <v>6558785</v>
      </c>
      <c r="B210" s="2" t="s">
        <v>9</v>
      </c>
      <c r="C210" s="2" t="s">
        <v>10</v>
      </c>
      <c r="D210" s="3">
        <v>46022</v>
      </c>
      <c r="E210" s="3">
        <v>46022</v>
      </c>
      <c r="F210" s="4" t="s">
        <v>372</v>
      </c>
      <c r="G210" s="2" t="s">
        <v>373</v>
      </c>
      <c r="H210" s="2">
        <v>0</v>
      </c>
      <c r="I210" s="2" t="s">
        <v>13</v>
      </c>
    </row>
    <row r="211" spans="1:9" ht="15" customHeight="1" x14ac:dyDescent="0.3">
      <c r="A211" s="2">
        <v>6558786</v>
      </c>
      <c r="B211" s="2" t="s">
        <v>9</v>
      </c>
      <c r="C211" s="2" t="s">
        <v>10</v>
      </c>
      <c r="D211" s="3">
        <v>45658</v>
      </c>
      <c r="E211" s="3">
        <v>46022</v>
      </c>
      <c r="F211" s="4" t="s">
        <v>374</v>
      </c>
      <c r="G211" s="2" t="s">
        <v>375</v>
      </c>
      <c r="H211" s="2">
        <v>3026581564</v>
      </c>
      <c r="I211" s="2" t="s">
        <v>13</v>
      </c>
    </row>
    <row r="212" spans="1:9" ht="15" customHeight="1" x14ac:dyDescent="0.3">
      <c r="A212" s="2">
        <v>6558787</v>
      </c>
      <c r="B212" s="2" t="s">
        <v>9</v>
      </c>
      <c r="C212" s="2" t="s">
        <v>10</v>
      </c>
      <c r="D212" s="3">
        <v>45658</v>
      </c>
      <c r="E212" s="3">
        <v>46022</v>
      </c>
      <c r="F212" s="4" t="s">
        <v>376</v>
      </c>
      <c r="G212" s="2" t="s">
        <v>377</v>
      </c>
      <c r="H212" s="2">
        <v>3026581564</v>
      </c>
      <c r="I212" s="2" t="s">
        <v>13</v>
      </c>
    </row>
    <row r="213" spans="1:9" ht="15" customHeight="1" x14ac:dyDescent="0.3">
      <c r="A213" s="2">
        <v>6558788</v>
      </c>
      <c r="B213" s="2" t="s">
        <v>9</v>
      </c>
      <c r="C213" s="2" t="s">
        <v>10</v>
      </c>
      <c r="D213" s="3">
        <v>45658</v>
      </c>
      <c r="E213" s="3">
        <v>46022</v>
      </c>
      <c r="F213" s="4" t="s">
        <v>378</v>
      </c>
      <c r="G213" s="2" t="s">
        <v>379</v>
      </c>
      <c r="H213" s="2">
        <v>-921472483</v>
      </c>
      <c r="I213" s="2" t="s">
        <v>13</v>
      </c>
    </row>
    <row r="214" spans="1:9" ht="15" customHeight="1" x14ac:dyDescent="0.3">
      <c r="A214" s="2">
        <v>6558789</v>
      </c>
      <c r="B214" s="2" t="s">
        <v>9</v>
      </c>
      <c r="C214" s="2" t="s">
        <v>10</v>
      </c>
      <c r="D214" s="3">
        <v>45658</v>
      </c>
      <c r="E214" s="3">
        <v>46022</v>
      </c>
      <c r="F214" s="4" t="s">
        <v>380</v>
      </c>
      <c r="G214" s="2" t="s">
        <v>381</v>
      </c>
      <c r="H214" s="2">
        <v>-921472483</v>
      </c>
      <c r="I214" s="2" t="s">
        <v>13</v>
      </c>
    </row>
    <row r="215" spans="1:9" ht="15" customHeight="1" x14ac:dyDescent="0.3">
      <c r="A215" s="2">
        <v>6558790</v>
      </c>
      <c r="B215" s="2" t="s">
        <v>9</v>
      </c>
      <c r="C215" s="2" t="s">
        <v>10</v>
      </c>
      <c r="D215" s="3">
        <v>45658</v>
      </c>
      <c r="E215" s="3">
        <v>46022</v>
      </c>
      <c r="F215" s="4" t="s">
        <v>382</v>
      </c>
      <c r="G215" s="2" t="s">
        <v>383</v>
      </c>
      <c r="H215" s="2">
        <v>2105109081</v>
      </c>
      <c r="I215" s="2" t="s">
        <v>13</v>
      </c>
    </row>
    <row r="216" spans="1:9" ht="15" customHeight="1" x14ac:dyDescent="0.3">
      <c r="A216" s="2">
        <v>6558791</v>
      </c>
      <c r="B216" s="2" t="s">
        <v>9</v>
      </c>
      <c r="C216" s="2" t="s">
        <v>10</v>
      </c>
      <c r="D216" s="3">
        <v>45658</v>
      </c>
      <c r="E216" s="3">
        <v>46022</v>
      </c>
      <c r="F216" s="4" t="s">
        <v>384</v>
      </c>
      <c r="G216" s="2" t="s">
        <v>385</v>
      </c>
      <c r="H216" s="2">
        <v>-1378787845</v>
      </c>
      <c r="I216" s="2" t="s">
        <v>13</v>
      </c>
    </row>
    <row r="217" spans="1:9" ht="15" customHeight="1" x14ac:dyDescent="0.3">
      <c r="A217" s="2">
        <v>6558792</v>
      </c>
      <c r="B217" s="2" t="s">
        <v>9</v>
      </c>
      <c r="C217" s="2" t="s">
        <v>10</v>
      </c>
      <c r="D217" s="3">
        <v>45658</v>
      </c>
      <c r="E217" s="3">
        <v>46022</v>
      </c>
      <c r="F217" s="4" t="s">
        <v>386</v>
      </c>
      <c r="G217" s="2" t="s">
        <v>387</v>
      </c>
      <c r="H217" s="2">
        <v>-1086276218</v>
      </c>
      <c r="I217" s="2" t="s">
        <v>13</v>
      </c>
    </row>
    <row r="218" spans="1:9" ht="15" customHeight="1" x14ac:dyDescent="0.3">
      <c r="A218" s="2">
        <v>6558793</v>
      </c>
      <c r="B218" s="2" t="s">
        <v>9</v>
      </c>
      <c r="C218" s="2" t="s">
        <v>10</v>
      </c>
      <c r="D218" s="3">
        <v>45658</v>
      </c>
      <c r="E218" s="3">
        <v>46022</v>
      </c>
      <c r="F218" s="4" t="s">
        <v>388</v>
      </c>
      <c r="G218" s="2" t="s">
        <v>389</v>
      </c>
      <c r="H218" s="2">
        <v>-1086276218</v>
      </c>
      <c r="I218" s="2" t="s">
        <v>13</v>
      </c>
    </row>
    <row r="219" spans="1:9" ht="15" customHeight="1" x14ac:dyDescent="0.3">
      <c r="A219" s="2">
        <v>6558794</v>
      </c>
      <c r="B219" s="2" t="s">
        <v>9</v>
      </c>
      <c r="C219" s="2" t="s">
        <v>10</v>
      </c>
      <c r="D219" s="3">
        <v>45658</v>
      </c>
      <c r="E219" s="3">
        <v>46022</v>
      </c>
      <c r="F219" s="4" t="s">
        <v>390</v>
      </c>
      <c r="G219" s="2" t="s">
        <v>391</v>
      </c>
      <c r="H219" s="2">
        <v>-282215709</v>
      </c>
      <c r="I219" s="2" t="s">
        <v>13</v>
      </c>
    </row>
    <row r="220" spans="1:9" ht="15" customHeight="1" x14ac:dyDescent="0.3">
      <c r="A220" s="2">
        <v>6558795</v>
      </c>
      <c r="B220" s="2" t="s">
        <v>9</v>
      </c>
      <c r="C220" s="2" t="s">
        <v>10</v>
      </c>
      <c r="D220" s="3">
        <v>45658</v>
      </c>
      <c r="E220" s="3">
        <v>46022</v>
      </c>
      <c r="F220" s="4" t="s">
        <v>392</v>
      </c>
      <c r="G220" s="2" t="s">
        <v>393</v>
      </c>
      <c r="H220" s="2">
        <v>-282215709</v>
      </c>
      <c r="I220" s="2" t="s">
        <v>13</v>
      </c>
    </row>
    <row r="221" spans="1:9" ht="15" customHeight="1" x14ac:dyDescent="0.3">
      <c r="A221" s="2">
        <v>6558796</v>
      </c>
      <c r="B221" s="2" t="s">
        <v>9</v>
      </c>
      <c r="C221" s="2" t="s">
        <v>10</v>
      </c>
      <c r="D221" s="3">
        <v>45658</v>
      </c>
      <c r="E221" s="3">
        <v>46022</v>
      </c>
      <c r="F221" s="4" t="s">
        <v>394</v>
      </c>
      <c r="G221" s="2" t="s">
        <v>395</v>
      </c>
      <c r="H221" s="2">
        <v>0</v>
      </c>
      <c r="I221" s="2" t="s">
        <v>13</v>
      </c>
    </row>
    <row r="222" spans="1:9" ht="15" customHeight="1" x14ac:dyDescent="0.3">
      <c r="A222" s="2">
        <v>6558797</v>
      </c>
      <c r="B222" s="2" t="s">
        <v>9</v>
      </c>
      <c r="C222" s="2" t="s">
        <v>10</v>
      </c>
      <c r="D222" s="3">
        <v>45658</v>
      </c>
      <c r="E222" s="3">
        <v>46022</v>
      </c>
      <c r="F222" s="4" t="s">
        <v>396</v>
      </c>
      <c r="G222" s="2" t="s">
        <v>397</v>
      </c>
      <c r="H222" s="2">
        <v>44665714</v>
      </c>
      <c r="I222" s="2" t="s">
        <v>13</v>
      </c>
    </row>
    <row r="223" spans="1:9" ht="15" customHeight="1" x14ac:dyDescent="0.3">
      <c r="A223" s="2">
        <v>6558798</v>
      </c>
      <c r="B223" s="2" t="s">
        <v>9</v>
      </c>
      <c r="C223" s="2" t="s">
        <v>10</v>
      </c>
      <c r="D223" s="3">
        <v>45658</v>
      </c>
      <c r="E223" s="3">
        <v>46022</v>
      </c>
      <c r="F223" s="4" t="s">
        <v>398</v>
      </c>
      <c r="G223" s="2" t="s">
        <v>399</v>
      </c>
      <c r="H223" s="2">
        <v>44665714</v>
      </c>
      <c r="I223" s="2" t="s">
        <v>13</v>
      </c>
    </row>
    <row r="224" spans="1:9" ht="15" customHeight="1" x14ac:dyDescent="0.3">
      <c r="A224" s="2">
        <v>6558799</v>
      </c>
      <c r="B224" s="2" t="s">
        <v>9</v>
      </c>
      <c r="C224" s="2" t="s">
        <v>10</v>
      </c>
      <c r="D224" s="3">
        <v>45658</v>
      </c>
      <c r="E224" s="3">
        <v>46022</v>
      </c>
      <c r="F224" s="4" t="s">
        <v>400</v>
      </c>
      <c r="G224" s="2" t="s">
        <v>401</v>
      </c>
      <c r="H224" s="2">
        <v>-54961632</v>
      </c>
      <c r="I224" s="2" t="s">
        <v>13</v>
      </c>
    </row>
    <row r="225" spans="1:9" ht="15" customHeight="1" x14ac:dyDescent="0.3">
      <c r="A225" s="2">
        <v>6558800</v>
      </c>
      <c r="B225" s="2" t="s">
        <v>9</v>
      </c>
      <c r="C225" s="2" t="s">
        <v>10</v>
      </c>
      <c r="D225" s="3">
        <v>45658</v>
      </c>
      <c r="E225" s="3">
        <v>46022</v>
      </c>
      <c r="F225" s="4" t="s">
        <v>402</v>
      </c>
      <c r="G225" s="2" t="s">
        <v>403</v>
      </c>
      <c r="H225" s="2">
        <v>-54961632</v>
      </c>
      <c r="I225" s="2" t="s">
        <v>13</v>
      </c>
    </row>
    <row r="226" spans="1:9" ht="15" customHeight="1" x14ac:dyDescent="0.3">
      <c r="A226" s="2">
        <v>6558801</v>
      </c>
      <c r="B226" s="2" t="s">
        <v>9</v>
      </c>
      <c r="C226" s="2" t="s">
        <v>10</v>
      </c>
      <c r="D226" s="3">
        <v>45658</v>
      </c>
      <c r="E226" s="3">
        <v>46022</v>
      </c>
      <c r="F226" s="4" t="s">
        <v>404</v>
      </c>
      <c r="G226" s="2" t="s">
        <v>405</v>
      </c>
      <c r="H226" s="2">
        <v>0</v>
      </c>
      <c r="I226" s="2" t="s">
        <v>13</v>
      </c>
    </row>
    <row r="227" spans="1:9" ht="15" customHeight="1" x14ac:dyDescent="0.3">
      <c r="A227" s="2">
        <v>6558802</v>
      </c>
      <c r="B227" s="2" t="s">
        <v>9</v>
      </c>
      <c r="C227" s="2" t="s">
        <v>10</v>
      </c>
      <c r="D227" s="3">
        <v>45658</v>
      </c>
      <c r="E227" s="3">
        <v>46022</v>
      </c>
      <c r="F227" s="4" t="s">
        <v>406</v>
      </c>
      <c r="G227" s="2" t="s">
        <v>407</v>
      </c>
      <c r="H227" s="2">
        <v>0</v>
      </c>
      <c r="I227" s="2" t="s">
        <v>13</v>
      </c>
    </row>
    <row r="228" spans="1:9" ht="15" customHeight="1" x14ac:dyDescent="0.3">
      <c r="A228" s="2">
        <v>6558803</v>
      </c>
      <c r="B228" s="2" t="s">
        <v>9</v>
      </c>
      <c r="C228" s="2" t="s">
        <v>10</v>
      </c>
      <c r="D228" s="3">
        <v>45658</v>
      </c>
      <c r="E228" s="3">
        <v>46022</v>
      </c>
      <c r="F228" s="4" t="s">
        <v>408</v>
      </c>
      <c r="G228" s="2" t="s">
        <v>409</v>
      </c>
      <c r="H228" s="2">
        <v>726321236</v>
      </c>
      <c r="I228" s="2" t="s">
        <v>13</v>
      </c>
    </row>
    <row r="229" spans="1:9" ht="15" customHeight="1" x14ac:dyDescent="0.3">
      <c r="A229" s="2">
        <v>6558804</v>
      </c>
      <c r="B229" s="2" t="s">
        <v>9</v>
      </c>
      <c r="C229" s="2" t="s">
        <v>10</v>
      </c>
      <c r="D229" s="3">
        <v>45658</v>
      </c>
      <c r="E229" s="3">
        <v>46022</v>
      </c>
      <c r="F229" s="4" t="s">
        <v>410</v>
      </c>
      <c r="G229" s="2" t="s">
        <v>411</v>
      </c>
      <c r="H229" s="2">
        <v>-138522723</v>
      </c>
      <c r="I229" s="2" t="s">
        <v>13</v>
      </c>
    </row>
    <row r="230" spans="1:9" ht="15" customHeight="1" x14ac:dyDescent="0.3">
      <c r="A230" s="2">
        <v>6558805</v>
      </c>
      <c r="B230" s="2" t="s">
        <v>9</v>
      </c>
      <c r="C230" s="2" t="s">
        <v>10</v>
      </c>
      <c r="D230" s="3">
        <v>45658</v>
      </c>
      <c r="E230" s="3">
        <v>46022</v>
      </c>
      <c r="F230" s="4" t="s">
        <v>412</v>
      </c>
      <c r="G230" s="2" t="s">
        <v>413</v>
      </c>
      <c r="H230" s="2">
        <v>69737177</v>
      </c>
      <c r="I230" s="2" t="s">
        <v>13</v>
      </c>
    </row>
    <row r="231" spans="1:9" ht="15" customHeight="1" x14ac:dyDescent="0.3">
      <c r="A231" s="2">
        <v>6558806</v>
      </c>
      <c r="B231" s="2" t="s">
        <v>9</v>
      </c>
      <c r="C231" s="2" t="s">
        <v>10</v>
      </c>
      <c r="D231" s="3">
        <v>45658</v>
      </c>
      <c r="E231" s="3">
        <v>46022</v>
      </c>
      <c r="F231" s="4" t="s">
        <v>414</v>
      </c>
      <c r="G231" s="2" t="s">
        <v>415</v>
      </c>
      <c r="H231" s="2">
        <v>69737177</v>
      </c>
      <c r="I231" s="2" t="s">
        <v>13</v>
      </c>
    </row>
    <row r="232" spans="1:9" ht="15" customHeight="1" x14ac:dyDescent="0.3">
      <c r="A232" s="2">
        <v>6558807</v>
      </c>
      <c r="B232" s="2" t="s">
        <v>9</v>
      </c>
      <c r="C232" s="2" t="s">
        <v>10</v>
      </c>
      <c r="D232" s="3">
        <v>45658</v>
      </c>
      <c r="E232" s="3">
        <v>46022</v>
      </c>
      <c r="F232" s="4" t="s">
        <v>416</v>
      </c>
      <c r="G232" s="2" t="s">
        <v>417</v>
      </c>
      <c r="H232" s="2">
        <v>-208259900</v>
      </c>
      <c r="I232" s="2" t="s">
        <v>13</v>
      </c>
    </row>
    <row r="233" spans="1:9" ht="15" customHeight="1" x14ac:dyDescent="0.3">
      <c r="A233" s="2">
        <v>6558808</v>
      </c>
      <c r="B233" s="2" t="s">
        <v>9</v>
      </c>
      <c r="C233" s="2" t="s">
        <v>10</v>
      </c>
      <c r="D233" s="3">
        <v>45658</v>
      </c>
      <c r="E233" s="3">
        <v>46022</v>
      </c>
      <c r="F233" s="4" t="s">
        <v>418</v>
      </c>
      <c r="G233" s="2" t="s">
        <v>419</v>
      </c>
      <c r="H233" s="2">
        <v>-208259900</v>
      </c>
      <c r="I233" s="2" t="s">
        <v>13</v>
      </c>
    </row>
    <row r="234" spans="1:9" ht="15" customHeight="1" x14ac:dyDescent="0.3">
      <c r="A234" s="2">
        <v>6558809</v>
      </c>
      <c r="B234" s="2" t="s">
        <v>9</v>
      </c>
      <c r="C234" s="2" t="s">
        <v>10</v>
      </c>
      <c r="D234" s="3">
        <v>45658</v>
      </c>
      <c r="E234" s="3">
        <v>46022</v>
      </c>
      <c r="F234" s="4" t="s">
        <v>420</v>
      </c>
      <c r="G234" s="2" t="s">
        <v>421</v>
      </c>
      <c r="H234" s="2">
        <v>587798513</v>
      </c>
      <c r="I234" s="2" t="s">
        <v>13</v>
      </c>
    </row>
    <row r="235" spans="1:9" ht="15" customHeight="1" x14ac:dyDescent="0.3">
      <c r="A235" s="2">
        <v>6558810</v>
      </c>
      <c r="B235" s="2" t="s">
        <v>9</v>
      </c>
      <c r="C235" s="2" t="s">
        <v>10</v>
      </c>
      <c r="D235" s="3">
        <v>45658</v>
      </c>
      <c r="E235" s="3">
        <v>46022</v>
      </c>
      <c r="F235" s="4" t="s">
        <v>422</v>
      </c>
      <c r="G235" s="2" t="s">
        <v>423</v>
      </c>
      <c r="H235" s="2">
        <v>31703788</v>
      </c>
      <c r="I235" s="2" t="s">
        <v>13</v>
      </c>
    </row>
    <row r="236" spans="1:9" ht="15" customHeight="1" x14ac:dyDescent="0.3">
      <c r="A236" s="2">
        <v>6558811</v>
      </c>
      <c r="B236" s="2" t="s">
        <v>9</v>
      </c>
      <c r="C236" s="2" t="s">
        <v>10</v>
      </c>
      <c r="D236" s="3">
        <v>45658</v>
      </c>
      <c r="E236" s="3">
        <v>46022</v>
      </c>
      <c r="F236" s="4" t="s">
        <v>424</v>
      </c>
      <c r="G236" s="2" t="s">
        <v>425</v>
      </c>
      <c r="H236" s="2">
        <v>-107618177</v>
      </c>
      <c r="I236" s="2" t="s">
        <v>13</v>
      </c>
    </row>
    <row r="237" spans="1:9" ht="15" customHeight="1" x14ac:dyDescent="0.3">
      <c r="A237" s="2">
        <v>6558812</v>
      </c>
      <c r="B237" s="2" t="s">
        <v>9</v>
      </c>
      <c r="C237" s="2" t="s">
        <v>10</v>
      </c>
      <c r="D237" s="3">
        <v>45658</v>
      </c>
      <c r="E237" s="3">
        <v>46022</v>
      </c>
      <c r="F237" s="4" t="s">
        <v>426</v>
      </c>
      <c r="G237" s="2" t="s">
        <v>427</v>
      </c>
      <c r="H237" s="2">
        <v>139321965</v>
      </c>
      <c r="I237" s="2" t="s">
        <v>13</v>
      </c>
    </row>
    <row r="238" spans="1:9" ht="15" customHeight="1" x14ac:dyDescent="0.3">
      <c r="A238" s="2">
        <v>6558813</v>
      </c>
      <c r="B238" s="2" t="s">
        <v>9</v>
      </c>
      <c r="C238" s="2" t="s">
        <v>10</v>
      </c>
      <c r="D238" s="3">
        <v>45658</v>
      </c>
      <c r="E238" s="3">
        <v>46022</v>
      </c>
      <c r="F238" s="4" t="s">
        <v>428</v>
      </c>
      <c r="G238" s="2" t="s">
        <v>429</v>
      </c>
      <c r="H238" s="2">
        <v>619502301</v>
      </c>
      <c r="I238" s="2" t="s">
        <v>13</v>
      </c>
    </row>
    <row r="239" spans="1:9" ht="15" customHeight="1" x14ac:dyDescent="0.3">
      <c r="A239" s="2">
        <v>6558814</v>
      </c>
      <c r="B239" s="2" t="s">
        <v>9</v>
      </c>
      <c r="C239" s="2" t="s">
        <v>10</v>
      </c>
      <c r="D239" s="3">
        <v>45658</v>
      </c>
      <c r="E239" s="3">
        <v>46022</v>
      </c>
      <c r="F239" s="4" t="s">
        <v>430</v>
      </c>
      <c r="G239" s="2" t="s">
        <v>431</v>
      </c>
      <c r="H239" s="2">
        <v>0</v>
      </c>
      <c r="I239" s="2" t="s">
        <v>13</v>
      </c>
    </row>
    <row r="240" spans="1:9" ht="15" customHeight="1" x14ac:dyDescent="0.3">
      <c r="A240" s="2">
        <v>6558815</v>
      </c>
      <c r="B240" s="2" t="s">
        <v>9</v>
      </c>
      <c r="C240" s="2" t="s">
        <v>10</v>
      </c>
      <c r="D240" s="3">
        <v>45658</v>
      </c>
      <c r="E240" s="3">
        <v>46022</v>
      </c>
      <c r="F240" s="4" t="s">
        <v>432</v>
      </c>
      <c r="G240" s="2" t="s">
        <v>433</v>
      </c>
      <c r="H240" s="2">
        <v>0</v>
      </c>
      <c r="I240" s="2" t="s">
        <v>13</v>
      </c>
    </row>
    <row r="241" spans="1:9" ht="15" customHeight="1" x14ac:dyDescent="0.3">
      <c r="A241" s="2">
        <v>6558816</v>
      </c>
      <c r="B241" s="2" t="s">
        <v>9</v>
      </c>
      <c r="C241" s="2" t="s">
        <v>10</v>
      </c>
      <c r="D241" s="3">
        <v>45658</v>
      </c>
      <c r="E241" s="3">
        <v>46022</v>
      </c>
      <c r="F241" s="4" t="s">
        <v>434</v>
      </c>
      <c r="G241" s="2" t="s">
        <v>435</v>
      </c>
      <c r="H241" s="2">
        <v>0</v>
      </c>
      <c r="I241" s="2" t="s">
        <v>13</v>
      </c>
    </row>
    <row r="242" spans="1:9" ht="15" customHeight="1" x14ac:dyDescent="0.3">
      <c r="A242" s="2">
        <v>6558817</v>
      </c>
      <c r="B242" s="2" t="s">
        <v>9</v>
      </c>
      <c r="C242" s="2" t="s">
        <v>10</v>
      </c>
      <c r="D242" s="3">
        <v>45658</v>
      </c>
      <c r="E242" s="3">
        <v>46022</v>
      </c>
      <c r="F242" s="4" t="s">
        <v>436</v>
      </c>
      <c r="G242" s="2" t="s">
        <v>437</v>
      </c>
      <c r="H242" s="2">
        <v>619502301</v>
      </c>
      <c r="I242" s="2" t="s">
        <v>13</v>
      </c>
    </row>
    <row r="243" spans="1:9" ht="15" customHeight="1" x14ac:dyDescent="0.3">
      <c r="A243" s="2">
        <v>6558818</v>
      </c>
      <c r="B243" s="2" t="s">
        <v>9</v>
      </c>
      <c r="C243" s="2" t="s">
        <v>10</v>
      </c>
      <c r="D243" s="3">
        <v>45658</v>
      </c>
      <c r="E243" s="3">
        <v>46022</v>
      </c>
      <c r="F243" s="4" t="s">
        <v>438</v>
      </c>
      <c r="G243" s="2" t="s">
        <v>439</v>
      </c>
      <c r="H243" s="2">
        <v>619502299</v>
      </c>
      <c r="I243" s="2" t="s">
        <v>13</v>
      </c>
    </row>
    <row r="244" spans="1:9" ht="15" customHeight="1" x14ac:dyDescent="0.3">
      <c r="A244" s="2">
        <v>6558819</v>
      </c>
      <c r="B244" s="2" t="s">
        <v>9</v>
      </c>
      <c r="C244" s="2" t="s">
        <v>10</v>
      </c>
      <c r="D244" s="3">
        <v>45658</v>
      </c>
      <c r="E244" s="3">
        <v>46022</v>
      </c>
      <c r="F244" s="4" t="s">
        <v>440</v>
      </c>
      <c r="G244" s="2" t="s">
        <v>441</v>
      </c>
      <c r="H244" s="2">
        <v>0</v>
      </c>
      <c r="I244" s="2" t="s">
        <v>13</v>
      </c>
    </row>
    <row r="245" spans="1:9" ht="15" customHeight="1" x14ac:dyDescent="0.3">
      <c r="A245" s="2">
        <v>6558820</v>
      </c>
      <c r="B245" s="2" t="s">
        <v>9</v>
      </c>
      <c r="C245" s="2" t="s">
        <v>10</v>
      </c>
      <c r="D245" s="3">
        <v>45658</v>
      </c>
      <c r="E245" s="3">
        <v>46022</v>
      </c>
      <c r="F245" s="4" t="s">
        <v>442</v>
      </c>
      <c r="G245" s="2" t="s">
        <v>443</v>
      </c>
      <c r="H245" s="2">
        <v>0</v>
      </c>
      <c r="I245" s="2" t="s">
        <v>13</v>
      </c>
    </row>
    <row r="246" spans="1:9" ht="15" customHeight="1" x14ac:dyDescent="0.3">
      <c r="A246" s="2">
        <v>6558821</v>
      </c>
      <c r="B246" s="2" t="s">
        <v>9</v>
      </c>
      <c r="C246" s="2" t="s">
        <v>10</v>
      </c>
      <c r="D246" s="3">
        <v>45658</v>
      </c>
      <c r="E246" s="3">
        <v>46022</v>
      </c>
      <c r="F246" s="4" t="s">
        <v>444</v>
      </c>
      <c r="G246" s="2" t="s">
        <v>445</v>
      </c>
      <c r="H246" s="2">
        <v>0</v>
      </c>
      <c r="I246" s="2" t="s">
        <v>13</v>
      </c>
    </row>
    <row r="247" spans="1:9" ht="15" customHeight="1" x14ac:dyDescent="0.3">
      <c r="A247" s="2">
        <v>6558822</v>
      </c>
      <c r="B247" s="2" t="s">
        <v>9</v>
      </c>
      <c r="C247" s="2" t="s">
        <v>10</v>
      </c>
      <c r="D247" s="3">
        <v>45658</v>
      </c>
      <c r="E247" s="3">
        <v>46022</v>
      </c>
      <c r="F247" s="4" t="s">
        <v>446</v>
      </c>
      <c r="G247" s="2" t="s">
        <v>447</v>
      </c>
      <c r="H247" s="2">
        <v>2</v>
      </c>
      <c r="I247" s="2" t="s">
        <v>13</v>
      </c>
    </row>
    <row r="248" spans="1:9" ht="15" customHeight="1" x14ac:dyDescent="0.3">
      <c r="A248" s="2">
        <v>6558823</v>
      </c>
      <c r="B248" s="2" t="s">
        <v>9</v>
      </c>
      <c r="C248" s="2" t="s">
        <v>10</v>
      </c>
      <c r="D248" s="3">
        <v>45658</v>
      </c>
      <c r="E248" s="3">
        <v>46022</v>
      </c>
      <c r="F248" s="4" t="s">
        <v>448</v>
      </c>
      <c r="G248" s="2" t="s">
        <v>449</v>
      </c>
      <c r="H248" s="2">
        <v>0</v>
      </c>
      <c r="I248" s="2" t="s">
        <v>13</v>
      </c>
    </row>
    <row r="249" spans="1:9" ht="15" customHeight="1" x14ac:dyDescent="0.3">
      <c r="A249" s="2">
        <v>6558824</v>
      </c>
      <c r="B249" s="2" t="s">
        <v>9</v>
      </c>
      <c r="C249" s="2" t="s">
        <v>10</v>
      </c>
      <c r="D249" s="3">
        <v>45658</v>
      </c>
      <c r="E249" s="3">
        <v>46022</v>
      </c>
      <c r="F249" s="4" t="s">
        <v>450</v>
      </c>
      <c r="G249" s="2" t="s">
        <v>447</v>
      </c>
      <c r="H249" s="2">
        <v>2</v>
      </c>
      <c r="I249" s="2" t="s">
        <v>13</v>
      </c>
    </row>
    <row r="250" spans="1:9" ht="15" customHeight="1" x14ac:dyDescent="0.3">
      <c r="A250" s="2">
        <v>6558825</v>
      </c>
      <c r="B250" s="2" t="s">
        <v>9</v>
      </c>
      <c r="C250" s="2" t="s">
        <v>10</v>
      </c>
      <c r="D250" s="3">
        <v>45658</v>
      </c>
      <c r="E250" s="3">
        <v>46022</v>
      </c>
      <c r="F250" s="4" t="s">
        <v>451</v>
      </c>
      <c r="G250" s="2" t="s">
        <v>452</v>
      </c>
      <c r="H250" s="2">
        <v>468874311</v>
      </c>
      <c r="I250" s="2" t="s">
        <v>13</v>
      </c>
    </row>
    <row r="251" spans="1:9" ht="15" customHeight="1" x14ac:dyDescent="0.3">
      <c r="A251" s="2">
        <v>6558826</v>
      </c>
      <c r="B251" s="2" t="s">
        <v>9</v>
      </c>
      <c r="C251" s="2" t="s">
        <v>10</v>
      </c>
      <c r="D251" s="3">
        <v>45658</v>
      </c>
      <c r="E251" s="3">
        <v>46022</v>
      </c>
      <c r="F251" s="4" t="s">
        <v>453</v>
      </c>
      <c r="G251" s="2" t="s">
        <v>454</v>
      </c>
      <c r="H251" s="2">
        <v>862011340</v>
      </c>
      <c r="I251" s="2" t="s">
        <v>13</v>
      </c>
    </row>
    <row r="252" spans="1:9" ht="15" customHeight="1" x14ac:dyDescent="0.3">
      <c r="A252" s="2">
        <v>6558827</v>
      </c>
      <c r="B252" s="2" t="s">
        <v>9</v>
      </c>
      <c r="C252" s="2" t="s">
        <v>10</v>
      </c>
      <c r="D252" s="3">
        <v>45658</v>
      </c>
      <c r="E252" s="3">
        <v>46022</v>
      </c>
      <c r="F252" s="4" t="s">
        <v>455</v>
      </c>
      <c r="G252" s="2" t="s">
        <v>456</v>
      </c>
      <c r="H252" s="2">
        <v>619502299</v>
      </c>
      <c r="I252" s="2" t="s">
        <v>13</v>
      </c>
    </row>
    <row r="253" spans="1:9" ht="15" customHeight="1" x14ac:dyDescent="0.3">
      <c r="A253" s="2">
        <v>6558828</v>
      </c>
      <c r="B253" s="2" t="s">
        <v>9</v>
      </c>
      <c r="C253" s="2" t="s">
        <v>10</v>
      </c>
      <c r="D253" s="3">
        <v>45658</v>
      </c>
      <c r="E253" s="3">
        <v>46022</v>
      </c>
      <c r="F253" s="4" t="s">
        <v>457</v>
      </c>
      <c r="G253" s="2" t="s">
        <v>458</v>
      </c>
      <c r="H253" s="2">
        <v>162858011</v>
      </c>
      <c r="I253" s="2" t="s">
        <v>13</v>
      </c>
    </row>
    <row r="254" spans="1:9" ht="15" customHeight="1" x14ac:dyDescent="0.3">
      <c r="A254" s="2">
        <v>6558829</v>
      </c>
      <c r="B254" s="2" t="s">
        <v>9</v>
      </c>
      <c r="C254" s="2" t="s">
        <v>10</v>
      </c>
      <c r="D254" s="3">
        <v>45658</v>
      </c>
      <c r="E254" s="3">
        <v>46022</v>
      </c>
      <c r="F254" s="4" t="s">
        <v>459</v>
      </c>
      <c r="G254" s="2" t="s">
        <v>460</v>
      </c>
      <c r="H254" s="2">
        <v>65364811</v>
      </c>
      <c r="I254" s="2" t="s">
        <v>13</v>
      </c>
    </row>
    <row r="255" spans="1:9" ht="15" customHeight="1" x14ac:dyDescent="0.3">
      <c r="A255" s="2">
        <v>6558830</v>
      </c>
      <c r="B255" s="2" t="s">
        <v>9</v>
      </c>
      <c r="C255" s="2" t="s">
        <v>10</v>
      </c>
      <c r="D255" s="3">
        <v>45658</v>
      </c>
      <c r="E255" s="3">
        <v>46022</v>
      </c>
      <c r="F255" s="4" t="s">
        <v>461</v>
      </c>
      <c r="G255" s="2" t="s">
        <v>462</v>
      </c>
      <c r="H255" s="2">
        <v>80178846</v>
      </c>
      <c r="I255" s="2" t="s">
        <v>13</v>
      </c>
    </row>
    <row r="256" spans="1:9" ht="15" customHeight="1" x14ac:dyDescent="0.3">
      <c r="A256" s="2">
        <v>6558831</v>
      </c>
      <c r="B256" s="2" t="s">
        <v>9</v>
      </c>
      <c r="C256" s="2" t="s">
        <v>10</v>
      </c>
      <c r="D256" s="3">
        <v>45658</v>
      </c>
      <c r="E256" s="3">
        <v>46022</v>
      </c>
      <c r="F256" s="4" t="s">
        <v>463</v>
      </c>
      <c r="G256" s="2" t="s">
        <v>464</v>
      </c>
      <c r="H256" s="2">
        <v>-31703787</v>
      </c>
      <c r="I256" s="2" t="s">
        <v>13</v>
      </c>
    </row>
    <row r="257" spans="1:9" ht="15" customHeight="1" x14ac:dyDescent="0.3">
      <c r="A257" s="2">
        <v>6558832</v>
      </c>
      <c r="B257" s="2" t="s">
        <v>9</v>
      </c>
      <c r="C257" s="2" t="s">
        <v>10</v>
      </c>
      <c r="D257" s="3">
        <v>45658</v>
      </c>
      <c r="E257" s="3">
        <v>46022</v>
      </c>
      <c r="F257" s="4" t="s">
        <v>465</v>
      </c>
      <c r="G257" s="2" t="s">
        <v>466</v>
      </c>
      <c r="H257" s="2">
        <v>-528922</v>
      </c>
      <c r="I257" s="2" t="s">
        <v>13</v>
      </c>
    </row>
    <row r="258" spans="1:9" ht="15" customHeight="1" x14ac:dyDescent="0.3">
      <c r="A258" s="2">
        <v>6558833</v>
      </c>
      <c r="B258" s="2" t="s">
        <v>9</v>
      </c>
      <c r="C258" s="2" t="s">
        <v>10</v>
      </c>
      <c r="D258" s="3">
        <v>45658</v>
      </c>
      <c r="E258" s="3">
        <v>46022</v>
      </c>
      <c r="F258" s="4" t="s">
        <v>467</v>
      </c>
      <c r="G258" s="2" t="s">
        <v>468</v>
      </c>
      <c r="H258" s="2">
        <v>22312799</v>
      </c>
      <c r="I258" s="2" t="s">
        <v>13</v>
      </c>
    </row>
    <row r="259" spans="1:9" ht="15" customHeight="1" x14ac:dyDescent="0.3">
      <c r="A259" s="2">
        <v>6558834</v>
      </c>
      <c r="B259" s="2" t="s">
        <v>9</v>
      </c>
      <c r="C259" s="2" t="s">
        <v>10</v>
      </c>
      <c r="D259" s="3">
        <v>45658</v>
      </c>
      <c r="E259" s="3">
        <v>46022</v>
      </c>
      <c r="F259" s="4" t="s">
        <v>469</v>
      </c>
      <c r="G259" s="2" t="s">
        <v>407</v>
      </c>
      <c r="H259" s="2">
        <v>0</v>
      </c>
      <c r="I259" s="2" t="s">
        <v>13</v>
      </c>
    </row>
    <row r="260" spans="1:9" ht="15" customHeight="1" x14ac:dyDescent="0.3">
      <c r="A260" s="2">
        <v>6558835</v>
      </c>
      <c r="B260" s="2" t="s">
        <v>9</v>
      </c>
      <c r="C260" s="2" t="s">
        <v>10</v>
      </c>
      <c r="D260" s="3">
        <v>45658</v>
      </c>
      <c r="E260" s="3">
        <v>46022</v>
      </c>
      <c r="F260" s="4" t="s">
        <v>470</v>
      </c>
      <c r="G260" s="2" t="s">
        <v>471</v>
      </c>
      <c r="H260" s="2">
        <v>0</v>
      </c>
      <c r="I260" s="2" t="s">
        <v>13</v>
      </c>
    </row>
    <row r="261" spans="1:9" ht="15" customHeight="1" x14ac:dyDescent="0.3">
      <c r="A261" s="2">
        <v>6558836</v>
      </c>
      <c r="B261" s="2" t="s">
        <v>9</v>
      </c>
      <c r="C261" s="2" t="s">
        <v>10</v>
      </c>
      <c r="D261" s="3">
        <v>45658</v>
      </c>
      <c r="E261" s="3">
        <v>46022</v>
      </c>
      <c r="F261" s="4" t="s">
        <v>472</v>
      </c>
      <c r="G261" s="2" t="s">
        <v>473</v>
      </c>
      <c r="H261" s="2">
        <v>144919</v>
      </c>
      <c r="I261" s="2" t="s">
        <v>13</v>
      </c>
    </row>
    <row r="262" spans="1:9" ht="15" customHeight="1" x14ac:dyDescent="0.3">
      <c r="A262" s="2">
        <v>6558837</v>
      </c>
      <c r="B262" s="2" t="s">
        <v>9</v>
      </c>
      <c r="C262" s="2" t="s">
        <v>10</v>
      </c>
      <c r="D262" s="3">
        <v>45658</v>
      </c>
      <c r="E262" s="3">
        <v>46022</v>
      </c>
      <c r="F262" s="4" t="s">
        <v>474</v>
      </c>
      <c r="G262" s="2" t="s">
        <v>475</v>
      </c>
      <c r="H262" s="2">
        <v>-38950300</v>
      </c>
      <c r="I262" s="2" t="s">
        <v>13</v>
      </c>
    </row>
    <row r="263" spans="1:9" ht="15" customHeight="1" x14ac:dyDescent="0.3">
      <c r="A263" s="2">
        <v>6558838</v>
      </c>
      <c r="B263" s="2" t="s">
        <v>9</v>
      </c>
      <c r="C263" s="2" t="s">
        <v>10</v>
      </c>
      <c r="D263" s="3">
        <v>45658</v>
      </c>
      <c r="E263" s="3">
        <v>46022</v>
      </c>
      <c r="F263" s="4" t="s">
        <v>476</v>
      </c>
      <c r="G263" s="2" t="s">
        <v>477</v>
      </c>
      <c r="H263" s="2">
        <v>-25544598</v>
      </c>
      <c r="I263" s="2" t="s">
        <v>13</v>
      </c>
    </row>
    <row r="264" spans="1:9" ht="15" customHeight="1" x14ac:dyDescent="0.3">
      <c r="A264" s="2">
        <v>6558839</v>
      </c>
      <c r="B264" s="2" t="s">
        <v>9</v>
      </c>
      <c r="C264" s="2" t="s">
        <v>10</v>
      </c>
      <c r="D264" s="3">
        <v>45658</v>
      </c>
      <c r="E264" s="3">
        <v>46022</v>
      </c>
      <c r="F264" s="4" t="s">
        <v>478</v>
      </c>
      <c r="G264" s="2" t="s">
        <v>479</v>
      </c>
      <c r="H264" s="2">
        <v>112093</v>
      </c>
      <c r="I264" s="2" t="s">
        <v>13</v>
      </c>
    </row>
    <row r="265" spans="1:9" ht="15" customHeight="1" x14ac:dyDescent="0.3">
      <c r="A265" s="2">
        <v>6558840</v>
      </c>
      <c r="B265" s="2" t="s">
        <v>9</v>
      </c>
      <c r="C265" s="2" t="s">
        <v>10</v>
      </c>
      <c r="D265" s="3">
        <v>45658</v>
      </c>
      <c r="E265" s="3">
        <v>46022</v>
      </c>
      <c r="F265" s="4" t="s">
        <v>480</v>
      </c>
      <c r="G265" s="2" t="s">
        <v>481</v>
      </c>
      <c r="H265" s="2">
        <v>0</v>
      </c>
      <c r="I265" s="2" t="s">
        <v>13</v>
      </c>
    </row>
    <row r="266" spans="1:9" ht="15" customHeight="1" x14ac:dyDescent="0.3">
      <c r="A266" s="2">
        <v>6558841</v>
      </c>
      <c r="B266" s="2" t="s">
        <v>9</v>
      </c>
      <c r="C266" s="2" t="s">
        <v>10</v>
      </c>
      <c r="D266" s="3">
        <v>45658</v>
      </c>
      <c r="E266" s="3">
        <v>46022</v>
      </c>
      <c r="F266" s="4" t="s">
        <v>482</v>
      </c>
      <c r="G266" s="2" t="s">
        <v>483</v>
      </c>
      <c r="H266" s="2">
        <v>0</v>
      </c>
      <c r="I266" s="2" t="s">
        <v>13</v>
      </c>
    </row>
    <row r="267" spans="1:9" ht="15" customHeight="1" x14ac:dyDescent="0.3">
      <c r="A267" s="2">
        <v>6558842</v>
      </c>
      <c r="B267" s="2" t="s">
        <v>9</v>
      </c>
      <c r="C267" s="2" t="s">
        <v>10</v>
      </c>
      <c r="D267" s="3">
        <v>45658</v>
      </c>
      <c r="E267" s="3">
        <v>46022</v>
      </c>
      <c r="F267" s="4" t="s">
        <v>484</v>
      </c>
      <c r="G267" s="2" t="s">
        <v>485</v>
      </c>
      <c r="H267" s="2">
        <v>-818805</v>
      </c>
      <c r="I267" s="2" t="s">
        <v>13</v>
      </c>
    </row>
    <row r="268" spans="1:9" ht="15" customHeight="1" x14ac:dyDescent="0.3">
      <c r="A268" s="2">
        <v>6558843</v>
      </c>
      <c r="B268" s="2" t="s">
        <v>9</v>
      </c>
      <c r="C268" s="2" t="s">
        <v>10</v>
      </c>
      <c r="D268" s="3">
        <v>45658</v>
      </c>
      <c r="E268" s="3">
        <v>46022</v>
      </c>
      <c r="F268" s="4" t="s">
        <v>486</v>
      </c>
      <c r="G268" s="2" t="s">
        <v>487</v>
      </c>
      <c r="H268" s="2">
        <v>844144</v>
      </c>
      <c r="I268" s="2" t="s">
        <v>13</v>
      </c>
    </row>
    <row r="269" spans="1:9" ht="15" customHeight="1" x14ac:dyDescent="0.3">
      <c r="A269" s="2">
        <v>6558844</v>
      </c>
      <c r="B269" s="2" t="s">
        <v>9</v>
      </c>
      <c r="C269" s="2" t="s">
        <v>10</v>
      </c>
      <c r="D269" s="3">
        <v>45658</v>
      </c>
      <c r="E269" s="3">
        <v>46022</v>
      </c>
      <c r="F269" s="4" t="s">
        <v>488</v>
      </c>
      <c r="G269" s="2" t="s">
        <v>489</v>
      </c>
      <c r="H269" s="2">
        <v>2897000</v>
      </c>
      <c r="I269" s="2" t="s">
        <v>13</v>
      </c>
    </row>
    <row r="270" spans="1:9" ht="15" customHeight="1" x14ac:dyDescent="0.3">
      <c r="A270" s="2">
        <v>6558845</v>
      </c>
      <c r="B270" s="2" t="s">
        <v>9</v>
      </c>
      <c r="C270" s="2" t="s">
        <v>10</v>
      </c>
      <c r="D270" s="3">
        <v>45658</v>
      </c>
      <c r="E270" s="3">
        <v>46022</v>
      </c>
      <c r="F270" s="4" t="s">
        <v>490</v>
      </c>
      <c r="G270" s="2" t="s">
        <v>491</v>
      </c>
      <c r="H270" s="2">
        <v>5342830</v>
      </c>
      <c r="I270" s="2" t="s">
        <v>13</v>
      </c>
    </row>
    <row r="271" spans="1:9" ht="15" customHeight="1" x14ac:dyDescent="0.3">
      <c r="A271" s="2">
        <v>6558846</v>
      </c>
      <c r="B271" s="2" t="s">
        <v>9</v>
      </c>
      <c r="C271" s="2" t="s">
        <v>10</v>
      </c>
      <c r="D271" s="3">
        <v>45658</v>
      </c>
      <c r="E271" s="3">
        <v>46022</v>
      </c>
      <c r="F271" s="4" t="s">
        <v>492</v>
      </c>
      <c r="G271" s="2" t="s">
        <v>493</v>
      </c>
      <c r="H271" s="2">
        <v>-216681247</v>
      </c>
      <c r="I271" s="2" t="s">
        <v>13</v>
      </c>
    </row>
    <row r="272" spans="1:9" ht="15" customHeight="1" x14ac:dyDescent="0.3">
      <c r="A272" s="2">
        <v>6558847</v>
      </c>
      <c r="B272" s="2" t="s">
        <v>9</v>
      </c>
      <c r="C272" s="2" t="s">
        <v>10</v>
      </c>
      <c r="D272" s="3">
        <v>45658</v>
      </c>
      <c r="E272" s="3">
        <v>46022</v>
      </c>
      <c r="F272" s="4" t="s">
        <v>494</v>
      </c>
      <c r="G272" s="2" t="s">
        <v>39</v>
      </c>
      <c r="H272" s="2">
        <v>-39848211</v>
      </c>
      <c r="I272" s="2" t="s">
        <v>13</v>
      </c>
    </row>
    <row r="273" spans="1:9" ht="15" customHeight="1" x14ac:dyDescent="0.3">
      <c r="A273" s="2">
        <v>6558848</v>
      </c>
      <c r="B273" s="2" t="s">
        <v>9</v>
      </c>
      <c r="C273" s="2" t="s">
        <v>10</v>
      </c>
      <c r="D273" s="3">
        <v>45658</v>
      </c>
      <c r="E273" s="3">
        <v>46022</v>
      </c>
      <c r="F273" s="4" t="s">
        <v>495</v>
      </c>
      <c r="G273" s="2" t="s">
        <v>496</v>
      </c>
      <c r="H273" s="2">
        <v>-24</v>
      </c>
      <c r="I273" s="2" t="s">
        <v>13</v>
      </c>
    </row>
    <row r="274" spans="1:9" ht="15" customHeight="1" x14ac:dyDescent="0.3">
      <c r="A274" s="2">
        <v>6558849</v>
      </c>
      <c r="B274" s="2" t="s">
        <v>9</v>
      </c>
      <c r="C274" s="2" t="s">
        <v>10</v>
      </c>
      <c r="D274" s="3">
        <v>45658</v>
      </c>
      <c r="E274" s="3">
        <v>46022</v>
      </c>
      <c r="F274" s="4" t="s">
        <v>497</v>
      </c>
      <c r="G274" s="2" t="s">
        <v>47</v>
      </c>
      <c r="H274" s="2">
        <v>-145819754</v>
      </c>
      <c r="I274" s="2" t="s">
        <v>13</v>
      </c>
    </row>
    <row r="275" spans="1:9" ht="15" customHeight="1" x14ac:dyDescent="0.3">
      <c r="A275" s="2">
        <v>6558850</v>
      </c>
      <c r="B275" s="2" t="s">
        <v>9</v>
      </c>
      <c r="C275" s="2" t="s">
        <v>10</v>
      </c>
      <c r="D275" s="3">
        <v>45658</v>
      </c>
      <c r="E275" s="3">
        <v>46022</v>
      </c>
      <c r="F275" s="4" t="s">
        <v>498</v>
      </c>
      <c r="G275" s="2" t="s">
        <v>56</v>
      </c>
      <c r="H275" s="2">
        <v>123678524</v>
      </c>
      <c r="I275" s="2" t="s">
        <v>13</v>
      </c>
    </row>
    <row r="276" spans="1:9" ht="15" customHeight="1" x14ac:dyDescent="0.3">
      <c r="A276" s="2">
        <v>6558851</v>
      </c>
      <c r="B276" s="2" t="s">
        <v>9</v>
      </c>
      <c r="C276" s="2" t="s">
        <v>10</v>
      </c>
      <c r="D276" s="3">
        <v>45658</v>
      </c>
      <c r="E276" s="3">
        <v>46022</v>
      </c>
      <c r="F276" s="4" t="s">
        <v>499</v>
      </c>
      <c r="G276" s="2" t="s">
        <v>106</v>
      </c>
      <c r="H276" s="2">
        <v>-2126846</v>
      </c>
      <c r="I276" s="2" t="s">
        <v>13</v>
      </c>
    </row>
    <row r="277" spans="1:9" ht="15" customHeight="1" x14ac:dyDescent="0.3">
      <c r="A277" s="2">
        <v>6558852</v>
      </c>
      <c r="B277" s="2" t="s">
        <v>9</v>
      </c>
      <c r="C277" s="2" t="s">
        <v>10</v>
      </c>
      <c r="D277" s="3">
        <v>45658</v>
      </c>
      <c r="E277" s="3">
        <v>46022</v>
      </c>
      <c r="F277" s="4" t="s">
        <v>500</v>
      </c>
      <c r="G277" s="2" t="s">
        <v>501</v>
      </c>
      <c r="H277" s="2">
        <v>-9753182</v>
      </c>
      <c r="I277" s="2" t="s">
        <v>13</v>
      </c>
    </row>
    <row r="278" spans="1:9" ht="15" customHeight="1" x14ac:dyDescent="0.3">
      <c r="A278" s="2">
        <v>6558853</v>
      </c>
      <c r="B278" s="2" t="s">
        <v>9</v>
      </c>
      <c r="C278" s="2" t="s">
        <v>10</v>
      </c>
      <c r="D278" s="3">
        <v>45658</v>
      </c>
      <c r="E278" s="3">
        <v>46022</v>
      </c>
      <c r="F278" s="4" t="s">
        <v>502</v>
      </c>
      <c r="G278" s="2" t="s">
        <v>162</v>
      </c>
      <c r="H278" s="2">
        <v>-181686073</v>
      </c>
      <c r="I278" s="2" t="s">
        <v>13</v>
      </c>
    </row>
    <row r="279" spans="1:9" ht="15" customHeight="1" x14ac:dyDescent="0.3">
      <c r="A279" s="2">
        <v>6558854</v>
      </c>
      <c r="B279" s="2" t="s">
        <v>9</v>
      </c>
      <c r="C279" s="2" t="s">
        <v>10</v>
      </c>
      <c r="D279" s="3">
        <v>45658</v>
      </c>
      <c r="E279" s="3">
        <v>46022</v>
      </c>
      <c r="F279" s="4" t="s">
        <v>503</v>
      </c>
      <c r="G279" s="2" t="s">
        <v>504</v>
      </c>
      <c r="H279" s="2">
        <v>18327366</v>
      </c>
      <c r="I279" s="2" t="s">
        <v>13</v>
      </c>
    </row>
    <row r="280" spans="1:9" ht="15" customHeight="1" x14ac:dyDescent="0.3">
      <c r="A280" s="2">
        <v>6558855</v>
      </c>
      <c r="B280" s="2" t="s">
        <v>9</v>
      </c>
      <c r="C280" s="2" t="s">
        <v>10</v>
      </c>
      <c r="D280" s="3">
        <v>45658</v>
      </c>
      <c r="E280" s="3">
        <v>46022</v>
      </c>
      <c r="F280" s="4" t="s">
        <v>505</v>
      </c>
      <c r="G280" s="2" t="s">
        <v>506</v>
      </c>
      <c r="H280" s="2">
        <v>26545517</v>
      </c>
      <c r="I280" s="2" t="s">
        <v>13</v>
      </c>
    </row>
    <row r="281" spans="1:9" ht="15" customHeight="1" x14ac:dyDescent="0.3">
      <c r="A281" s="2">
        <v>6558856</v>
      </c>
      <c r="B281" s="2" t="s">
        <v>9</v>
      </c>
      <c r="C281" s="2" t="s">
        <v>10</v>
      </c>
      <c r="D281" s="3">
        <v>45658</v>
      </c>
      <c r="E281" s="3">
        <v>46022</v>
      </c>
      <c r="F281" s="4" t="s">
        <v>507</v>
      </c>
      <c r="G281" s="2" t="s">
        <v>508</v>
      </c>
      <c r="H281" s="2">
        <v>-446469</v>
      </c>
      <c r="I281" s="2" t="s">
        <v>13</v>
      </c>
    </row>
    <row r="282" spans="1:9" ht="15" customHeight="1" x14ac:dyDescent="0.3">
      <c r="A282" s="2">
        <v>6558857</v>
      </c>
      <c r="B282" s="2" t="s">
        <v>9</v>
      </c>
      <c r="C282" s="2" t="s">
        <v>10</v>
      </c>
      <c r="D282" s="3">
        <v>45658</v>
      </c>
      <c r="E282" s="3">
        <v>46022</v>
      </c>
      <c r="F282" s="4" t="s">
        <v>509</v>
      </c>
      <c r="G282" s="2" t="s">
        <v>188</v>
      </c>
      <c r="H282" s="2">
        <v>0</v>
      </c>
      <c r="I282" s="2" t="s">
        <v>13</v>
      </c>
    </row>
    <row r="283" spans="1:9" ht="15" customHeight="1" x14ac:dyDescent="0.3">
      <c r="A283" s="2">
        <v>6558858</v>
      </c>
      <c r="B283" s="2" t="s">
        <v>9</v>
      </c>
      <c r="C283" s="2" t="s">
        <v>10</v>
      </c>
      <c r="D283" s="3">
        <v>45658</v>
      </c>
      <c r="E283" s="3">
        <v>46022</v>
      </c>
      <c r="F283" s="4" t="s">
        <v>510</v>
      </c>
      <c r="G283" s="2" t="s">
        <v>511</v>
      </c>
      <c r="H283" s="2">
        <v>-13693822</v>
      </c>
      <c r="I283" s="2" t="s">
        <v>13</v>
      </c>
    </row>
    <row r="284" spans="1:9" ht="15" customHeight="1" x14ac:dyDescent="0.3">
      <c r="A284" s="2">
        <v>6558859</v>
      </c>
      <c r="B284" s="2" t="s">
        <v>9</v>
      </c>
      <c r="C284" s="2" t="s">
        <v>10</v>
      </c>
      <c r="D284" s="3">
        <v>45658</v>
      </c>
      <c r="E284" s="3">
        <v>46022</v>
      </c>
      <c r="F284" s="4" t="s">
        <v>512</v>
      </c>
      <c r="G284" s="2" t="s">
        <v>238</v>
      </c>
      <c r="H284" s="2">
        <v>8794320</v>
      </c>
      <c r="I284" s="2" t="s">
        <v>13</v>
      </c>
    </row>
    <row r="285" spans="1:9" ht="15" customHeight="1" x14ac:dyDescent="0.3">
      <c r="A285" s="2">
        <v>6558860</v>
      </c>
      <c r="B285" s="2" t="s">
        <v>9</v>
      </c>
      <c r="C285" s="2" t="s">
        <v>10</v>
      </c>
      <c r="D285" s="3">
        <v>45658</v>
      </c>
      <c r="E285" s="3">
        <v>46022</v>
      </c>
      <c r="F285" s="4" t="s">
        <v>513</v>
      </c>
      <c r="G285" s="2" t="s">
        <v>241</v>
      </c>
      <c r="H285" s="2">
        <v>0</v>
      </c>
      <c r="I285" s="2" t="s">
        <v>13</v>
      </c>
    </row>
    <row r="286" spans="1:9" ht="15" customHeight="1" x14ac:dyDescent="0.3">
      <c r="A286" s="2">
        <v>6558861</v>
      </c>
      <c r="B286" s="2" t="s">
        <v>9</v>
      </c>
      <c r="C286" s="2" t="s">
        <v>10</v>
      </c>
      <c r="D286" s="3">
        <v>45658</v>
      </c>
      <c r="E286" s="3">
        <v>46022</v>
      </c>
      <c r="F286" s="4" t="s">
        <v>514</v>
      </c>
      <c r="G286" s="2" t="s">
        <v>515</v>
      </c>
      <c r="H286" s="2">
        <v>-652593</v>
      </c>
      <c r="I286" s="2" t="s">
        <v>13</v>
      </c>
    </row>
    <row r="287" spans="1:9" ht="15" customHeight="1" x14ac:dyDescent="0.3">
      <c r="A287" s="2">
        <v>6558862</v>
      </c>
      <c r="B287" s="2" t="s">
        <v>9</v>
      </c>
      <c r="C287" s="2" t="s">
        <v>10</v>
      </c>
      <c r="D287" s="3">
        <v>45658</v>
      </c>
      <c r="E287" s="3">
        <v>46022</v>
      </c>
      <c r="F287" s="4" t="s">
        <v>516</v>
      </c>
      <c r="G287" s="2" t="s">
        <v>517</v>
      </c>
      <c r="H287" s="2">
        <v>0</v>
      </c>
      <c r="I287" s="2" t="s">
        <v>13</v>
      </c>
    </row>
    <row r="288" spans="1:9" ht="15" customHeight="1" x14ac:dyDescent="0.3">
      <c r="A288" s="2">
        <v>6558863</v>
      </c>
      <c r="B288" s="2" t="s">
        <v>9</v>
      </c>
      <c r="C288" s="2" t="s">
        <v>10</v>
      </c>
      <c r="D288" s="3">
        <v>45658</v>
      </c>
      <c r="E288" s="3">
        <v>46022</v>
      </c>
      <c r="F288" s="4" t="s">
        <v>518</v>
      </c>
      <c r="G288" s="2" t="s">
        <v>70</v>
      </c>
      <c r="H288" s="2">
        <v>-176455782</v>
      </c>
      <c r="I288" s="2" t="s">
        <v>13</v>
      </c>
    </row>
    <row r="289" spans="1:9" ht="15" customHeight="1" x14ac:dyDescent="0.3">
      <c r="A289" s="2">
        <v>6558864</v>
      </c>
      <c r="B289" s="2" t="s">
        <v>9</v>
      </c>
      <c r="C289" s="2" t="s">
        <v>10</v>
      </c>
      <c r="D289" s="3">
        <v>45658</v>
      </c>
      <c r="E289" s="3">
        <v>46022</v>
      </c>
      <c r="F289" s="4" t="s">
        <v>519</v>
      </c>
      <c r="G289" s="2" t="s">
        <v>520</v>
      </c>
      <c r="H289" s="2">
        <v>-84021068</v>
      </c>
      <c r="I289" s="2" t="s">
        <v>13</v>
      </c>
    </row>
    <row r="290" spans="1:9" ht="15" customHeight="1" x14ac:dyDescent="0.3">
      <c r="A290" s="2">
        <v>6558865</v>
      </c>
      <c r="B290" s="2" t="s">
        <v>9</v>
      </c>
      <c r="C290" s="2" t="s">
        <v>10</v>
      </c>
      <c r="D290" s="3">
        <v>45658</v>
      </c>
      <c r="E290" s="3">
        <v>46022</v>
      </c>
      <c r="F290" s="4" t="s">
        <v>521</v>
      </c>
      <c r="G290" s="2" t="s">
        <v>522</v>
      </c>
      <c r="H290" s="2">
        <v>-59044075</v>
      </c>
      <c r="I290" s="2" t="s">
        <v>13</v>
      </c>
    </row>
    <row r="291" spans="1:9" ht="15" customHeight="1" x14ac:dyDescent="0.3">
      <c r="A291" s="2">
        <v>6558866</v>
      </c>
      <c r="B291" s="2" t="s">
        <v>9</v>
      </c>
      <c r="C291" s="2" t="s">
        <v>10</v>
      </c>
      <c r="D291" s="3">
        <v>45658</v>
      </c>
      <c r="E291" s="3">
        <v>46022</v>
      </c>
      <c r="F291" s="4" t="s">
        <v>523</v>
      </c>
      <c r="G291" s="2" t="s">
        <v>524</v>
      </c>
      <c r="H291" s="2">
        <v>-33390639</v>
      </c>
      <c r="I291" s="2" t="s">
        <v>13</v>
      </c>
    </row>
    <row r="292" spans="1:9" ht="15" customHeight="1" x14ac:dyDescent="0.3">
      <c r="A292" s="2">
        <v>6558867</v>
      </c>
      <c r="B292" s="2" t="s">
        <v>9</v>
      </c>
      <c r="C292" s="2" t="s">
        <v>10</v>
      </c>
      <c r="D292" s="3">
        <v>45658</v>
      </c>
      <c r="E292" s="3">
        <v>46022</v>
      </c>
      <c r="F292" s="4" t="s">
        <v>525</v>
      </c>
      <c r="G292" s="2" t="s">
        <v>526</v>
      </c>
      <c r="H292" s="2">
        <v>-78441946</v>
      </c>
      <c r="I292" s="2" t="s">
        <v>13</v>
      </c>
    </row>
    <row r="293" spans="1:9" ht="15" customHeight="1" x14ac:dyDescent="0.3">
      <c r="A293" s="2">
        <v>6558868</v>
      </c>
      <c r="B293" s="2" t="s">
        <v>9</v>
      </c>
      <c r="C293" s="2" t="s">
        <v>10</v>
      </c>
      <c r="D293" s="3">
        <v>45658</v>
      </c>
      <c r="E293" s="3">
        <v>46022</v>
      </c>
      <c r="F293" s="4" t="s">
        <v>527</v>
      </c>
      <c r="G293" s="2" t="s">
        <v>528</v>
      </c>
      <c r="H293" s="2">
        <v>4529633</v>
      </c>
      <c r="I293" s="2" t="s">
        <v>13</v>
      </c>
    </row>
    <row r="294" spans="1:9" ht="15" customHeight="1" x14ac:dyDescent="0.3">
      <c r="A294" s="2">
        <v>6558869</v>
      </c>
      <c r="B294" s="2" t="s">
        <v>9</v>
      </c>
      <c r="C294" s="2" t="s">
        <v>10</v>
      </c>
      <c r="D294" s="3">
        <v>45658</v>
      </c>
      <c r="E294" s="3">
        <v>46022</v>
      </c>
      <c r="F294" s="4" t="s">
        <v>529</v>
      </c>
      <c r="G294" s="2" t="s">
        <v>530</v>
      </c>
      <c r="H294" s="2">
        <v>-69908489</v>
      </c>
      <c r="I294" s="2" t="s">
        <v>13</v>
      </c>
    </row>
    <row r="295" spans="1:9" ht="15" customHeight="1" x14ac:dyDescent="0.3">
      <c r="A295" s="2">
        <v>6558870</v>
      </c>
      <c r="B295" s="2" t="s">
        <v>9</v>
      </c>
      <c r="C295" s="2" t="s">
        <v>10</v>
      </c>
      <c r="D295" s="3">
        <v>45658</v>
      </c>
      <c r="E295" s="3">
        <v>46022</v>
      </c>
      <c r="F295" s="4" t="s">
        <v>531</v>
      </c>
      <c r="G295" s="2" t="s">
        <v>532</v>
      </c>
      <c r="H295" s="2">
        <v>-10534799</v>
      </c>
      <c r="I295" s="2" t="s">
        <v>13</v>
      </c>
    </row>
    <row r="296" spans="1:9" ht="15" customHeight="1" x14ac:dyDescent="0.3">
      <c r="A296" s="2">
        <v>6558871</v>
      </c>
      <c r="B296" s="2" t="s">
        <v>9</v>
      </c>
      <c r="C296" s="2" t="s">
        <v>10</v>
      </c>
      <c r="D296" s="3">
        <v>45658</v>
      </c>
      <c r="E296" s="3">
        <v>46022</v>
      </c>
      <c r="F296" s="4" t="s">
        <v>533</v>
      </c>
      <c r="G296" s="2" t="s">
        <v>534</v>
      </c>
      <c r="H296" s="2">
        <v>0</v>
      </c>
      <c r="I296" s="2" t="s">
        <v>13</v>
      </c>
    </row>
    <row r="297" spans="1:9" ht="15" customHeight="1" x14ac:dyDescent="0.3">
      <c r="A297" s="2">
        <v>6558872</v>
      </c>
      <c r="B297" s="2" t="s">
        <v>9</v>
      </c>
      <c r="C297" s="2" t="s">
        <v>10</v>
      </c>
      <c r="D297" s="3">
        <v>45658</v>
      </c>
      <c r="E297" s="3">
        <v>46022</v>
      </c>
      <c r="F297" s="4" t="s">
        <v>535</v>
      </c>
      <c r="G297" s="2" t="s">
        <v>536</v>
      </c>
      <c r="H297" s="2">
        <v>0</v>
      </c>
      <c r="I297" s="2" t="s">
        <v>13</v>
      </c>
    </row>
    <row r="298" spans="1:9" ht="15" customHeight="1" x14ac:dyDescent="0.3">
      <c r="A298" s="2">
        <v>6558873</v>
      </c>
      <c r="B298" s="2" t="s">
        <v>9</v>
      </c>
      <c r="C298" s="2" t="s">
        <v>10</v>
      </c>
      <c r="D298" s="3">
        <v>45658</v>
      </c>
      <c r="E298" s="3">
        <v>46022</v>
      </c>
      <c r="F298" s="4" t="s">
        <v>537</v>
      </c>
      <c r="G298" s="2" t="s">
        <v>538</v>
      </c>
      <c r="H298" s="2">
        <v>0</v>
      </c>
      <c r="I298" s="2" t="s">
        <v>13</v>
      </c>
    </row>
    <row r="299" spans="1:9" ht="15" customHeight="1" x14ac:dyDescent="0.3">
      <c r="A299" s="2">
        <v>6558874</v>
      </c>
      <c r="B299" s="2" t="s">
        <v>9</v>
      </c>
      <c r="C299" s="2" t="s">
        <v>10</v>
      </c>
      <c r="D299" s="3">
        <v>45658</v>
      </c>
      <c r="E299" s="3">
        <v>46022</v>
      </c>
      <c r="F299" s="4" t="s">
        <v>539</v>
      </c>
      <c r="G299" s="2" t="s">
        <v>540</v>
      </c>
      <c r="H299" s="2">
        <v>0</v>
      </c>
      <c r="I299" s="2" t="s">
        <v>13</v>
      </c>
    </row>
    <row r="300" spans="1:9" ht="15" customHeight="1" x14ac:dyDescent="0.3">
      <c r="A300" s="2">
        <v>6558875</v>
      </c>
      <c r="B300" s="2" t="s">
        <v>9</v>
      </c>
      <c r="C300" s="2" t="s">
        <v>10</v>
      </c>
      <c r="D300" s="3">
        <v>45658</v>
      </c>
      <c r="E300" s="3">
        <v>46022</v>
      </c>
      <c r="F300" s="4" t="s">
        <v>541</v>
      </c>
      <c r="G300" s="2" t="s">
        <v>542</v>
      </c>
      <c r="H300" s="2">
        <v>-2528291</v>
      </c>
      <c r="I300" s="2" t="s">
        <v>13</v>
      </c>
    </row>
    <row r="301" spans="1:9" ht="15" customHeight="1" x14ac:dyDescent="0.3">
      <c r="A301" s="2">
        <v>6558876</v>
      </c>
      <c r="B301" s="2" t="s">
        <v>9</v>
      </c>
      <c r="C301" s="2" t="s">
        <v>10</v>
      </c>
      <c r="D301" s="3">
        <v>45658</v>
      </c>
      <c r="E301" s="3">
        <v>46022</v>
      </c>
      <c r="F301" s="4" t="s">
        <v>543</v>
      </c>
      <c r="G301" s="2" t="s">
        <v>544</v>
      </c>
      <c r="H301" s="2">
        <v>0</v>
      </c>
      <c r="I301" s="2" t="s">
        <v>13</v>
      </c>
    </row>
    <row r="302" spans="1:9" ht="15" customHeight="1" x14ac:dyDescent="0.3">
      <c r="A302" s="2">
        <v>6558877</v>
      </c>
      <c r="B302" s="2" t="s">
        <v>9</v>
      </c>
      <c r="C302" s="2" t="s">
        <v>10</v>
      </c>
      <c r="D302" s="3">
        <v>45658</v>
      </c>
      <c r="E302" s="3">
        <v>46022</v>
      </c>
      <c r="F302" s="4" t="s">
        <v>545</v>
      </c>
      <c r="G302" s="2" t="s">
        <v>546</v>
      </c>
      <c r="H302" s="2">
        <v>-269941564</v>
      </c>
      <c r="I302" s="2" t="s">
        <v>13</v>
      </c>
    </row>
    <row r="303" spans="1:9" ht="15" customHeight="1" x14ac:dyDescent="0.3">
      <c r="A303" s="2">
        <v>6558878</v>
      </c>
      <c r="B303" s="2" t="s">
        <v>9</v>
      </c>
      <c r="C303" s="2" t="s">
        <v>10</v>
      </c>
      <c r="D303" s="3">
        <v>45658</v>
      </c>
      <c r="E303" s="3">
        <v>46022</v>
      </c>
      <c r="F303" s="4" t="s">
        <v>547</v>
      </c>
      <c r="G303" s="2" t="s">
        <v>548</v>
      </c>
      <c r="H303" s="2">
        <v>0</v>
      </c>
      <c r="I303" s="2" t="s">
        <v>13</v>
      </c>
    </row>
    <row r="304" spans="1:9" ht="15" customHeight="1" x14ac:dyDescent="0.3">
      <c r="A304" s="2">
        <v>6558879</v>
      </c>
      <c r="B304" s="2" t="s">
        <v>9</v>
      </c>
      <c r="C304" s="2" t="s">
        <v>10</v>
      </c>
      <c r="D304" s="3">
        <v>45658</v>
      </c>
      <c r="E304" s="3">
        <v>46022</v>
      </c>
      <c r="F304" s="4" t="s">
        <v>549</v>
      </c>
      <c r="G304" s="2" t="s">
        <v>544</v>
      </c>
      <c r="H304" s="2">
        <v>0</v>
      </c>
      <c r="I304" s="2" t="s">
        <v>13</v>
      </c>
    </row>
    <row r="305" spans="1:9" ht="15" customHeight="1" x14ac:dyDescent="0.3">
      <c r="A305" s="2">
        <v>6558880</v>
      </c>
      <c r="B305" s="2" t="s">
        <v>9</v>
      </c>
      <c r="C305" s="2" t="s">
        <v>10</v>
      </c>
      <c r="D305" s="3">
        <v>45658</v>
      </c>
      <c r="E305" s="3">
        <v>46022</v>
      </c>
      <c r="F305" s="4" t="s">
        <v>550</v>
      </c>
      <c r="G305" s="2" t="s">
        <v>551</v>
      </c>
      <c r="H305" s="2">
        <v>-319175185</v>
      </c>
      <c r="I305" s="2" t="s">
        <v>13</v>
      </c>
    </row>
    <row r="306" spans="1:9" ht="15" customHeight="1" x14ac:dyDescent="0.3">
      <c r="A306" s="2">
        <v>6558881</v>
      </c>
      <c r="B306" s="2" t="s">
        <v>9</v>
      </c>
      <c r="C306" s="2" t="s">
        <v>10</v>
      </c>
      <c r="D306" s="3">
        <v>45658</v>
      </c>
      <c r="E306" s="3">
        <v>46022</v>
      </c>
      <c r="F306" s="4" t="s">
        <v>552</v>
      </c>
      <c r="G306" s="2" t="s">
        <v>553</v>
      </c>
      <c r="H306" s="2">
        <v>300000000</v>
      </c>
      <c r="I306" s="2" t="s">
        <v>13</v>
      </c>
    </row>
    <row r="307" spans="1:9" ht="15" customHeight="1" x14ac:dyDescent="0.3">
      <c r="A307" s="2">
        <v>6558882</v>
      </c>
      <c r="B307" s="2" t="s">
        <v>9</v>
      </c>
      <c r="C307" s="2" t="s">
        <v>10</v>
      </c>
      <c r="D307" s="3">
        <v>45658</v>
      </c>
      <c r="E307" s="3">
        <v>46022</v>
      </c>
      <c r="F307" s="4" t="s">
        <v>554</v>
      </c>
      <c r="G307" s="2" t="s">
        <v>555</v>
      </c>
      <c r="H307" s="2">
        <v>-100000000</v>
      </c>
      <c r="I307" s="2" t="s">
        <v>13</v>
      </c>
    </row>
    <row r="308" spans="1:9" ht="15" customHeight="1" x14ac:dyDescent="0.3">
      <c r="A308" s="2">
        <v>6558883</v>
      </c>
      <c r="B308" s="2" t="s">
        <v>9</v>
      </c>
      <c r="C308" s="2" t="s">
        <v>10</v>
      </c>
      <c r="D308" s="3">
        <v>45658</v>
      </c>
      <c r="E308" s="3">
        <v>46022</v>
      </c>
      <c r="F308" s="4" t="s">
        <v>556</v>
      </c>
      <c r="G308" s="2" t="s">
        <v>557</v>
      </c>
      <c r="H308" s="2">
        <v>0</v>
      </c>
      <c r="I308" s="2" t="s">
        <v>13</v>
      </c>
    </row>
    <row r="309" spans="1:9" ht="15" customHeight="1" x14ac:dyDescent="0.3">
      <c r="A309" s="2">
        <v>6558884</v>
      </c>
      <c r="B309" s="2" t="s">
        <v>9</v>
      </c>
      <c r="C309" s="2" t="s">
        <v>10</v>
      </c>
      <c r="D309" s="3">
        <v>45658</v>
      </c>
      <c r="E309" s="3">
        <v>46022</v>
      </c>
      <c r="F309" s="4" t="s">
        <v>558</v>
      </c>
      <c r="G309" s="2" t="s">
        <v>559</v>
      </c>
      <c r="H309" s="2">
        <v>-101166335</v>
      </c>
      <c r="I309" s="2" t="s">
        <v>13</v>
      </c>
    </row>
    <row r="310" spans="1:9" ht="15" customHeight="1" x14ac:dyDescent="0.3">
      <c r="A310" s="2">
        <v>6558885</v>
      </c>
      <c r="B310" s="2" t="s">
        <v>9</v>
      </c>
      <c r="C310" s="2" t="s">
        <v>10</v>
      </c>
      <c r="D310" s="3">
        <v>45658</v>
      </c>
      <c r="E310" s="3">
        <v>46022</v>
      </c>
      <c r="F310" s="4" t="s">
        <v>560</v>
      </c>
      <c r="G310" s="2" t="s">
        <v>561</v>
      </c>
      <c r="H310" s="2">
        <v>146634595</v>
      </c>
      <c r="I310" s="2" t="s">
        <v>13</v>
      </c>
    </row>
    <row r="311" spans="1:9" ht="15" customHeight="1" x14ac:dyDescent="0.3">
      <c r="A311" s="2">
        <v>6558886</v>
      </c>
      <c r="B311" s="2" t="s">
        <v>9</v>
      </c>
      <c r="C311" s="2" t="s">
        <v>10</v>
      </c>
      <c r="D311" s="3">
        <v>45658</v>
      </c>
      <c r="E311" s="3">
        <v>46022</v>
      </c>
      <c r="F311" s="4" t="s">
        <v>562</v>
      </c>
      <c r="G311" s="2" t="s">
        <v>563</v>
      </c>
      <c r="H311" s="2">
        <v>-194416279</v>
      </c>
      <c r="I311" s="2" t="s">
        <v>13</v>
      </c>
    </row>
    <row r="312" spans="1:9" ht="15" customHeight="1" x14ac:dyDescent="0.3">
      <c r="A312" s="2">
        <v>6558887</v>
      </c>
      <c r="B312" s="2" t="s">
        <v>9</v>
      </c>
      <c r="C312" s="2" t="s">
        <v>10</v>
      </c>
      <c r="D312" s="3">
        <v>45658</v>
      </c>
      <c r="E312" s="3">
        <v>46022</v>
      </c>
      <c r="F312" s="4" t="s">
        <v>564</v>
      </c>
      <c r="G312" s="2" t="s">
        <v>565</v>
      </c>
      <c r="H312" s="2">
        <v>0</v>
      </c>
      <c r="I312" s="2" t="s">
        <v>13</v>
      </c>
    </row>
    <row r="313" spans="1:9" ht="15" customHeight="1" x14ac:dyDescent="0.3">
      <c r="A313" s="2">
        <v>6558888</v>
      </c>
      <c r="B313" s="2" t="s">
        <v>9</v>
      </c>
      <c r="C313" s="2" t="s">
        <v>10</v>
      </c>
      <c r="D313" s="3">
        <v>45658</v>
      </c>
      <c r="E313" s="3">
        <v>46022</v>
      </c>
      <c r="F313" s="4" t="s">
        <v>566</v>
      </c>
      <c r="G313" s="2" t="s">
        <v>567</v>
      </c>
      <c r="H313" s="2">
        <v>-1818360</v>
      </c>
      <c r="I313" s="2" t="s">
        <v>13</v>
      </c>
    </row>
    <row r="314" spans="1:9" ht="15" customHeight="1" x14ac:dyDescent="0.3">
      <c r="A314" s="2">
        <v>6558889</v>
      </c>
      <c r="B314" s="2" t="s">
        <v>9</v>
      </c>
      <c r="C314" s="2" t="s">
        <v>10</v>
      </c>
      <c r="D314" s="3">
        <v>45658</v>
      </c>
      <c r="E314" s="3">
        <v>46022</v>
      </c>
      <c r="F314" s="4" t="s">
        <v>568</v>
      </c>
      <c r="G314" s="2" t="s">
        <v>569</v>
      </c>
      <c r="H314" s="2">
        <v>0</v>
      </c>
      <c r="I314" s="2" t="s">
        <v>13</v>
      </c>
    </row>
    <row r="315" spans="1:9" ht="15" customHeight="1" x14ac:dyDescent="0.3">
      <c r="A315" s="2">
        <v>6558890</v>
      </c>
      <c r="B315" s="2" t="s">
        <v>9</v>
      </c>
      <c r="C315" s="2" t="s">
        <v>10</v>
      </c>
      <c r="D315" s="3">
        <v>45658</v>
      </c>
      <c r="E315" s="3">
        <v>46022</v>
      </c>
      <c r="F315" s="4" t="s">
        <v>570</v>
      </c>
      <c r="G315" s="2" t="s">
        <v>571</v>
      </c>
      <c r="H315" s="2">
        <v>120490801</v>
      </c>
      <c r="I315" s="2" t="s">
        <v>13</v>
      </c>
    </row>
    <row r="316" spans="1:9" ht="15" customHeight="1" x14ac:dyDescent="0.3">
      <c r="A316" s="2">
        <v>6558891</v>
      </c>
      <c r="B316" s="2" t="s">
        <v>9</v>
      </c>
      <c r="C316" s="2" t="s">
        <v>10</v>
      </c>
      <c r="D316" s="3">
        <v>45658</v>
      </c>
      <c r="E316" s="3">
        <v>46022</v>
      </c>
      <c r="F316" s="4" t="s">
        <v>572</v>
      </c>
      <c r="G316" s="2" t="s">
        <v>573</v>
      </c>
      <c r="H316" s="2">
        <v>278153431</v>
      </c>
      <c r="I316" s="2" t="s">
        <v>13</v>
      </c>
    </row>
    <row r="317" spans="1:9" ht="15" customHeight="1" x14ac:dyDescent="0.3">
      <c r="A317" s="2">
        <v>6558892</v>
      </c>
      <c r="B317" s="2" t="s">
        <v>9</v>
      </c>
      <c r="C317" s="2" t="s">
        <v>10</v>
      </c>
      <c r="D317" s="3">
        <v>45658</v>
      </c>
      <c r="E317" s="3">
        <v>46022</v>
      </c>
      <c r="F317" s="4" t="s">
        <v>574</v>
      </c>
      <c r="G317" s="2" t="s">
        <v>575</v>
      </c>
      <c r="H317" s="2">
        <v>398644232</v>
      </c>
      <c r="I317" s="2" t="s">
        <v>13</v>
      </c>
    </row>
    <row r="318" spans="1:9" ht="15" customHeight="1" x14ac:dyDescent="0.3">
      <c r="A318" s="2">
        <v>6558893</v>
      </c>
      <c r="B318" s="2" t="s">
        <v>9</v>
      </c>
      <c r="C318" s="2" t="s">
        <v>10</v>
      </c>
      <c r="D318" s="3">
        <v>45658</v>
      </c>
      <c r="E318" s="3">
        <v>46022</v>
      </c>
      <c r="F318" s="4" t="s">
        <v>576</v>
      </c>
      <c r="G318" s="2" t="s">
        <v>577</v>
      </c>
      <c r="H318" s="2">
        <v>3849572715</v>
      </c>
      <c r="I318" s="2" t="s">
        <v>13</v>
      </c>
    </row>
    <row r="319" spans="1:9" ht="15" customHeight="1" x14ac:dyDescent="0.3">
      <c r="A319" s="2">
        <v>6558894</v>
      </c>
      <c r="B319" s="2" t="s">
        <v>9</v>
      </c>
      <c r="C319" s="2" t="s">
        <v>10</v>
      </c>
      <c r="D319" s="3">
        <v>45658</v>
      </c>
      <c r="E319" s="3">
        <v>46022</v>
      </c>
      <c r="F319" s="4" t="s">
        <v>578</v>
      </c>
      <c r="G319" s="2" t="s">
        <v>579</v>
      </c>
      <c r="H319" s="2">
        <v>3801302051</v>
      </c>
      <c r="I319" s="2" t="s">
        <v>13</v>
      </c>
    </row>
    <row r="320" spans="1:9" ht="15" customHeight="1" x14ac:dyDescent="0.3">
      <c r="A320" s="2">
        <v>6558895</v>
      </c>
      <c r="B320" s="2" t="s">
        <v>9</v>
      </c>
      <c r="C320" s="2" t="s">
        <v>10</v>
      </c>
      <c r="D320" s="3">
        <v>45658</v>
      </c>
      <c r="E320" s="3">
        <v>46022</v>
      </c>
      <c r="F320" s="4" t="s">
        <v>580</v>
      </c>
      <c r="G320" s="2" t="s">
        <v>581</v>
      </c>
      <c r="H320" s="2">
        <v>11938669</v>
      </c>
      <c r="I320" s="2" t="s">
        <v>13</v>
      </c>
    </row>
    <row r="321" spans="1:9" ht="15" customHeight="1" x14ac:dyDescent="0.3">
      <c r="A321" s="2">
        <v>6558896</v>
      </c>
      <c r="B321" s="2" t="s">
        <v>9</v>
      </c>
      <c r="C321" s="2" t="s">
        <v>10</v>
      </c>
      <c r="D321" s="3">
        <v>45658</v>
      </c>
      <c r="E321" s="3">
        <v>46022</v>
      </c>
      <c r="F321" s="4" t="s">
        <v>582</v>
      </c>
      <c r="G321" s="2" t="s">
        <v>583</v>
      </c>
      <c r="H321" s="2">
        <v>11938669</v>
      </c>
      <c r="I321" s="2" t="s">
        <v>13</v>
      </c>
    </row>
    <row r="322" spans="1:9" ht="15" customHeight="1" x14ac:dyDescent="0.3">
      <c r="A322" s="2">
        <v>6558897</v>
      </c>
      <c r="B322" s="2" t="s">
        <v>9</v>
      </c>
      <c r="C322" s="2" t="s">
        <v>10</v>
      </c>
      <c r="D322" s="3">
        <v>45658</v>
      </c>
      <c r="E322" s="3">
        <v>46022</v>
      </c>
      <c r="F322" s="4" t="s">
        <v>584</v>
      </c>
      <c r="G322" s="2" t="s">
        <v>585</v>
      </c>
      <c r="H322" s="2">
        <v>0</v>
      </c>
      <c r="I322" s="2" t="s">
        <v>13</v>
      </c>
    </row>
    <row r="323" spans="1:9" ht="15" customHeight="1" x14ac:dyDescent="0.3">
      <c r="A323" s="2">
        <v>6558898</v>
      </c>
      <c r="B323" s="2" t="s">
        <v>9</v>
      </c>
      <c r="C323" s="2" t="s">
        <v>10</v>
      </c>
      <c r="D323" s="3">
        <v>45658</v>
      </c>
      <c r="E323" s="3">
        <v>46022</v>
      </c>
      <c r="F323" s="4" t="s">
        <v>586</v>
      </c>
      <c r="G323" s="2" t="s">
        <v>587</v>
      </c>
      <c r="H323" s="2">
        <v>36444088</v>
      </c>
      <c r="I323" s="2" t="s">
        <v>13</v>
      </c>
    </row>
    <row r="324" spans="1:9" ht="15" customHeight="1" x14ac:dyDescent="0.3">
      <c r="A324" s="2">
        <v>6558899</v>
      </c>
      <c r="B324" s="2" t="s">
        <v>9</v>
      </c>
      <c r="C324" s="2" t="s">
        <v>10</v>
      </c>
      <c r="D324" s="3">
        <v>45658</v>
      </c>
      <c r="E324" s="3">
        <v>46022</v>
      </c>
      <c r="F324" s="4" t="s">
        <v>588</v>
      </c>
      <c r="G324" s="2" t="s">
        <v>589</v>
      </c>
      <c r="H324" s="2">
        <v>-112093</v>
      </c>
      <c r="I324" s="2" t="s">
        <v>13</v>
      </c>
    </row>
    <row r="325" spans="1:9" ht="15" customHeight="1" x14ac:dyDescent="0.3">
      <c r="A325" s="2">
        <v>6558900</v>
      </c>
      <c r="B325" s="2" t="s">
        <v>9</v>
      </c>
      <c r="C325" s="2" t="s">
        <v>10</v>
      </c>
      <c r="D325" s="3">
        <v>45658</v>
      </c>
      <c r="E325" s="3">
        <v>46022</v>
      </c>
      <c r="F325" s="4" t="s">
        <v>590</v>
      </c>
      <c r="G325" s="2" t="s">
        <v>591</v>
      </c>
      <c r="H325" s="2">
        <v>-1573523735</v>
      </c>
      <c r="I325" s="2" t="s">
        <v>13</v>
      </c>
    </row>
    <row r="326" spans="1:9" ht="15" customHeight="1" x14ac:dyDescent="0.3">
      <c r="A326" s="2">
        <v>6558901</v>
      </c>
      <c r="B326" s="2" t="s">
        <v>9</v>
      </c>
      <c r="C326" s="2" t="s">
        <v>10</v>
      </c>
      <c r="D326" s="3">
        <v>45658</v>
      </c>
      <c r="E326" s="3">
        <v>46022</v>
      </c>
      <c r="F326" s="4" t="s">
        <v>592</v>
      </c>
      <c r="G326" s="2" t="s">
        <v>593</v>
      </c>
      <c r="H326" s="2">
        <v>-900723041</v>
      </c>
      <c r="I326" s="2" t="s">
        <v>13</v>
      </c>
    </row>
    <row r="327" spans="1:9" ht="15" customHeight="1" x14ac:dyDescent="0.3">
      <c r="A327" s="2">
        <v>6558902</v>
      </c>
      <c r="B327" s="2" t="s">
        <v>9</v>
      </c>
      <c r="C327" s="2" t="s">
        <v>10</v>
      </c>
      <c r="D327" s="3">
        <v>45658</v>
      </c>
      <c r="E327" s="3">
        <v>46022</v>
      </c>
      <c r="F327" s="4" t="s">
        <v>594</v>
      </c>
      <c r="G327" s="2" t="s">
        <v>595</v>
      </c>
      <c r="H327" s="2">
        <v>-672695064</v>
      </c>
      <c r="I327" s="2" t="s">
        <v>13</v>
      </c>
    </row>
    <row r="328" spans="1:9" ht="15" customHeight="1" x14ac:dyDescent="0.3">
      <c r="A328" s="2">
        <v>6558903</v>
      </c>
      <c r="B328" s="2" t="s">
        <v>9</v>
      </c>
      <c r="C328" s="2" t="s">
        <v>10</v>
      </c>
      <c r="D328" s="3">
        <v>45658</v>
      </c>
      <c r="E328" s="3">
        <v>46022</v>
      </c>
      <c r="F328" s="4" t="s">
        <v>596</v>
      </c>
      <c r="G328" s="2" t="s">
        <v>597</v>
      </c>
      <c r="H328" s="2">
        <v>-105630</v>
      </c>
      <c r="I328" s="2" t="s">
        <v>13</v>
      </c>
    </row>
    <row r="329" spans="1:9" ht="15" customHeight="1" x14ac:dyDescent="0.3">
      <c r="A329" s="2">
        <v>6558904</v>
      </c>
      <c r="B329" s="2" t="s">
        <v>9</v>
      </c>
      <c r="C329" s="2" t="s">
        <v>10</v>
      </c>
      <c r="D329" s="3">
        <v>45658</v>
      </c>
      <c r="E329" s="3">
        <v>46022</v>
      </c>
      <c r="F329" s="4" t="s">
        <v>598</v>
      </c>
      <c r="G329" s="2" t="s">
        <v>70</v>
      </c>
      <c r="H329" s="2">
        <v>0</v>
      </c>
      <c r="I329" s="2" t="s">
        <v>13</v>
      </c>
    </row>
    <row r="330" spans="1:9" ht="15" customHeight="1" x14ac:dyDescent="0.3">
      <c r="A330" s="2">
        <v>6558905</v>
      </c>
      <c r="B330" s="2" t="s">
        <v>9</v>
      </c>
      <c r="C330" s="2" t="s">
        <v>10</v>
      </c>
      <c r="D330" s="3">
        <v>45658</v>
      </c>
      <c r="E330" s="3">
        <v>46022</v>
      </c>
      <c r="F330" s="4" t="s">
        <v>599</v>
      </c>
      <c r="G330" s="2" t="s">
        <v>600</v>
      </c>
      <c r="H330" s="2">
        <v>0</v>
      </c>
      <c r="I330" s="2" t="s">
        <v>13</v>
      </c>
    </row>
    <row r="331" spans="1:9" ht="15" customHeight="1" x14ac:dyDescent="0.3">
      <c r="A331" s="2">
        <v>6558906</v>
      </c>
      <c r="B331" s="2" t="s">
        <v>9</v>
      </c>
      <c r="C331" s="2" t="s">
        <v>10</v>
      </c>
      <c r="D331" s="3">
        <v>45658</v>
      </c>
      <c r="E331" s="3">
        <v>46022</v>
      </c>
      <c r="F331" s="4" t="s">
        <v>601</v>
      </c>
      <c r="G331" s="2" t="s">
        <v>602</v>
      </c>
      <c r="H331" s="2">
        <v>2276048980</v>
      </c>
      <c r="I331" s="2" t="s">
        <v>13</v>
      </c>
    </row>
    <row r="332" spans="1:9" ht="15" customHeight="1" x14ac:dyDescent="0.3">
      <c r="A332" s="2">
        <v>6558907</v>
      </c>
      <c r="B332" s="2" t="s">
        <v>9</v>
      </c>
      <c r="C332" s="2" t="s">
        <v>10</v>
      </c>
      <c r="D332" s="3">
        <v>45658</v>
      </c>
      <c r="E332" s="3">
        <v>46022</v>
      </c>
      <c r="F332" s="4" t="s">
        <v>603</v>
      </c>
      <c r="G332" s="2" t="s">
        <v>604</v>
      </c>
      <c r="H332" s="2">
        <v>-152835915</v>
      </c>
      <c r="I332" s="2" t="s">
        <v>13</v>
      </c>
    </row>
    <row r="333" spans="1:9" ht="15" customHeight="1" x14ac:dyDescent="0.3">
      <c r="A333" s="2">
        <v>6558908</v>
      </c>
      <c r="B333" s="2" t="s">
        <v>9</v>
      </c>
      <c r="C333" s="2" t="s">
        <v>10</v>
      </c>
      <c r="D333" s="3">
        <v>45658</v>
      </c>
      <c r="E333" s="3">
        <v>46022</v>
      </c>
      <c r="F333" s="4" t="s">
        <v>605</v>
      </c>
      <c r="G333" s="2" t="s">
        <v>606</v>
      </c>
      <c r="H333" s="2">
        <v>-152835915</v>
      </c>
      <c r="I333" s="2" t="s">
        <v>13</v>
      </c>
    </row>
    <row r="334" spans="1:9" ht="15" customHeight="1" x14ac:dyDescent="0.3">
      <c r="A334" s="2">
        <v>6558909</v>
      </c>
      <c r="B334" s="2" t="s">
        <v>9</v>
      </c>
      <c r="C334" s="2" t="s">
        <v>10</v>
      </c>
      <c r="D334" s="3">
        <v>45658</v>
      </c>
      <c r="E334" s="3">
        <v>46022</v>
      </c>
      <c r="F334" s="4" t="s">
        <v>607</v>
      </c>
      <c r="G334" s="2" t="s">
        <v>608</v>
      </c>
      <c r="H334" s="2">
        <v>0</v>
      </c>
      <c r="I334" s="2" t="s">
        <v>13</v>
      </c>
    </row>
    <row r="335" spans="1:9" ht="15" customHeight="1" x14ac:dyDescent="0.3">
      <c r="A335" s="2">
        <v>6558910</v>
      </c>
      <c r="B335" s="2" t="s">
        <v>9</v>
      </c>
      <c r="C335" s="2" t="s">
        <v>10</v>
      </c>
      <c r="D335" s="3">
        <v>45658</v>
      </c>
      <c r="E335" s="3">
        <v>46022</v>
      </c>
      <c r="F335" s="4" t="s">
        <v>609</v>
      </c>
      <c r="G335" s="2" t="s">
        <v>610</v>
      </c>
      <c r="H335" s="2">
        <v>2123213065</v>
      </c>
      <c r="I335" s="2" t="s">
        <v>13</v>
      </c>
    </row>
    <row r="336" spans="1:9" ht="15" customHeight="1" x14ac:dyDescent="0.3">
      <c r="A336" s="2">
        <v>6558911</v>
      </c>
      <c r="B336" s="2" t="s">
        <v>9</v>
      </c>
      <c r="C336" s="2" t="s">
        <v>10</v>
      </c>
      <c r="D336" s="3">
        <v>45658</v>
      </c>
      <c r="E336" s="3">
        <v>46022</v>
      </c>
      <c r="F336" s="4" t="s">
        <v>611</v>
      </c>
      <c r="G336" s="2" t="s">
        <v>612</v>
      </c>
      <c r="H336" s="2">
        <v>69737177</v>
      </c>
      <c r="I336" s="2" t="s">
        <v>13</v>
      </c>
    </row>
    <row r="337" spans="1:9" ht="15" customHeight="1" x14ac:dyDescent="0.3">
      <c r="A337" s="2">
        <v>6558912</v>
      </c>
      <c r="B337" s="2" t="s">
        <v>9</v>
      </c>
      <c r="C337" s="2" t="s">
        <v>10</v>
      </c>
      <c r="D337" s="3">
        <v>45658</v>
      </c>
      <c r="E337" s="3">
        <v>46022</v>
      </c>
      <c r="F337" s="4" t="s">
        <v>613</v>
      </c>
      <c r="G337" s="2" t="s">
        <v>405</v>
      </c>
      <c r="H337" s="2">
        <v>0</v>
      </c>
      <c r="I337" s="2" t="s">
        <v>13</v>
      </c>
    </row>
    <row r="338" spans="1:9" ht="15" customHeight="1" x14ac:dyDescent="0.3">
      <c r="A338" s="2">
        <v>6558913</v>
      </c>
      <c r="B338" s="2" t="s">
        <v>9</v>
      </c>
      <c r="C338" s="2" t="s">
        <v>10</v>
      </c>
      <c r="D338" s="3">
        <v>45658</v>
      </c>
      <c r="E338" s="3">
        <v>46022</v>
      </c>
      <c r="F338" s="4" t="s">
        <v>614</v>
      </c>
      <c r="G338" s="2" t="s">
        <v>413</v>
      </c>
      <c r="H338" s="2">
        <v>69737177</v>
      </c>
      <c r="I338" s="2" t="s">
        <v>13</v>
      </c>
    </row>
    <row r="339" spans="1:9" ht="15" customHeight="1" x14ac:dyDescent="0.3">
      <c r="A339" s="2">
        <v>6558914</v>
      </c>
      <c r="B339" s="2" t="s">
        <v>9</v>
      </c>
      <c r="C339" s="2" t="s">
        <v>10</v>
      </c>
      <c r="D339" s="3">
        <v>45658</v>
      </c>
      <c r="E339" s="3">
        <v>46022</v>
      </c>
      <c r="F339" s="4" t="s">
        <v>615</v>
      </c>
      <c r="G339" s="2" t="s">
        <v>70</v>
      </c>
      <c r="H339" s="2">
        <v>0</v>
      </c>
      <c r="I339" s="2" t="s">
        <v>13</v>
      </c>
    </row>
    <row r="340" spans="1:9" ht="15" customHeight="1" x14ac:dyDescent="0.3">
      <c r="A340" s="2">
        <v>6558915</v>
      </c>
      <c r="B340" s="2" t="s">
        <v>9</v>
      </c>
      <c r="C340" s="2" t="s">
        <v>10</v>
      </c>
      <c r="D340" s="3">
        <v>45658</v>
      </c>
      <c r="E340" s="3">
        <v>46022</v>
      </c>
      <c r="F340" s="4" t="s">
        <v>616</v>
      </c>
      <c r="G340" s="2" t="s">
        <v>617</v>
      </c>
      <c r="H340" s="2">
        <v>0</v>
      </c>
      <c r="I340" s="2" t="s">
        <v>13</v>
      </c>
    </row>
    <row r="341" spans="1:9" ht="15" customHeight="1" x14ac:dyDescent="0.3">
      <c r="A341" s="2">
        <v>6558916</v>
      </c>
      <c r="B341" s="2" t="s">
        <v>9</v>
      </c>
      <c r="C341" s="2" t="s">
        <v>10</v>
      </c>
      <c r="D341" s="3">
        <v>45658</v>
      </c>
      <c r="E341" s="3">
        <v>46022</v>
      </c>
      <c r="F341" s="4" t="s">
        <v>618</v>
      </c>
      <c r="G341" s="2" t="s">
        <v>619</v>
      </c>
      <c r="H341" s="2">
        <v>2192950242</v>
      </c>
      <c r="I341" s="2" t="s">
        <v>13</v>
      </c>
    </row>
    <row r="342" spans="1:9" ht="15" customHeight="1" x14ac:dyDescent="0.3">
      <c r="A342" s="2">
        <v>6558917</v>
      </c>
      <c r="B342" s="2" t="s">
        <v>9</v>
      </c>
      <c r="C342" s="2" t="s">
        <v>10</v>
      </c>
      <c r="D342" s="3">
        <v>45658</v>
      </c>
      <c r="E342" s="3">
        <v>46022</v>
      </c>
      <c r="F342" s="4" t="s">
        <v>620</v>
      </c>
      <c r="G342" s="2" t="s">
        <v>621</v>
      </c>
      <c r="H342" s="2">
        <v>2192950242</v>
      </c>
      <c r="I342" s="2" t="s">
        <v>13</v>
      </c>
    </row>
    <row r="343" spans="1:9" ht="15" customHeight="1" x14ac:dyDescent="0.3">
      <c r="A343" s="2">
        <v>6558918</v>
      </c>
      <c r="B343" s="2" t="s">
        <v>9</v>
      </c>
      <c r="C343" s="2" t="s">
        <v>10</v>
      </c>
      <c r="D343" s="3">
        <v>45658</v>
      </c>
      <c r="E343" s="3">
        <v>46022</v>
      </c>
      <c r="F343" s="4" t="s">
        <v>622</v>
      </c>
      <c r="G343" s="2" t="s">
        <v>623</v>
      </c>
      <c r="H343" s="2">
        <v>517647891</v>
      </c>
      <c r="I343" s="2" t="s">
        <v>13</v>
      </c>
    </row>
    <row r="344" spans="1:9" ht="15" customHeight="1" x14ac:dyDescent="0.3">
      <c r="A344" s="2">
        <v>6558919</v>
      </c>
      <c r="B344" s="2" t="s">
        <v>9</v>
      </c>
      <c r="C344" s="2" t="s">
        <v>10</v>
      </c>
      <c r="D344" s="3">
        <v>45658</v>
      </c>
      <c r="E344" s="3">
        <v>46022</v>
      </c>
      <c r="F344" s="4" t="s">
        <v>624</v>
      </c>
      <c r="G344" s="2" t="s">
        <v>625</v>
      </c>
      <c r="H344" s="2">
        <v>393833654</v>
      </c>
      <c r="I344" s="2" t="s">
        <v>13</v>
      </c>
    </row>
    <row r="345" spans="1:9" ht="15" customHeight="1" x14ac:dyDescent="0.3">
      <c r="A345" s="2">
        <v>6558920</v>
      </c>
      <c r="B345" s="2" t="s">
        <v>9</v>
      </c>
      <c r="C345" s="2" t="s">
        <v>10</v>
      </c>
      <c r="D345" s="3">
        <v>45658</v>
      </c>
      <c r="E345" s="3">
        <v>46022</v>
      </c>
      <c r="F345" s="4" t="s">
        <v>626</v>
      </c>
      <c r="G345" s="2" t="s">
        <v>627</v>
      </c>
      <c r="H345" s="2">
        <v>83922271</v>
      </c>
      <c r="I345" s="2" t="s">
        <v>13</v>
      </c>
    </row>
    <row r="346" spans="1:9" ht="15" customHeight="1" x14ac:dyDescent="0.3">
      <c r="A346" s="2">
        <v>6558921</v>
      </c>
      <c r="B346" s="2" t="s">
        <v>9</v>
      </c>
      <c r="C346" s="2" t="s">
        <v>10</v>
      </c>
      <c r="D346" s="3">
        <v>45658</v>
      </c>
      <c r="E346" s="3">
        <v>46022</v>
      </c>
      <c r="F346" s="4" t="s">
        <v>628</v>
      </c>
      <c r="G346" s="2" t="s">
        <v>629</v>
      </c>
      <c r="H346" s="2">
        <v>39891966</v>
      </c>
      <c r="I346" s="2" t="s">
        <v>13</v>
      </c>
    </row>
    <row r="347" spans="1:9" ht="15" customHeight="1" x14ac:dyDescent="0.3">
      <c r="A347" s="2">
        <v>6558922</v>
      </c>
      <c r="B347" s="2" t="s">
        <v>9</v>
      </c>
      <c r="C347" s="2" t="s">
        <v>10</v>
      </c>
      <c r="D347" s="3">
        <v>45658</v>
      </c>
      <c r="E347" s="3">
        <v>46022</v>
      </c>
      <c r="F347" s="4" t="s">
        <v>630</v>
      </c>
      <c r="G347" s="2" t="s">
        <v>70</v>
      </c>
      <c r="H347" s="2">
        <v>0</v>
      </c>
      <c r="I347" s="2" t="s">
        <v>13</v>
      </c>
    </row>
    <row r="348" spans="1:9" ht="15" customHeight="1" x14ac:dyDescent="0.3">
      <c r="A348" s="2">
        <v>6558923</v>
      </c>
      <c r="B348" s="2" t="s">
        <v>9</v>
      </c>
      <c r="C348" s="2" t="s">
        <v>10</v>
      </c>
      <c r="D348" s="3">
        <v>45658</v>
      </c>
      <c r="E348" s="3">
        <v>46022</v>
      </c>
      <c r="F348" s="4" t="s">
        <v>631</v>
      </c>
      <c r="G348" s="2" t="s">
        <v>632</v>
      </c>
      <c r="H348" s="2">
        <v>810563238</v>
      </c>
      <c r="I348" s="2" t="s">
        <v>13</v>
      </c>
    </row>
    <row r="349" spans="1:9" ht="15" customHeight="1" x14ac:dyDescent="0.3">
      <c r="A349" s="2">
        <v>6558924</v>
      </c>
      <c r="B349" s="2" t="s">
        <v>9</v>
      </c>
      <c r="C349" s="2" t="s">
        <v>10</v>
      </c>
      <c r="D349" s="3">
        <v>45658</v>
      </c>
      <c r="E349" s="3">
        <v>46022</v>
      </c>
      <c r="F349" s="4" t="s">
        <v>633</v>
      </c>
      <c r="G349" s="2" t="s">
        <v>634</v>
      </c>
      <c r="H349" s="2">
        <v>324899963</v>
      </c>
      <c r="I349" s="2" t="s">
        <v>13</v>
      </c>
    </row>
    <row r="350" spans="1:9" ht="15" customHeight="1" x14ac:dyDescent="0.3">
      <c r="A350" s="2">
        <v>6558925</v>
      </c>
      <c r="B350" s="2" t="s">
        <v>9</v>
      </c>
      <c r="C350" s="2" t="s">
        <v>10</v>
      </c>
      <c r="D350" s="3">
        <v>45658</v>
      </c>
      <c r="E350" s="3">
        <v>46022</v>
      </c>
      <c r="F350" s="4" t="s">
        <v>635</v>
      </c>
      <c r="G350" s="2" t="s">
        <v>636</v>
      </c>
      <c r="H350" s="2">
        <v>479757747</v>
      </c>
      <c r="I350" s="2" t="s">
        <v>13</v>
      </c>
    </row>
    <row r="351" spans="1:9" ht="15" customHeight="1" x14ac:dyDescent="0.3">
      <c r="A351" s="2">
        <v>6558926</v>
      </c>
      <c r="B351" s="2" t="s">
        <v>9</v>
      </c>
      <c r="C351" s="2" t="s">
        <v>10</v>
      </c>
      <c r="D351" s="3">
        <v>45658</v>
      </c>
      <c r="E351" s="3">
        <v>46022</v>
      </c>
      <c r="F351" s="4" t="s">
        <v>637</v>
      </c>
      <c r="G351" s="2" t="s">
        <v>638</v>
      </c>
      <c r="H351" s="2">
        <v>5905528</v>
      </c>
      <c r="I351" s="2" t="s">
        <v>13</v>
      </c>
    </row>
    <row r="352" spans="1:9" ht="15" customHeight="1" x14ac:dyDescent="0.3">
      <c r="A352" s="2">
        <v>6558927</v>
      </c>
      <c r="B352" s="2" t="s">
        <v>9</v>
      </c>
      <c r="C352" s="2" t="s">
        <v>10</v>
      </c>
      <c r="D352" s="3">
        <v>45658</v>
      </c>
      <c r="E352" s="3">
        <v>46022</v>
      </c>
      <c r="F352" s="4" t="s">
        <v>639</v>
      </c>
      <c r="G352" s="2" t="s">
        <v>640</v>
      </c>
      <c r="H352" s="2">
        <v>245236814</v>
      </c>
      <c r="I352" s="2" t="s">
        <v>13</v>
      </c>
    </row>
    <row r="353" spans="1:9" ht="15" customHeight="1" x14ac:dyDescent="0.3">
      <c r="A353" s="2">
        <v>6558928</v>
      </c>
      <c r="B353" s="2" t="s">
        <v>9</v>
      </c>
      <c r="C353" s="2" t="s">
        <v>10</v>
      </c>
      <c r="D353" s="3">
        <v>45658</v>
      </c>
      <c r="E353" s="3">
        <v>46022</v>
      </c>
      <c r="F353" s="4" t="s">
        <v>641</v>
      </c>
      <c r="G353" s="2" t="s">
        <v>642</v>
      </c>
      <c r="H353" s="2">
        <v>206493348</v>
      </c>
      <c r="I353" s="2" t="s">
        <v>13</v>
      </c>
    </row>
    <row r="354" spans="1:9" ht="15" customHeight="1" x14ac:dyDescent="0.3">
      <c r="A354" s="2">
        <v>6558929</v>
      </c>
      <c r="B354" s="2" t="s">
        <v>9</v>
      </c>
      <c r="C354" s="2" t="s">
        <v>10</v>
      </c>
      <c r="D354" s="3">
        <v>45658</v>
      </c>
      <c r="E354" s="3">
        <v>46022</v>
      </c>
      <c r="F354" s="4" t="s">
        <v>643</v>
      </c>
      <c r="G354" s="2" t="s">
        <v>644</v>
      </c>
      <c r="H354" s="2">
        <v>37786340</v>
      </c>
      <c r="I354" s="2" t="s">
        <v>13</v>
      </c>
    </row>
    <row r="355" spans="1:9" ht="15" customHeight="1" x14ac:dyDescent="0.3">
      <c r="A355" s="2">
        <v>6558930</v>
      </c>
      <c r="B355" s="2" t="s">
        <v>9</v>
      </c>
      <c r="C355" s="2" t="s">
        <v>10</v>
      </c>
      <c r="D355" s="3">
        <v>45658</v>
      </c>
      <c r="E355" s="3">
        <v>46022</v>
      </c>
      <c r="F355" s="4" t="s">
        <v>645</v>
      </c>
      <c r="G355" s="2" t="s">
        <v>608</v>
      </c>
      <c r="H355" s="2">
        <v>957126</v>
      </c>
      <c r="I355" s="2" t="s">
        <v>13</v>
      </c>
    </row>
    <row r="356" spans="1:9" ht="15" customHeight="1" x14ac:dyDescent="0.3">
      <c r="A356" s="2">
        <v>6558931</v>
      </c>
      <c r="B356" s="2" t="s">
        <v>9</v>
      </c>
      <c r="C356" s="2" t="s">
        <v>10</v>
      </c>
      <c r="D356" s="3">
        <v>45658</v>
      </c>
      <c r="E356" s="3">
        <v>46022</v>
      </c>
      <c r="F356" s="4" t="s">
        <v>646</v>
      </c>
      <c r="G356" s="2" t="s">
        <v>647</v>
      </c>
      <c r="H356" s="2">
        <v>957126</v>
      </c>
      <c r="I356" s="2" t="s">
        <v>13</v>
      </c>
    </row>
    <row r="357" spans="1:9" ht="15" customHeight="1" x14ac:dyDescent="0.3">
      <c r="A357" s="2">
        <v>6558932</v>
      </c>
      <c r="B357" s="2" t="s">
        <v>9</v>
      </c>
      <c r="C357" s="2" t="s">
        <v>10</v>
      </c>
      <c r="D357" s="3">
        <v>45658</v>
      </c>
      <c r="E357" s="3">
        <v>46022</v>
      </c>
      <c r="F357" s="4" t="s">
        <v>648</v>
      </c>
      <c r="G357" s="2" t="s">
        <v>649</v>
      </c>
      <c r="H357" s="2">
        <v>619502299</v>
      </c>
      <c r="I357" s="2" t="s">
        <v>13</v>
      </c>
    </row>
    <row r="358" spans="1:9" ht="15" customHeight="1" x14ac:dyDescent="0.3">
      <c r="A358" s="2">
        <v>6558933</v>
      </c>
      <c r="B358" s="2" t="s">
        <v>9</v>
      </c>
      <c r="C358" s="2" t="s">
        <v>10</v>
      </c>
      <c r="D358" s="3">
        <v>45658</v>
      </c>
      <c r="E358" s="3">
        <v>46022</v>
      </c>
      <c r="F358" s="4" t="s">
        <v>650</v>
      </c>
      <c r="G358" s="2" t="s">
        <v>651</v>
      </c>
      <c r="H358" s="2">
        <v>0</v>
      </c>
      <c r="I358" s="2" t="s">
        <v>13</v>
      </c>
    </row>
    <row r="359" spans="1:9" ht="15" customHeight="1" x14ac:dyDescent="0.3">
      <c r="A359" s="2">
        <v>6558934</v>
      </c>
      <c r="B359" s="2" t="s">
        <v>9</v>
      </c>
      <c r="C359" s="2" t="s">
        <v>10</v>
      </c>
      <c r="D359" s="3">
        <v>45658</v>
      </c>
      <c r="E359" s="3">
        <v>46022</v>
      </c>
      <c r="F359" s="4" t="s">
        <v>652</v>
      </c>
      <c r="G359" s="2" t="s">
        <v>653</v>
      </c>
      <c r="H359" s="2">
        <v>0</v>
      </c>
      <c r="I359" s="2" t="s">
        <v>13</v>
      </c>
    </row>
    <row r="360" spans="1:9" ht="15" customHeight="1" x14ac:dyDescent="0.3">
      <c r="A360" s="2">
        <v>6558935</v>
      </c>
      <c r="B360" s="2" t="s">
        <v>9</v>
      </c>
      <c r="C360" s="2" t="s">
        <v>10</v>
      </c>
      <c r="D360" s="3">
        <v>45658</v>
      </c>
      <c r="E360" s="3">
        <v>46022</v>
      </c>
      <c r="F360" s="4" t="s">
        <v>654</v>
      </c>
      <c r="G360" s="2" t="s">
        <v>655</v>
      </c>
      <c r="H360" s="2">
        <v>619502299</v>
      </c>
      <c r="I360" s="2" t="s">
        <v>13</v>
      </c>
    </row>
    <row r="361" spans="1:9" ht="15" customHeight="1" x14ac:dyDescent="0.3">
      <c r="A361" s="2">
        <v>6558936</v>
      </c>
      <c r="B361" s="2" t="s">
        <v>9</v>
      </c>
      <c r="C361" s="2" t="s">
        <v>10</v>
      </c>
      <c r="D361" s="3">
        <v>45658</v>
      </c>
      <c r="E361" s="3">
        <v>46022</v>
      </c>
      <c r="F361" s="4" t="s">
        <v>656</v>
      </c>
      <c r="G361" s="2" t="s">
        <v>657</v>
      </c>
      <c r="H361" s="2">
        <v>0</v>
      </c>
      <c r="I361" s="2" t="s">
        <v>13</v>
      </c>
    </row>
    <row r="362" spans="1:9" ht="15" customHeight="1" x14ac:dyDescent="0.3">
      <c r="A362" s="2">
        <v>6558937</v>
      </c>
      <c r="B362" s="2" t="s">
        <v>9</v>
      </c>
      <c r="C362" s="2" t="s">
        <v>10</v>
      </c>
      <c r="D362" s="3">
        <v>45658</v>
      </c>
      <c r="E362" s="3">
        <v>46022</v>
      </c>
      <c r="F362" s="4" t="s">
        <v>658</v>
      </c>
      <c r="G362" s="2" t="s">
        <v>70</v>
      </c>
      <c r="H362" s="2">
        <v>0</v>
      </c>
      <c r="I362" s="2" t="s">
        <v>13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D3FA9-7E9D-467F-99F6-5649909DB578}">
  <dimension ref="A1:I358"/>
  <sheetViews>
    <sheetView topLeftCell="E1" zoomScale="101" workbookViewId="0">
      <selection activeCell="H211" sqref="H211"/>
    </sheetView>
  </sheetViews>
  <sheetFormatPr defaultColWidth="15.6640625" defaultRowHeight="15" customHeight="1" x14ac:dyDescent="0.3"/>
  <cols>
    <col min="7" max="7" width="77.6640625" bestFit="1" customWidth="1"/>
  </cols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s="2">
        <v>6164772</v>
      </c>
      <c r="B2" s="2" t="s">
        <v>9</v>
      </c>
      <c r="C2" s="2" t="s">
        <v>659</v>
      </c>
      <c r="D2" s="3">
        <v>45657</v>
      </c>
      <c r="E2" s="3">
        <v>45657</v>
      </c>
      <c r="F2" s="4" t="s">
        <v>11</v>
      </c>
      <c r="G2" s="2" t="s">
        <v>12</v>
      </c>
      <c r="H2" s="2">
        <v>4273730310</v>
      </c>
      <c r="I2" s="2" t="s">
        <v>13</v>
      </c>
    </row>
    <row r="3" spans="1:9" ht="15" customHeight="1" x14ac:dyDescent="0.3">
      <c r="A3" s="5">
        <v>6164773</v>
      </c>
      <c r="B3" s="5" t="s">
        <v>9</v>
      </c>
      <c r="C3" s="5" t="s">
        <v>659</v>
      </c>
      <c r="D3" s="6">
        <v>45657</v>
      </c>
      <c r="E3" s="6">
        <v>45657</v>
      </c>
      <c r="F3" s="7" t="s">
        <v>14</v>
      </c>
      <c r="G3" s="5" t="s">
        <v>15</v>
      </c>
      <c r="H3" s="5">
        <v>2781887721</v>
      </c>
      <c r="I3" s="5" t="s">
        <v>13</v>
      </c>
    </row>
    <row r="4" spans="1:9" ht="15" customHeight="1" x14ac:dyDescent="0.3">
      <c r="A4" s="2">
        <v>6164774</v>
      </c>
      <c r="B4" s="2" t="s">
        <v>9</v>
      </c>
      <c r="C4" s="2" t="s">
        <v>659</v>
      </c>
      <c r="D4" s="3">
        <v>45657</v>
      </c>
      <c r="E4" s="3">
        <v>45657</v>
      </c>
      <c r="F4" s="4" t="s">
        <v>16</v>
      </c>
      <c r="G4" s="2" t="s">
        <v>17</v>
      </c>
      <c r="H4" s="2">
        <v>278153431</v>
      </c>
      <c r="I4" s="2" t="s">
        <v>13</v>
      </c>
    </row>
    <row r="5" spans="1:9" ht="15" customHeight="1" x14ac:dyDescent="0.3">
      <c r="A5" s="2">
        <v>6164775</v>
      </c>
      <c r="B5" s="2" t="s">
        <v>9</v>
      </c>
      <c r="C5" s="2" t="s">
        <v>659</v>
      </c>
      <c r="D5" s="3">
        <v>45657</v>
      </c>
      <c r="E5" s="3">
        <v>45657</v>
      </c>
      <c r="F5" s="4" t="s">
        <v>18</v>
      </c>
      <c r="G5" s="2" t="s">
        <v>19</v>
      </c>
      <c r="H5" s="2">
        <v>278153431</v>
      </c>
      <c r="I5" s="2" t="s">
        <v>13</v>
      </c>
    </row>
    <row r="6" spans="1:9" ht="15" customHeight="1" x14ac:dyDescent="0.3">
      <c r="A6" s="2">
        <v>6164776</v>
      </c>
      <c r="B6" s="2" t="s">
        <v>9</v>
      </c>
      <c r="C6" s="2" t="s">
        <v>659</v>
      </c>
      <c r="D6" s="3">
        <v>45657</v>
      </c>
      <c r="E6" s="3">
        <v>45657</v>
      </c>
      <c r="F6" s="4" t="s">
        <v>20</v>
      </c>
      <c r="G6" s="2" t="s">
        <v>21</v>
      </c>
      <c r="H6" s="2">
        <v>4529633</v>
      </c>
      <c r="I6" s="2" t="s">
        <v>13</v>
      </c>
    </row>
    <row r="7" spans="1:9" ht="15" customHeight="1" x14ac:dyDescent="0.3">
      <c r="A7" s="2">
        <v>6164777</v>
      </c>
      <c r="B7" s="2" t="s">
        <v>9</v>
      </c>
      <c r="C7" s="2" t="s">
        <v>659</v>
      </c>
      <c r="D7" s="3">
        <v>45657</v>
      </c>
      <c r="E7" s="3">
        <v>45657</v>
      </c>
      <c r="F7" s="4" t="s">
        <v>22</v>
      </c>
      <c r="G7" s="2" t="s">
        <v>23</v>
      </c>
      <c r="H7" s="2">
        <v>0</v>
      </c>
      <c r="I7" s="2" t="s">
        <v>13</v>
      </c>
    </row>
    <row r="8" spans="1:9" ht="15" customHeight="1" x14ac:dyDescent="0.3">
      <c r="A8" s="2">
        <v>6164778</v>
      </c>
      <c r="B8" s="2" t="s">
        <v>9</v>
      </c>
      <c r="C8" s="2" t="s">
        <v>659</v>
      </c>
      <c r="D8" s="3">
        <v>45657</v>
      </c>
      <c r="E8" s="3">
        <v>45657</v>
      </c>
      <c r="F8" s="4" t="s">
        <v>24</v>
      </c>
      <c r="G8" s="2" t="s">
        <v>25</v>
      </c>
      <c r="H8" s="2">
        <v>0</v>
      </c>
      <c r="I8" s="2" t="s">
        <v>13</v>
      </c>
    </row>
    <row r="9" spans="1:9" ht="15" customHeight="1" x14ac:dyDescent="0.3">
      <c r="A9" s="2">
        <v>6164779</v>
      </c>
      <c r="B9" s="2" t="s">
        <v>9</v>
      </c>
      <c r="C9" s="2" t="s">
        <v>659</v>
      </c>
      <c r="D9" s="3">
        <v>45657</v>
      </c>
      <c r="E9" s="3">
        <v>45657</v>
      </c>
      <c r="F9" s="4" t="s">
        <v>26</v>
      </c>
      <c r="G9" s="2" t="s">
        <v>27</v>
      </c>
      <c r="H9" s="2">
        <v>0</v>
      </c>
      <c r="I9" s="2" t="s">
        <v>13</v>
      </c>
    </row>
    <row r="10" spans="1:9" ht="15" customHeight="1" x14ac:dyDescent="0.3">
      <c r="A10" s="2">
        <v>6164780</v>
      </c>
      <c r="B10" s="2" t="s">
        <v>9</v>
      </c>
      <c r="C10" s="2" t="s">
        <v>659</v>
      </c>
      <c r="D10" s="3">
        <v>45657</v>
      </c>
      <c r="E10" s="3">
        <v>45657</v>
      </c>
      <c r="F10" s="4" t="s">
        <v>28</v>
      </c>
      <c r="G10" s="2" t="s">
        <v>29</v>
      </c>
      <c r="H10" s="2">
        <v>0</v>
      </c>
      <c r="I10" s="2" t="s">
        <v>13</v>
      </c>
    </row>
    <row r="11" spans="1:9" ht="15" customHeight="1" x14ac:dyDescent="0.3">
      <c r="A11" s="2">
        <v>6164781</v>
      </c>
      <c r="B11" s="2" t="s">
        <v>9</v>
      </c>
      <c r="C11" s="2" t="s">
        <v>659</v>
      </c>
      <c r="D11" s="3">
        <v>45657</v>
      </c>
      <c r="E11" s="3">
        <v>45657</v>
      </c>
      <c r="F11" s="4" t="s">
        <v>30</v>
      </c>
      <c r="G11" s="2" t="s">
        <v>31</v>
      </c>
      <c r="H11" s="2">
        <v>0</v>
      </c>
      <c r="I11" s="2" t="s">
        <v>13</v>
      </c>
    </row>
    <row r="12" spans="1:9" ht="15" customHeight="1" x14ac:dyDescent="0.3">
      <c r="A12" s="2">
        <v>6164782</v>
      </c>
      <c r="B12" s="2" t="s">
        <v>9</v>
      </c>
      <c r="C12" s="2" t="s">
        <v>659</v>
      </c>
      <c r="D12" s="3">
        <v>45657</v>
      </c>
      <c r="E12" s="3">
        <v>45657</v>
      </c>
      <c r="F12" s="4" t="s">
        <v>32</v>
      </c>
      <c r="G12" s="2" t="s">
        <v>33</v>
      </c>
      <c r="H12" s="2">
        <v>4529633</v>
      </c>
      <c r="I12" s="2" t="s">
        <v>13</v>
      </c>
    </row>
    <row r="13" spans="1:9" ht="15" customHeight="1" x14ac:dyDescent="0.3">
      <c r="A13" s="2">
        <v>6164783</v>
      </c>
      <c r="B13" s="2" t="s">
        <v>9</v>
      </c>
      <c r="C13" s="2" t="s">
        <v>659</v>
      </c>
      <c r="D13" s="3">
        <v>45657</v>
      </c>
      <c r="E13" s="3">
        <v>45657</v>
      </c>
      <c r="F13" s="4" t="s">
        <v>34</v>
      </c>
      <c r="G13" s="2" t="s">
        <v>35</v>
      </c>
      <c r="H13" s="2">
        <v>955208115</v>
      </c>
      <c r="I13" s="2" t="s">
        <v>13</v>
      </c>
    </row>
    <row r="14" spans="1:9" ht="15" customHeight="1" x14ac:dyDescent="0.3">
      <c r="A14" s="2">
        <v>6164784</v>
      </c>
      <c r="B14" s="2" t="s">
        <v>9</v>
      </c>
      <c r="C14" s="2" t="s">
        <v>659</v>
      </c>
      <c r="D14" s="3">
        <v>45657</v>
      </c>
      <c r="E14" s="3">
        <v>45657</v>
      </c>
      <c r="F14" s="4" t="s">
        <v>36</v>
      </c>
      <c r="G14" s="2" t="s">
        <v>37</v>
      </c>
      <c r="H14" s="2">
        <v>955208115</v>
      </c>
      <c r="I14" s="2" t="s">
        <v>13</v>
      </c>
    </row>
    <row r="15" spans="1:9" ht="15" customHeight="1" x14ac:dyDescent="0.3">
      <c r="A15" s="2">
        <v>6164785</v>
      </c>
      <c r="B15" s="2" t="s">
        <v>9</v>
      </c>
      <c r="C15" s="2" t="s">
        <v>659</v>
      </c>
      <c r="D15" s="3">
        <v>45657</v>
      </c>
      <c r="E15" s="3">
        <v>45657</v>
      </c>
      <c r="F15" s="4" t="s">
        <v>38</v>
      </c>
      <c r="G15" s="2" t="s">
        <v>39</v>
      </c>
      <c r="H15" s="2">
        <v>955208115</v>
      </c>
      <c r="I15" s="2" t="s">
        <v>13</v>
      </c>
    </row>
    <row r="16" spans="1:9" ht="15" customHeight="1" x14ac:dyDescent="0.3">
      <c r="A16" s="2">
        <v>6164786</v>
      </c>
      <c r="B16" s="2" t="s">
        <v>9</v>
      </c>
      <c r="C16" s="2" t="s">
        <v>659</v>
      </c>
      <c r="D16" s="3">
        <v>45657</v>
      </c>
      <c r="E16" s="3">
        <v>45657</v>
      </c>
      <c r="F16" s="4" t="s">
        <v>40</v>
      </c>
      <c r="G16" s="2" t="s">
        <v>41</v>
      </c>
      <c r="H16" s="2">
        <v>0</v>
      </c>
      <c r="I16" s="2" t="s">
        <v>13</v>
      </c>
    </row>
    <row r="17" spans="1:9" ht="15" customHeight="1" x14ac:dyDescent="0.3">
      <c r="A17" s="2">
        <v>6164787</v>
      </c>
      <c r="B17" s="2" t="s">
        <v>9</v>
      </c>
      <c r="C17" s="2" t="s">
        <v>659</v>
      </c>
      <c r="D17" s="3">
        <v>45657</v>
      </c>
      <c r="E17" s="3">
        <v>45657</v>
      </c>
      <c r="F17" s="4" t="s">
        <v>42</v>
      </c>
      <c r="G17" s="2" t="s">
        <v>43</v>
      </c>
      <c r="H17" s="2">
        <v>0</v>
      </c>
      <c r="I17" s="2" t="s">
        <v>13</v>
      </c>
    </row>
    <row r="18" spans="1:9" ht="15" customHeight="1" x14ac:dyDescent="0.3">
      <c r="A18" s="2">
        <v>6164788</v>
      </c>
      <c r="B18" s="2" t="s">
        <v>9</v>
      </c>
      <c r="C18" s="2" t="s">
        <v>659</v>
      </c>
      <c r="D18" s="3">
        <v>45657</v>
      </c>
      <c r="E18" s="3">
        <v>45657</v>
      </c>
      <c r="F18" s="4" t="s">
        <v>44</v>
      </c>
      <c r="G18" s="2" t="s">
        <v>45</v>
      </c>
      <c r="H18" s="2">
        <v>0</v>
      </c>
      <c r="I18" s="2" t="s">
        <v>13</v>
      </c>
    </row>
    <row r="19" spans="1:9" ht="15" customHeight="1" x14ac:dyDescent="0.3">
      <c r="A19" s="2">
        <v>6164789</v>
      </c>
      <c r="B19" s="2" t="s">
        <v>9</v>
      </c>
      <c r="C19" s="2" t="s">
        <v>659</v>
      </c>
      <c r="D19" s="3">
        <v>45657</v>
      </c>
      <c r="E19" s="3">
        <v>45657</v>
      </c>
      <c r="F19" s="4" t="s">
        <v>46</v>
      </c>
      <c r="G19" s="2" t="s">
        <v>47</v>
      </c>
      <c r="H19" s="2">
        <v>1332577733</v>
      </c>
      <c r="I19" s="2" t="s">
        <v>13</v>
      </c>
    </row>
    <row r="20" spans="1:9" ht="15" customHeight="1" x14ac:dyDescent="0.3">
      <c r="A20" s="2">
        <v>6164790</v>
      </c>
      <c r="B20" s="2" t="s">
        <v>9</v>
      </c>
      <c r="C20" s="2" t="s">
        <v>659</v>
      </c>
      <c r="D20" s="3">
        <v>45657</v>
      </c>
      <c r="E20" s="3">
        <v>45657</v>
      </c>
      <c r="F20" s="4" t="s">
        <v>48</v>
      </c>
      <c r="G20" s="2" t="s">
        <v>47</v>
      </c>
      <c r="H20" s="2">
        <v>1332577733</v>
      </c>
      <c r="I20" s="2" t="s">
        <v>13</v>
      </c>
    </row>
    <row r="21" spans="1:9" ht="15" customHeight="1" x14ac:dyDescent="0.3">
      <c r="A21" s="2">
        <v>6164791</v>
      </c>
      <c r="B21" s="2" t="s">
        <v>9</v>
      </c>
      <c r="C21" s="2" t="s">
        <v>659</v>
      </c>
      <c r="D21" s="3">
        <v>45657</v>
      </c>
      <c r="E21" s="3">
        <v>45657</v>
      </c>
      <c r="F21" s="4" t="s">
        <v>49</v>
      </c>
      <c r="G21" s="2" t="s">
        <v>50</v>
      </c>
      <c r="H21" s="2">
        <v>0</v>
      </c>
      <c r="I21" s="2" t="s">
        <v>13</v>
      </c>
    </row>
    <row r="22" spans="1:9" ht="15" customHeight="1" x14ac:dyDescent="0.3">
      <c r="A22" s="2">
        <v>6164792</v>
      </c>
      <c r="B22" s="2" t="s">
        <v>9</v>
      </c>
      <c r="C22" s="2" t="s">
        <v>659</v>
      </c>
      <c r="D22" s="3">
        <v>45657</v>
      </c>
      <c r="E22" s="3">
        <v>45657</v>
      </c>
      <c r="F22" s="4" t="s">
        <v>51</v>
      </c>
      <c r="G22" s="2" t="s">
        <v>52</v>
      </c>
      <c r="H22" s="2">
        <v>189903972</v>
      </c>
      <c r="I22" s="2" t="s">
        <v>13</v>
      </c>
    </row>
    <row r="23" spans="1:9" ht="15" customHeight="1" x14ac:dyDescent="0.3">
      <c r="A23" s="2">
        <v>6164793</v>
      </c>
      <c r="B23" s="2" t="s">
        <v>9</v>
      </c>
      <c r="C23" s="2" t="s">
        <v>659</v>
      </c>
      <c r="D23" s="3">
        <v>45657</v>
      </c>
      <c r="E23" s="3">
        <v>45657</v>
      </c>
      <c r="F23" s="4" t="s">
        <v>53</v>
      </c>
      <c r="G23" s="2" t="s">
        <v>54</v>
      </c>
      <c r="H23" s="2">
        <v>189903972</v>
      </c>
      <c r="I23" s="2" t="s">
        <v>13</v>
      </c>
    </row>
    <row r="24" spans="1:9" ht="15" customHeight="1" x14ac:dyDescent="0.3">
      <c r="A24" s="2">
        <v>6164794</v>
      </c>
      <c r="B24" s="2" t="s">
        <v>9</v>
      </c>
      <c r="C24" s="2" t="s">
        <v>659</v>
      </c>
      <c r="D24" s="3">
        <v>45657</v>
      </c>
      <c r="E24" s="3">
        <v>45657</v>
      </c>
      <c r="F24" s="4" t="s">
        <v>55</v>
      </c>
      <c r="G24" s="2" t="s">
        <v>56</v>
      </c>
      <c r="H24" s="2">
        <v>156754932</v>
      </c>
      <c r="I24" s="2" t="s">
        <v>13</v>
      </c>
    </row>
    <row r="25" spans="1:9" ht="15" customHeight="1" x14ac:dyDescent="0.3">
      <c r="A25" s="2">
        <v>6164795</v>
      </c>
      <c r="B25" s="2" t="s">
        <v>9</v>
      </c>
      <c r="C25" s="2" t="s">
        <v>659</v>
      </c>
      <c r="D25" s="3">
        <v>45657</v>
      </c>
      <c r="E25" s="3">
        <v>45657</v>
      </c>
      <c r="F25" s="4" t="s">
        <v>57</v>
      </c>
      <c r="G25" s="2" t="s">
        <v>58</v>
      </c>
      <c r="H25" s="2">
        <v>33149040</v>
      </c>
      <c r="I25" s="2" t="s">
        <v>13</v>
      </c>
    </row>
    <row r="26" spans="1:9" ht="15" customHeight="1" x14ac:dyDescent="0.3">
      <c r="A26" s="2">
        <v>6164796</v>
      </c>
      <c r="B26" s="2" t="s">
        <v>9</v>
      </c>
      <c r="C26" s="2" t="s">
        <v>659</v>
      </c>
      <c r="D26" s="3">
        <v>45657</v>
      </c>
      <c r="E26" s="3">
        <v>45657</v>
      </c>
      <c r="F26" s="4" t="s">
        <v>59</v>
      </c>
      <c r="G26" s="2" t="s">
        <v>60</v>
      </c>
      <c r="H26" s="2">
        <v>21514837</v>
      </c>
      <c r="I26" s="2" t="s">
        <v>13</v>
      </c>
    </row>
    <row r="27" spans="1:9" ht="15" customHeight="1" x14ac:dyDescent="0.3">
      <c r="A27" s="2">
        <v>6164797</v>
      </c>
      <c r="B27" s="2" t="s">
        <v>9</v>
      </c>
      <c r="C27" s="2" t="s">
        <v>659</v>
      </c>
      <c r="D27" s="3">
        <v>45657</v>
      </c>
      <c r="E27" s="3">
        <v>45657</v>
      </c>
      <c r="F27" s="4" t="s">
        <v>61</v>
      </c>
      <c r="G27" s="2" t="s">
        <v>62</v>
      </c>
      <c r="H27" s="2">
        <v>21514837</v>
      </c>
      <c r="I27" s="2" t="s">
        <v>13</v>
      </c>
    </row>
    <row r="28" spans="1:9" ht="15" customHeight="1" x14ac:dyDescent="0.3">
      <c r="A28" s="2">
        <v>6164798</v>
      </c>
      <c r="B28" s="2" t="s">
        <v>9</v>
      </c>
      <c r="C28" s="2" t="s">
        <v>659</v>
      </c>
      <c r="D28" s="3">
        <v>45657</v>
      </c>
      <c r="E28" s="3">
        <v>45657</v>
      </c>
      <c r="F28" s="4" t="s">
        <v>63</v>
      </c>
      <c r="G28" s="2" t="s">
        <v>64</v>
      </c>
      <c r="H28" s="2">
        <v>0</v>
      </c>
      <c r="I28" s="2" t="s">
        <v>13</v>
      </c>
    </row>
    <row r="29" spans="1:9" ht="15" customHeight="1" x14ac:dyDescent="0.3">
      <c r="A29" s="2">
        <v>6164799</v>
      </c>
      <c r="B29" s="2" t="s">
        <v>9</v>
      </c>
      <c r="C29" s="2" t="s">
        <v>659</v>
      </c>
      <c r="D29" s="3">
        <v>45657</v>
      </c>
      <c r="E29" s="3">
        <v>45657</v>
      </c>
      <c r="F29" s="4" t="s">
        <v>65</v>
      </c>
      <c r="G29" s="2" t="s">
        <v>66</v>
      </c>
      <c r="H29" s="2">
        <v>0</v>
      </c>
      <c r="I29" s="2" t="s">
        <v>13</v>
      </c>
    </row>
    <row r="30" spans="1:9" ht="15" customHeight="1" x14ac:dyDescent="0.3">
      <c r="A30" s="2">
        <v>6164800</v>
      </c>
      <c r="B30" s="2" t="s">
        <v>9</v>
      </c>
      <c r="C30" s="2" t="s">
        <v>659</v>
      </c>
      <c r="D30" s="3">
        <v>45657</v>
      </c>
      <c r="E30" s="3">
        <v>45657</v>
      </c>
      <c r="F30" s="4" t="s">
        <v>67</v>
      </c>
      <c r="G30" s="2" t="s">
        <v>68</v>
      </c>
      <c r="H30" s="2">
        <v>0</v>
      </c>
      <c r="I30" s="2" t="s">
        <v>13</v>
      </c>
    </row>
    <row r="31" spans="1:9" ht="15" customHeight="1" x14ac:dyDescent="0.3">
      <c r="A31" s="2">
        <v>6164801</v>
      </c>
      <c r="B31" s="2" t="s">
        <v>9</v>
      </c>
      <c r="C31" s="2" t="s">
        <v>659</v>
      </c>
      <c r="D31" s="3">
        <v>45657</v>
      </c>
      <c r="E31" s="3">
        <v>45657</v>
      </c>
      <c r="F31" s="4" t="s">
        <v>69</v>
      </c>
      <c r="G31" s="2" t="s">
        <v>70</v>
      </c>
      <c r="H31" s="2">
        <v>0</v>
      </c>
      <c r="I31" s="2" t="s">
        <v>13</v>
      </c>
    </row>
    <row r="32" spans="1:9" ht="15" customHeight="1" x14ac:dyDescent="0.3">
      <c r="A32" s="2">
        <v>6164802</v>
      </c>
      <c r="B32" s="2" t="s">
        <v>9</v>
      </c>
      <c r="C32" s="2" t="s">
        <v>659</v>
      </c>
      <c r="D32" s="3">
        <v>45657</v>
      </c>
      <c r="E32" s="3">
        <v>45657</v>
      </c>
      <c r="F32" s="4" t="s">
        <v>71</v>
      </c>
      <c r="G32" s="2" t="s">
        <v>72</v>
      </c>
      <c r="H32" s="2">
        <v>0</v>
      </c>
      <c r="I32" s="2" t="s">
        <v>13</v>
      </c>
    </row>
    <row r="33" spans="1:9" ht="15" customHeight="1" x14ac:dyDescent="0.3">
      <c r="A33" s="2">
        <v>6164803</v>
      </c>
      <c r="B33" s="2" t="s">
        <v>9</v>
      </c>
      <c r="C33" s="2" t="s">
        <v>659</v>
      </c>
      <c r="D33" s="3">
        <v>45657</v>
      </c>
      <c r="E33" s="3">
        <v>45657</v>
      </c>
      <c r="F33" s="4" t="s">
        <v>73</v>
      </c>
      <c r="G33" s="2" t="s">
        <v>74</v>
      </c>
      <c r="H33" s="2">
        <v>1491842589</v>
      </c>
      <c r="I33" s="2" t="s">
        <v>13</v>
      </c>
    </row>
    <row r="34" spans="1:9" ht="15" customHeight="1" x14ac:dyDescent="0.3">
      <c r="A34" s="2">
        <v>6164804</v>
      </c>
      <c r="B34" s="2" t="s">
        <v>9</v>
      </c>
      <c r="C34" s="2" t="s">
        <v>659</v>
      </c>
      <c r="D34" s="3">
        <v>45657</v>
      </c>
      <c r="E34" s="3">
        <v>45657</v>
      </c>
      <c r="F34" s="4" t="s">
        <v>75</v>
      </c>
      <c r="G34" s="2" t="s">
        <v>76</v>
      </c>
      <c r="H34" s="2">
        <v>571344988</v>
      </c>
      <c r="I34" s="2" t="s">
        <v>13</v>
      </c>
    </row>
    <row r="35" spans="1:9" ht="15" customHeight="1" x14ac:dyDescent="0.3">
      <c r="A35" s="2">
        <v>6164805</v>
      </c>
      <c r="B35" s="2" t="s">
        <v>9</v>
      </c>
      <c r="C35" s="2" t="s">
        <v>659</v>
      </c>
      <c r="D35" s="3">
        <v>45657</v>
      </c>
      <c r="E35" s="3">
        <v>45657</v>
      </c>
      <c r="F35" s="4" t="s">
        <v>77</v>
      </c>
      <c r="G35" s="2" t="s">
        <v>23</v>
      </c>
      <c r="H35" s="2">
        <v>0</v>
      </c>
      <c r="I35" s="2" t="s">
        <v>13</v>
      </c>
    </row>
    <row r="36" spans="1:9" ht="15" customHeight="1" x14ac:dyDescent="0.3">
      <c r="A36" s="2">
        <v>6164806</v>
      </c>
      <c r="B36" s="2" t="s">
        <v>9</v>
      </c>
      <c r="C36" s="2" t="s">
        <v>659</v>
      </c>
      <c r="D36" s="3">
        <v>45657</v>
      </c>
      <c r="E36" s="3">
        <v>45657</v>
      </c>
      <c r="F36" s="4" t="s">
        <v>78</v>
      </c>
      <c r="G36" s="2" t="s">
        <v>27</v>
      </c>
      <c r="H36" s="2">
        <v>0</v>
      </c>
      <c r="I36" s="2" t="s">
        <v>13</v>
      </c>
    </row>
    <row r="37" spans="1:9" ht="15" customHeight="1" x14ac:dyDescent="0.3">
      <c r="A37" s="2">
        <v>6164807</v>
      </c>
      <c r="B37" s="2" t="s">
        <v>9</v>
      </c>
      <c r="C37" s="2" t="s">
        <v>659</v>
      </c>
      <c r="D37" s="3">
        <v>45657</v>
      </c>
      <c r="E37" s="3">
        <v>45657</v>
      </c>
      <c r="F37" s="4" t="s">
        <v>79</v>
      </c>
      <c r="G37" s="2" t="s">
        <v>31</v>
      </c>
      <c r="H37" s="2">
        <v>0</v>
      </c>
      <c r="I37" s="2" t="s">
        <v>13</v>
      </c>
    </row>
    <row r="38" spans="1:9" ht="15" customHeight="1" x14ac:dyDescent="0.3">
      <c r="A38" s="2">
        <v>6164808</v>
      </c>
      <c r="B38" s="2" t="s">
        <v>9</v>
      </c>
      <c r="C38" s="2" t="s">
        <v>659</v>
      </c>
      <c r="D38" s="3">
        <v>45657</v>
      </c>
      <c r="E38" s="3">
        <v>45657</v>
      </c>
      <c r="F38" s="4" t="s">
        <v>80</v>
      </c>
      <c r="G38" s="2" t="s">
        <v>33</v>
      </c>
      <c r="H38" s="2">
        <v>0</v>
      </c>
      <c r="I38" s="2" t="s">
        <v>13</v>
      </c>
    </row>
    <row r="39" spans="1:9" ht="15" customHeight="1" x14ac:dyDescent="0.3">
      <c r="A39" s="2">
        <v>6164809</v>
      </c>
      <c r="B39" s="2" t="s">
        <v>9</v>
      </c>
      <c r="C39" s="2" t="s">
        <v>659</v>
      </c>
      <c r="D39" s="3">
        <v>45657</v>
      </c>
      <c r="E39" s="3">
        <v>45657</v>
      </c>
      <c r="F39" s="4" t="s">
        <v>81</v>
      </c>
      <c r="G39" s="2" t="s">
        <v>35</v>
      </c>
      <c r="H39" s="2">
        <v>0</v>
      </c>
      <c r="I39" s="2" t="s">
        <v>13</v>
      </c>
    </row>
    <row r="40" spans="1:9" ht="15" customHeight="1" x14ac:dyDescent="0.3">
      <c r="A40" s="2">
        <v>6164810</v>
      </c>
      <c r="B40" s="2" t="s">
        <v>9</v>
      </c>
      <c r="C40" s="2" t="s">
        <v>659</v>
      </c>
      <c r="D40" s="3">
        <v>45657</v>
      </c>
      <c r="E40" s="3">
        <v>45657</v>
      </c>
      <c r="F40" s="4" t="s">
        <v>82</v>
      </c>
      <c r="G40" s="2" t="s">
        <v>37</v>
      </c>
      <c r="H40" s="2">
        <v>0</v>
      </c>
      <c r="I40" s="2" t="s">
        <v>13</v>
      </c>
    </row>
    <row r="41" spans="1:9" ht="15" customHeight="1" x14ac:dyDescent="0.3">
      <c r="A41" s="2">
        <v>6164811</v>
      </c>
      <c r="B41" s="2" t="s">
        <v>9</v>
      </c>
      <c r="C41" s="2" t="s">
        <v>659</v>
      </c>
      <c r="D41" s="3">
        <v>45657</v>
      </c>
      <c r="E41" s="3">
        <v>45657</v>
      </c>
      <c r="F41" s="4" t="s">
        <v>83</v>
      </c>
      <c r="G41" s="2" t="s">
        <v>43</v>
      </c>
      <c r="H41" s="2">
        <v>0</v>
      </c>
      <c r="I41" s="2" t="s">
        <v>13</v>
      </c>
    </row>
    <row r="42" spans="1:9" ht="15" customHeight="1" x14ac:dyDescent="0.3">
      <c r="A42" s="2">
        <v>6164812</v>
      </c>
      <c r="B42" s="2" t="s">
        <v>9</v>
      </c>
      <c r="C42" s="2" t="s">
        <v>659</v>
      </c>
      <c r="D42" s="3">
        <v>45657</v>
      </c>
      <c r="E42" s="3">
        <v>45657</v>
      </c>
      <c r="F42" s="4" t="s">
        <v>84</v>
      </c>
      <c r="G42" s="2" t="s">
        <v>85</v>
      </c>
      <c r="H42" s="2">
        <v>0</v>
      </c>
      <c r="I42" s="2" t="s">
        <v>13</v>
      </c>
    </row>
    <row r="43" spans="1:9" ht="15" customHeight="1" x14ac:dyDescent="0.3">
      <c r="A43" s="2">
        <v>6164813</v>
      </c>
      <c r="B43" s="2" t="s">
        <v>9</v>
      </c>
      <c r="C43" s="2" t="s">
        <v>659</v>
      </c>
      <c r="D43" s="3">
        <v>45657</v>
      </c>
      <c r="E43" s="3">
        <v>45657</v>
      </c>
      <c r="F43" s="4" t="s">
        <v>86</v>
      </c>
      <c r="G43" s="2" t="s">
        <v>47</v>
      </c>
      <c r="H43" s="2">
        <v>0</v>
      </c>
      <c r="I43" s="2" t="s">
        <v>13</v>
      </c>
    </row>
    <row r="44" spans="1:9" ht="15" customHeight="1" x14ac:dyDescent="0.3">
      <c r="A44" s="2">
        <v>6164814</v>
      </c>
      <c r="B44" s="2" t="s">
        <v>9</v>
      </c>
      <c r="C44" s="2" t="s">
        <v>659</v>
      </c>
      <c r="D44" s="3">
        <v>45657</v>
      </c>
      <c r="E44" s="3">
        <v>45657</v>
      </c>
      <c r="F44" s="4" t="s">
        <v>87</v>
      </c>
      <c r="G44" s="2" t="s">
        <v>50</v>
      </c>
      <c r="H44" s="2">
        <v>0</v>
      </c>
      <c r="I44" s="2" t="s">
        <v>13</v>
      </c>
    </row>
    <row r="45" spans="1:9" ht="15" customHeight="1" x14ac:dyDescent="0.3">
      <c r="A45" s="2">
        <v>6164815</v>
      </c>
      <c r="B45" s="2" t="s">
        <v>9</v>
      </c>
      <c r="C45" s="2" t="s">
        <v>659</v>
      </c>
      <c r="D45" s="3">
        <v>45657</v>
      </c>
      <c r="E45" s="3">
        <v>45657</v>
      </c>
      <c r="F45" s="4" t="s">
        <v>88</v>
      </c>
      <c r="G45" s="2" t="s">
        <v>89</v>
      </c>
      <c r="H45" s="2">
        <v>429267488</v>
      </c>
      <c r="I45" s="2" t="s">
        <v>13</v>
      </c>
    </row>
    <row r="46" spans="1:9" ht="15" customHeight="1" x14ac:dyDescent="0.3">
      <c r="A46" s="2">
        <v>6164816</v>
      </c>
      <c r="B46" s="2" t="s">
        <v>9</v>
      </c>
      <c r="C46" s="2" t="s">
        <v>659</v>
      </c>
      <c r="D46" s="3">
        <v>45657</v>
      </c>
      <c r="E46" s="3">
        <v>45657</v>
      </c>
      <c r="F46" s="4" t="s">
        <v>90</v>
      </c>
      <c r="G46" s="2" t="s">
        <v>91</v>
      </c>
      <c r="H46" s="2">
        <v>429267488</v>
      </c>
      <c r="I46" s="2" t="s">
        <v>13</v>
      </c>
    </row>
    <row r="47" spans="1:9" ht="15" customHeight="1" x14ac:dyDescent="0.3">
      <c r="A47" s="2">
        <v>6164817</v>
      </c>
      <c r="B47" s="2" t="s">
        <v>9</v>
      </c>
      <c r="C47" s="2" t="s">
        <v>659</v>
      </c>
      <c r="D47" s="3">
        <v>45657</v>
      </c>
      <c r="E47" s="3">
        <v>45657</v>
      </c>
      <c r="F47" s="4" t="s">
        <v>92</v>
      </c>
      <c r="G47" s="2" t="s">
        <v>60</v>
      </c>
      <c r="H47" s="2">
        <v>0</v>
      </c>
      <c r="I47" s="2" t="s">
        <v>13</v>
      </c>
    </row>
    <row r="48" spans="1:9" ht="15" customHeight="1" x14ac:dyDescent="0.3">
      <c r="A48" s="2">
        <v>6164818</v>
      </c>
      <c r="B48" s="2" t="s">
        <v>9</v>
      </c>
      <c r="C48" s="2" t="s">
        <v>659</v>
      </c>
      <c r="D48" s="3">
        <v>45657</v>
      </c>
      <c r="E48" s="3">
        <v>45657</v>
      </c>
      <c r="F48" s="4" t="s">
        <v>93</v>
      </c>
      <c r="G48" s="2" t="s">
        <v>94</v>
      </c>
      <c r="H48" s="2">
        <v>0</v>
      </c>
      <c r="I48" s="2" t="s">
        <v>13</v>
      </c>
    </row>
    <row r="49" spans="1:9" ht="15" customHeight="1" x14ac:dyDescent="0.3">
      <c r="A49" s="2">
        <v>6164819</v>
      </c>
      <c r="B49" s="2" t="s">
        <v>9</v>
      </c>
      <c r="C49" s="2" t="s">
        <v>659</v>
      </c>
      <c r="D49" s="3">
        <v>45657</v>
      </c>
      <c r="E49" s="3">
        <v>45657</v>
      </c>
      <c r="F49" s="4" t="s">
        <v>95</v>
      </c>
      <c r="G49" s="2" t="s">
        <v>96</v>
      </c>
      <c r="H49" s="2">
        <v>0</v>
      </c>
      <c r="I49" s="2" t="s">
        <v>13</v>
      </c>
    </row>
    <row r="50" spans="1:9" ht="15" customHeight="1" x14ac:dyDescent="0.3">
      <c r="A50" s="2">
        <v>6164820</v>
      </c>
      <c r="B50" s="2" t="s">
        <v>9</v>
      </c>
      <c r="C50" s="2" t="s">
        <v>659</v>
      </c>
      <c r="D50" s="3">
        <v>45657</v>
      </c>
      <c r="E50" s="3">
        <v>45657</v>
      </c>
      <c r="F50" s="4" t="s">
        <v>97</v>
      </c>
      <c r="G50" s="2" t="s">
        <v>98</v>
      </c>
      <c r="H50" s="2">
        <v>0</v>
      </c>
      <c r="I50" s="2" t="s">
        <v>13</v>
      </c>
    </row>
    <row r="51" spans="1:9" ht="15" customHeight="1" x14ac:dyDescent="0.3">
      <c r="A51" s="2">
        <v>6164821</v>
      </c>
      <c r="B51" s="2" t="s">
        <v>9</v>
      </c>
      <c r="C51" s="2" t="s">
        <v>659</v>
      </c>
      <c r="D51" s="3">
        <v>45657</v>
      </c>
      <c r="E51" s="3">
        <v>45657</v>
      </c>
      <c r="F51" s="4" t="s">
        <v>99</v>
      </c>
      <c r="G51" s="2" t="s">
        <v>100</v>
      </c>
      <c r="H51" s="2">
        <v>0</v>
      </c>
      <c r="I51" s="2" t="s">
        <v>13</v>
      </c>
    </row>
    <row r="52" spans="1:9" ht="15" customHeight="1" x14ac:dyDescent="0.3">
      <c r="A52" s="2">
        <v>6164822</v>
      </c>
      <c r="B52" s="2" t="s">
        <v>9</v>
      </c>
      <c r="C52" s="2" t="s">
        <v>659</v>
      </c>
      <c r="D52" s="3">
        <v>45657</v>
      </c>
      <c r="E52" s="3">
        <v>45657</v>
      </c>
      <c r="F52" s="4" t="s">
        <v>101</v>
      </c>
      <c r="G52" s="2" t="s">
        <v>102</v>
      </c>
      <c r="H52" s="2">
        <v>142077500</v>
      </c>
      <c r="I52" s="2" t="s">
        <v>13</v>
      </c>
    </row>
    <row r="53" spans="1:9" ht="15" customHeight="1" x14ac:dyDescent="0.3">
      <c r="A53" s="2">
        <v>6164823</v>
      </c>
      <c r="B53" s="2" t="s">
        <v>9</v>
      </c>
      <c r="C53" s="2" t="s">
        <v>659</v>
      </c>
      <c r="D53" s="3">
        <v>45657</v>
      </c>
      <c r="E53" s="3">
        <v>45657</v>
      </c>
      <c r="F53" s="4" t="s">
        <v>103</v>
      </c>
      <c r="G53" s="2" t="s">
        <v>66</v>
      </c>
      <c r="H53" s="2">
        <v>0</v>
      </c>
      <c r="I53" s="2" t="s">
        <v>13</v>
      </c>
    </row>
    <row r="54" spans="1:9" ht="15" customHeight="1" x14ac:dyDescent="0.3">
      <c r="A54" s="2">
        <v>6164824</v>
      </c>
      <c r="B54" s="2" t="s">
        <v>9</v>
      </c>
      <c r="C54" s="2" t="s">
        <v>659</v>
      </c>
      <c r="D54" s="3">
        <v>45657</v>
      </c>
      <c r="E54" s="3">
        <v>45657</v>
      </c>
      <c r="F54" s="4" t="s">
        <v>104</v>
      </c>
      <c r="G54" s="2" t="s">
        <v>68</v>
      </c>
      <c r="H54" s="2">
        <v>0</v>
      </c>
      <c r="I54" s="2" t="s">
        <v>13</v>
      </c>
    </row>
    <row r="55" spans="1:9" ht="15" customHeight="1" x14ac:dyDescent="0.3">
      <c r="A55" s="2">
        <v>6164825</v>
      </c>
      <c r="B55" s="2" t="s">
        <v>9</v>
      </c>
      <c r="C55" s="2" t="s">
        <v>659</v>
      </c>
      <c r="D55" s="3">
        <v>45657</v>
      </c>
      <c r="E55" s="3">
        <v>45657</v>
      </c>
      <c r="F55" s="4" t="s">
        <v>105</v>
      </c>
      <c r="G55" s="2" t="s">
        <v>106</v>
      </c>
      <c r="H55" s="2">
        <v>24779215</v>
      </c>
      <c r="I55" s="2" t="s">
        <v>13</v>
      </c>
    </row>
    <row r="56" spans="1:9" ht="15" customHeight="1" x14ac:dyDescent="0.3">
      <c r="A56" s="2">
        <v>6164826</v>
      </c>
      <c r="B56" s="2" t="s">
        <v>9</v>
      </c>
      <c r="C56" s="2" t="s">
        <v>659</v>
      </c>
      <c r="D56" s="3">
        <v>45657</v>
      </c>
      <c r="E56" s="3">
        <v>45657</v>
      </c>
      <c r="F56" s="4" t="s">
        <v>107</v>
      </c>
      <c r="G56" s="2" t="s">
        <v>108</v>
      </c>
      <c r="H56" s="2">
        <v>1276241</v>
      </c>
      <c r="I56" s="2" t="s">
        <v>13</v>
      </c>
    </row>
    <row r="57" spans="1:9" ht="15" customHeight="1" x14ac:dyDescent="0.3">
      <c r="A57" s="2">
        <v>6164827</v>
      </c>
      <c r="B57" s="2" t="s">
        <v>9</v>
      </c>
      <c r="C57" s="2" t="s">
        <v>659</v>
      </c>
      <c r="D57" s="3">
        <v>45657</v>
      </c>
      <c r="E57" s="3">
        <v>45657</v>
      </c>
      <c r="F57" s="4" t="s">
        <v>109</v>
      </c>
      <c r="G57" s="2" t="s">
        <v>110</v>
      </c>
      <c r="H57" s="2">
        <v>48438094</v>
      </c>
      <c r="I57" s="2" t="s">
        <v>13</v>
      </c>
    </row>
    <row r="58" spans="1:9" ht="15" customHeight="1" x14ac:dyDescent="0.3">
      <c r="A58" s="2">
        <v>6164828</v>
      </c>
      <c r="B58" s="2" t="s">
        <v>9</v>
      </c>
      <c r="C58" s="2" t="s">
        <v>659</v>
      </c>
      <c r="D58" s="3">
        <v>45657</v>
      </c>
      <c r="E58" s="3">
        <v>45657</v>
      </c>
      <c r="F58" s="4" t="s">
        <v>111</v>
      </c>
      <c r="G58" s="2" t="s">
        <v>62</v>
      </c>
      <c r="H58" s="2">
        <v>2879312</v>
      </c>
      <c r="I58" s="2" t="s">
        <v>13</v>
      </c>
    </row>
    <row r="59" spans="1:9" ht="15" customHeight="1" x14ac:dyDescent="0.3">
      <c r="A59" s="2">
        <v>6164829</v>
      </c>
      <c r="B59" s="2" t="s">
        <v>9</v>
      </c>
      <c r="C59" s="2" t="s">
        <v>659</v>
      </c>
      <c r="D59" s="3">
        <v>45657</v>
      </c>
      <c r="E59" s="3">
        <v>45657</v>
      </c>
      <c r="F59" s="4" t="s">
        <v>112</v>
      </c>
      <c r="G59" s="2" t="s">
        <v>113</v>
      </c>
      <c r="H59" s="2">
        <v>64704638</v>
      </c>
      <c r="I59" s="2" t="s">
        <v>13</v>
      </c>
    </row>
    <row r="60" spans="1:9" ht="15" customHeight="1" x14ac:dyDescent="0.3">
      <c r="A60" s="2">
        <v>6164830</v>
      </c>
      <c r="B60" s="2" t="s">
        <v>9</v>
      </c>
      <c r="C60" s="2" t="s">
        <v>659</v>
      </c>
      <c r="D60" s="3">
        <v>45657</v>
      </c>
      <c r="E60" s="3">
        <v>45657</v>
      </c>
      <c r="F60" s="4" t="s">
        <v>114</v>
      </c>
      <c r="G60" s="2" t="s">
        <v>115</v>
      </c>
      <c r="H60" s="2">
        <v>0</v>
      </c>
      <c r="I60" s="2" t="s">
        <v>13</v>
      </c>
    </row>
    <row r="61" spans="1:9" ht="15" customHeight="1" x14ac:dyDescent="0.3">
      <c r="A61" s="2">
        <v>6164831</v>
      </c>
      <c r="B61" s="2" t="s">
        <v>9</v>
      </c>
      <c r="C61" s="2" t="s">
        <v>659</v>
      </c>
      <c r="D61" s="3">
        <v>45657</v>
      </c>
      <c r="E61" s="3">
        <v>45657</v>
      </c>
      <c r="F61" s="4" t="s">
        <v>116</v>
      </c>
      <c r="G61" s="2" t="s">
        <v>117</v>
      </c>
      <c r="H61" s="2">
        <v>0</v>
      </c>
      <c r="I61" s="2" t="s">
        <v>13</v>
      </c>
    </row>
    <row r="62" spans="1:9" ht="15" customHeight="1" x14ac:dyDescent="0.3">
      <c r="A62" s="2">
        <v>6164832</v>
      </c>
      <c r="B62" s="2" t="s">
        <v>9</v>
      </c>
      <c r="C62" s="2" t="s">
        <v>659</v>
      </c>
      <c r="D62" s="3">
        <v>45657</v>
      </c>
      <c r="E62" s="3">
        <v>45657</v>
      </c>
      <c r="F62" s="4" t="s">
        <v>118</v>
      </c>
      <c r="G62" s="2" t="s">
        <v>119</v>
      </c>
      <c r="H62" s="2">
        <v>0</v>
      </c>
      <c r="I62" s="2" t="s">
        <v>13</v>
      </c>
    </row>
    <row r="63" spans="1:9" ht="15" customHeight="1" x14ac:dyDescent="0.3">
      <c r="A63" s="2">
        <v>6164833</v>
      </c>
      <c r="B63" s="2" t="s">
        <v>9</v>
      </c>
      <c r="C63" s="2" t="s">
        <v>659</v>
      </c>
      <c r="D63" s="3">
        <v>45657</v>
      </c>
      <c r="E63" s="3">
        <v>45657</v>
      </c>
      <c r="F63" s="4" t="s">
        <v>120</v>
      </c>
      <c r="G63" s="2" t="s">
        <v>121</v>
      </c>
      <c r="H63" s="2">
        <v>0</v>
      </c>
      <c r="I63" s="2" t="s">
        <v>13</v>
      </c>
    </row>
    <row r="64" spans="1:9" ht="15" customHeight="1" x14ac:dyDescent="0.3">
      <c r="A64" s="2">
        <v>6164834</v>
      </c>
      <c r="B64" s="2" t="s">
        <v>9</v>
      </c>
      <c r="C64" s="2" t="s">
        <v>659</v>
      </c>
      <c r="D64" s="3">
        <v>45657</v>
      </c>
      <c r="E64" s="3">
        <v>45657</v>
      </c>
      <c r="F64" s="4" t="s">
        <v>122</v>
      </c>
      <c r="G64" s="2" t="s">
        <v>123</v>
      </c>
      <c r="H64" s="2">
        <v>0</v>
      </c>
      <c r="I64" s="2" t="s">
        <v>13</v>
      </c>
    </row>
    <row r="65" spans="1:9" ht="15" customHeight="1" x14ac:dyDescent="0.3">
      <c r="A65" s="2">
        <v>6164835</v>
      </c>
      <c r="B65" s="2" t="s">
        <v>9</v>
      </c>
      <c r="C65" s="2" t="s">
        <v>659</v>
      </c>
      <c r="D65" s="3">
        <v>45657</v>
      </c>
      <c r="E65" s="3">
        <v>45657</v>
      </c>
      <c r="F65" s="4" t="s">
        <v>124</v>
      </c>
      <c r="G65" s="2" t="s">
        <v>125</v>
      </c>
      <c r="H65" s="2">
        <v>0</v>
      </c>
      <c r="I65" s="2" t="s">
        <v>13</v>
      </c>
    </row>
    <row r="66" spans="1:9" ht="15" customHeight="1" x14ac:dyDescent="0.3">
      <c r="A66" s="2">
        <v>6164836</v>
      </c>
      <c r="B66" s="2" t="s">
        <v>9</v>
      </c>
      <c r="C66" s="2" t="s">
        <v>659</v>
      </c>
      <c r="D66" s="3">
        <v>45657</v>
      </c>
      <c r="E66" s="3">
        <v>45657</v>
      </c>
      <c r="F66" s="4" t="s">
        <v>126</v>
      </c>
      <c r="G66" s="2" t="s">
        <v>127</v>
      </c>
      <c r="H66" s="2">
        <v>853171562</v>
      </c>
      <c r="I66" s="2" t="s">
        <v>13</v>
      </c>
    </row>
    <row r="67" spans="1:9" ht="15" customHeight="1" x14ac:dyDescent="0.3">
      <c r="A67" s="2">
        <v>6164837</v>
      </c>
      <c r="B67" s="2" t="s">
        <v>9</v>
      </c>
      <c r="C67" s="2" t="s">
        <v>659</v>
      </c>
      <c r="D67" s="3">
        <v>45657</v>
      </c>
      <c r="E67" s="3">
        <v>45657</v>
      </c>
      <c r="F67" s="4" t="s">
        <v>128</v>
      </c>
      <c r="G67" s="2" t="s">
        <v>129</v>
      </c>
      <c r="H67" s="2">
        <v>853171562</v>
      </c>
      <c r="I67" s="2" t="s">
        <v>13</v>
      </c>
    </row>
    <row r="68" spans="1:9" ht="15" customHeight="1" x14ac:dyDescent="0.3">
      <c r="A68" s="2">
        <v>6164838</v>
      </c>
      <c r="B68" s="2" t="s">
        <v>9</v>
      </c>
      <c r="C68" s="2" t="s">
        <v>659</v>
      </c>
      <c r="D68" s="3">
        <v>45657</v>
      </c>
      <c r="E68" s="3">
        <v>45657</v>
      </c>
      <c r="F68" s="4" t="s">
        <v>130</v>
      </c>
      <c r="G68" s="2" t="s">
        <v>127</v>
      </c>
      <c r="H68" s="2">
        <v>853171562</v>
      </c>
      <c r="I68" s="2" t="s">
        <v>13</v>
      </c>
    </row>
    <row r="69" spans="1:9" ht="15" customHeight="1" x14ac:dyDescent="0.3">
      <c r="A69" s="2">
        <v>6164839</v>
      </c>
      <c r="B69" s="2" t="s">
        <v>9</v>
      </c>
      <c r="C69" s="2" t="s">
        <v>659</v>
      </c>
      <c r="D69" s="3">
        <v>45657</v>
      </c>
      <c r="E69" s="3">
        <v>45657</v>
      </c>
      <c r="F69" s="4" t="s">
        <v>131</v>
      </c>
      <c r="G69" s="2" t="s">
        <v>132</v>
      </c>
      <c r="H69" s="2">
        <v>0</v>
      </c>
      <c r="I69" s="2" t="s">
        <v>13</v>
      </c>
    </row>
    <row r="70" spans="1:9" ht="15" customHeight="1" x14ac:dyDescent="0.3">
      <c r="A70" s="2">
        <v>6164840</v>
      </c>
      <c r="B70" s="2" t="s">
        <v>9</v>
      </c>
      <c r="C70" s="2" t="s">
        <v>659</v>
      </c>
      <c r="D70" s="3">
        <v>45657</v>
      </c>
      <c r="E70" s="3">
        <v>45657</v>
      </c>
      <c r="F70" s="4" t="s">
        <v>133</v>
      </c>
      <c r="G70" s="2" t="s">
        <v>134</v>
      </c>
      <c r="H70" s="2">
        <v>0</v>
      </c>
      <c r="I70" s="2" t="s">
        <v>13</v>
      </c>
    </row>
    <row r="71" spans="1:9" ht="15" customHeight="1" x14ac:dyDescent="0.3">
      <c r="A71" s="2">
        <v>6164841</v>
      </c>
      <c r="B71" s="2" t="s">
        <v>9</v>
      </c>
      <c r="C71" s="2" t="s">
        <v>659</v>
      </c>
      <c r="D71" s="3">
        <v>45657</v>
      </c>
      <c r="E71" s="3">
        <v>45657</v>
      </c>
      <c r="F71" s="4" t="s">
        <v>135</v>
      </c>
      <c r="G71" s="2" t="s">
        <v>136</v>
      </c>
      <c r="H71" s="2">
        <v>67326039</v>
      </c>
      <c r="I71" s="2" t="s">
        <v>13</v>
      </c>
    </row>
    <row r="72" spans="1:9" ht="15" customHeight="1" x14ac:dyDescent="0.3">
      <c r="A72" s="2">
        <v>6164842</v>
      </c>
      <c r="B72" s="2" t="s">
        <v>9</v>
      </c>
      <c r="C72" s="2" t="s">
        <v>659</v>
      </c>
      <c r="D72" s="3">
        <v>45657</v>
      </c>
      <c r="E72" s="3">
        <v>45657</v>
      </c>
      <c r="F72" s="4" t="s">
        <v>137</v>
      </c>
      <c r="G72" s="2" t="s">
        <v>138</v>
      </c>
      <c r="H72" s="2">
        <v>67326039</v>
      </c>
      <c r="I72" s="2" t="s">
        <v>13</v>
      </c>
    </row>
    <row r="73" spans="1:9" ht="15" customHeight="1" x14ac:dyDescent="0.3">
      <c r="A73" s="2">
        <v>6164843</v>
      </c>
      <c r="B73" s="2" t="s">
        <v>9</v>
      </c>
      <c r="C73" s="2" t="s">
        <v>659</v>
      </c>
      <c r="D73" s="3">
        <v>45657</v>
      </c>
      <c r="E73" s="3">
        <v>45657</v>
      </c>
      <c r="F73" s="4" t="s">
        <v>139</v>
      </c>
      <c r="G73" s="2" t="s">
        <v>140</v>
      </c>
      <c r="H73" s="2">
        <v>0</v>
      </c>
      <c r="I73" s="2" t="s">
        <v>13</v>
      </c>
    </row>
    <row r="74" spans="1:9" ht="15" customHeight="1" x14ac:dyDescent="0.3">
      <c r="A74" s="2">
        <v>6164844</v>
      </c>
      <c r="B74" s="2" t="s">
        <v>9</v>
      </c>
      <c r="C74" s="2" t="s">
        <v>659</v>
      </c>
      <c r="D74" s="3">
        <v>45657</v>
      </c>
      <c r="E74" s="3">
        <v>45657</v>
      </c>
      <c r="F74" s="4" t="s">
        <v>141</v>
      </c>
      <c r="G74" s="2" t="s">
        <v>136</v>
      </c>
      <c r="H74" s="2">
        <v>67326039</v>
      </c>
      <c r="I74" s="2" t="s">
        <v>13</v>
      </c>
    </row>
    <row r="75" spans="1:9" ht="15" customHeight="1" x14ac:dyDescent="0.3">
      <c r="A75" s="2">
        <v>6164845</v>
      </c>
      <c r="B75" s="2" t="s">
        <v>9</v>
      </c>
      <c r="C75" s="2" t="s">
        <v>659</v>
      </c>
      <c r="D75" s="3">
        <v>45657</v>
      </c>
      <c r="E75" s="3">
        <v>45657</v>
      </c>
      <c r="F75" s="4" t="s">
        <v>142</v>
      </c>
      <c r="G75" s="2" t="s">
        <v>143</v>
      </c>
      <c r="H75" s="2">
        <v>0</v>
      </c>
      <c r="I75" s="2" t="s">
        <v>13</v>
      </c>
    </row>
    <row r="76" spans="1:9" ht="15" customHeight="1" x14ac:dyDescent="0.3">
      <c r="A76" s="2">
        <v>6164846</v>
      </c>
      <c r="B76" s="2" t="s">
        <v>9</v>
      </c>
      <c r="C76" s="2" t="s">
        <v>659</v>
      </c>
      <c r="D76" s="3">
        <v>45657</v>
      </c>
      <c r="E76" s="3">
        <v>45657</v>
      </c>
      <c r="F76" s="4" t="s">
        <v>144</v>
      </c>
      <c r="G76" s="2" t="s">
        <v>145</v>
      </c>
      <c r="H76" s="2">
        <v>4273730310</v>
      </c>
      <c r="I76" s="2" t="s">
        <v>13</v>
      </c>
    </row>
    <row r="77" spans="1:9" ht="15" customHeight="1" x14ac:dyDescent="0.3">
      <c r="A77" s="5">
        <v>6164847</v>
      </c>
      <c r="B77" s="5" t="s">
        <v>9</v>
      </c>
      <c r="C77" s="5" t="s">
        <v>659</v>
      </c>
      <c r="D77" s="6">
        <v>45657</v>
      </c>
      <c r="E77" s="6">
        <v>45657</v>
      </c>
      <c r="F77" s="7" t="s">
        <v>147</v>
      </c>
      <c r="G77" s="5" t="s">
        <v>148</v>
      </c>
      <c r="H77" s="5">
        <v>995685874</v>
      </c>
      <c r="I77" s="5" t="s">
        <v>13</v>
      </c>
    </row>
    <row r="78" spans="1:9" ht="15" customHeight="1" x14ac:dyDescent="0.3">
      <c r="A78" s="2">
        <v>6164848</v>
      </c>
      <c r="B78" s="2" t="s">
        <v>9</v>
      </c>
      <c r="C78" s="2" t="s">
        <v>659</v>
      </c>
      <c r="D78" s="3">
        <v>45657</v>
      </c>
      <c r="E78" s="3">
        <v>45657</v>
      </c>
      <c r="F78" s="4" t="s">
        <v>149</v>
      </c>
      <c r="G78" s="2" t="s">
        <v>150</v>
      </c>
      <c r="H78" s="2">
        <v>125292755</v>
      </c>
      <c r="I78" s="2" t="s">
        <v>13</v>
      </c>
    </row>
    <row r="79" spans="1:9" ht="15" customHeight="1" x14ac:dyDescent="0.3">
      <c r="A79" s="2">
        <v>6164849</v>
      </c>
      <c r="B79" s="2" t="s">
        <v>9</v>
      </c>
      <c r="C79" s="2" t="s">
        <v>659</v>
      </c>
      <c r="D79" s="3">
        <v>45657</v>
      </c>
      <c r="E79" s="3">
        <v>45657</v>
      </c>
      <c r="F79" s="4" t="s">
        <v>151</v>
      </c>
      <c r="G79" s="2" t="s">
        <v>152</v>
      </c>
      <c r="H79" s="2">
        <v>22111365</v>
      </c>
      <c r="I79" s="2" t="s">
        <v>13</v>
      </c>
    </row>
    <row r="80" spans="1:9" ht="15" customHeight="1" x14ac:dyDescent="0.3">
      <c r="A80" s="2">
        <v>6164850</v>
      </c>
      <c r="B80" s="2" t="s">
        <v>9</v>
      </c>
      <c r="C80" s="2" t="s">
        <v>659</v>
      </c>
      <c r="D80" s="3">
        <v>45657</v>
      </c>
      <c r="E80" s="3">
        <v>45657</v>
      </c>
      <c r="F80" s="4" t="s">
        <v>153</v>
      </c>
      <c r="G80" s="2" t="s">
        <v>154</v>
      </c>
      <c r="H80" s="2">
        <v>22111365</v>
      </c>
      <c r="I80" s="2" t="s">
        <v>13</v>
      </c>
    </row>
    <row r="81" spans="1:9" ht="15" customHeight="1" x14ac:dyDescent="0.3">
      <c r="A81" s="2">
        <v>6164851</v>
      </c>
      <c r="B81" s="2" t="s">
        <v>9</v>
      </c>
      <c r="C81" s="2" t="s">
        <v>659</v>
      </c>
      <c r="D81" s="3">
        <v>45657</v>
      </c>
      <c r="E81" s="3">
        <v>45657</v>
      </c>
      <c r="F81" s="4" t="s">
        <v>155</v>
      </c>
      <c r="G81" s="2" t="s">
        <v>156</v>
      </c>
      <c r="H81" s="2">
        <v>103181390</v>
      </c>
      <c r="I81" s="2" t="s">
        <v>13</v>
      </c>
    </row>
    <row r="82" spans="1:9" ht="15" customHeight="1" x14ac:dyDescent="0.3">
      <c r="A82" s="2">
        <v>6164852</v>
      </c>
      <c r="B82" s="2" t="s">
        <v>9</v>
      </c>
      <c r="C82" s="2" t="s">
        <v>659</v>
      </c>
      <c r="D82" s="3">
        <v>45657</v>
      </c>
      <c r="E82" s="3">
        <v>45657</v>
      </c>
      <c r="F82" s="4" t="s">
        <v>157</v>
      </c>
      <c r="G82" s="2" t="s">
        <v>158</v>
      </c>
      <c r="H82" s="2">
        <v>40235582</v>
      </c>
      <c r="I82" s="2" t="s">
        <v>13</v>
      </c>
    </row>
    <row r="83" spans="1:9" ht="15" customHeight="1" x14ac:dyDescent="0.3">
      <c r="A83" s="2">
        <v>6164853</v>
      </c>
      <c r="B83" s="2" t="s">
        <v>9</v>
      </c>
      <c r="C83" s="2" t="s">
        <v>659</v>
      </c>
      <c r="D83" s="3">
        <v>45657</v>
      </c>
      <c r="E83" s="3">
        <v>45657</v>
      </c>
      <c r="F83" s="4" t="s">
        <v>159</v>
      </c>
      <c r="G83" s="2" t="s">
        <v>160</v>
      </c>
      <c r="H83" s="2">
        <v>62945808</v>
      </c>
      <c r="I83" s="2" t="s">
        <v>13</v>
      </c>
    </row>
    <row r="84" spans="1:9" ht="15" customHeight="1" x14ac:dyDescent="0.3">
      <c r="A84" s="2">
        <v>6164854</v>
      </c>
      <c r="B84" s="2" t="s">
        <v>9</v>
      </c>
      <c r="C84" s="2" t="s">
        <v>659</v>
      </c>
      <c r="D84" s="3">
        <v>45657</v>
      </c>
      <c r="E84" s="3">
        <v>45657</v>
      </c>
      <c r="F84" s="4" t="s">
        <v>161</v>
      </c>
      <c r="G84" s="2" t="s">
        <v>162</v>
      </c>
      <c r="H84" s="2">
        <v>372870705</v>
      </c>
      <c r="I84" s="2" t="s">
        <v>13</v>
      </c>
    </row>
    <row r="85" spans="1:9" ht="15" customHeight="1" x14ac:dyDescent="0.3">
      <c r="A85" s="2">
        <v>6164855</v>
      </c>
      <c r="B85" s="2" t="s">
        <v>9</v>
      </c>
      <c r="C85" s="2" t="s">
        <v>659</v>
      </c>
      <c r="D85" s="3">
        <v>45657</v>
      </c>
      <c r="E85" s="3">
        <v>45657</v>
      </c>
      <c r="F85" s="4" t="s">
        <v>163</v>
      </c>
      <c r="G85" s="2" t="s">
        <v>164</v>
      </c>
      <c r="H85" s="2">
        <v>337342386</v>
      </c>
      <c r="I85" s="2" t="s">
        <v>13</v>
      </c>
    </row>
    <row r="86" spans="1:9" ht="15" customHeight="1" x14ac:dyDescent="0.3">
      <c r="A86" s="2">
        <v>6164856</v>
      </c>
      <c r="B86" s="2" t="s">
        <v>9</v>
      </c>
      <c r="C86" s="2" t="s">
        <v>659</v>
      </c>
      <c r="D86" s="3">
        <v>45657</v>
      </c>
      <c r="E86" s="3">
        <v>45657</v>
      </c>
      <c r="F86" s="4" t="s">
        <v>165</v>
      </c>
      <c r="G86" s="2" t="s">
        <v>166</v>
      </c>
      <c r="H86" s="2">
        <v>58125782</v>
      </c>
      <c r="I86" s="2" t="s">
        <v>13</v>
      </c>
    </row>
    <row r="87" spans="1:9" ht="15" customHeight="1" x14ac:dyDescent="0.3">
      <c r="A87" s="2">
        <v>6164857</v>
      </c>
      <c r="B87" s="2" t="s">
        <v>9</v>
      </c>
      <c r="C87" s="2" t="s">
        <v>659</v>
      </c>
      <c r="D87" s="3">
        <v>45657</v>
      </c>
      <c r="E87" s="3">
        <v>45657</v>
      </c>
      <c r="F87" s="4" t="s">
        <v>167</v>
      </c>
      <c r="G87" s="2" t="s">
        <v>168</v>
      </c>
      <c r="H87" s="2">
        <v>214134920</v>
      </c>
      <c r="I87" s="2" t="s">
        <v>13</v>
      </c>
    </row>
    <row r="88" spans="1:9" ht="15" customHeight="1" x14ac:dyDescent="0.3">
      <c r="A88" s="2">
        <v>6164858</v>
      </c>
      <c r="B88" s="2" t="s">
        <v>9</v>
      </c>
      <c r="C88" s="2" t="s">
        <v>659</v>
      </c>
      <c r="D88" s="3">
        <v>45657</v>
      </c>
      <c r="E88" s="3">
        <v>45657</v>
      </c>
      <c r="F88" s="4" t="s">
        <v>169</v>
      </c>
      <c r="G88" s="2" t="s">
        <v>170</v>
      </c>
      <c r="H88" s="2">
        <v>65081684</v>
      </c>
      <c r="I88" s="2" t="s">
        <v>13</v>
      </c>
    </row>
    <row r="89" spans="1:9" ht="15" customHeight="1" x14ac:dyDescent="0.3">
      <c r="A89" s="2">
        <v>6164859</v>
      </c>
      <c r="B89" s="2" t="s">
        <v>9</v>
      </c>
      <c r="C89" s="2" t="s">
        <v>659</v>
      </c>
      <c r="D89" s="3">
        <v>45657</v>
      </c>
      <c r="E89" s="3">
        <v>45657</v>
      </c>
      <c r="F89" s="4" t="s">
        <v>171</v>
      </c>
      <c r="G89" s="2" t="s">
        <v>172</v>
      </c>
      <c r="H89" s="2">
        <v>35528319</v>
      </c>
      <c r="I89" s="2" t="s">
        <v>13</v>
      </c>
    </row>
    <row r="90" spans="1:9" ht="15" customHeight="1" x14ac:dyDescent="0.3">
      <c r="A90" s="2">
        <v>6164860</v>
      </c>
      <c r="B90" s="2" t="s">
        <v>9</v>
      </c>
      <c r="C90" s="2" t="s">
        <v>659</v>
      </c>
      <c r="D90" s="3">
        <v>45657</v>
      </c>
      <c r="E90" s="3">
        <v>45657</v>
      </c>
      <c r="F90" s="4" t="s">
        <v>173</v>
      </c>
      <c r="G90" s="2" t="s">
        <v>174</v>
      </c>
      <c r="H90" s="2">
        <v>35528319</v>
      </c>
      <c r="I90" s="2" t="s">
        <v>13</v>
      </c>
    </row>
    <row r="91" spans="1:9" ht="15" customHeight="1" x14ac:dyDescent="0.3">
      <c r="A91" s="2">
        <v>6164861</v>
      </c>
      <c r="B91" s="2" t="s">
        <v>9</v>
      </c>
      <c r="C91" s="2" t="s">
        <v>659</v>
      </c>
      <c r="D91" s="3">
        <v>45657</v>
      </c>
      <c r="E91" s="3">
        <v>45657</v>
      </c>
      <c r="F91" s="4" t="s">
        <v>175</v>
      </c>
      <c r="G91" s="2" t="s">
        <v>176</v>
      </c>
      <c r="H91" s="2">
        <v>106981058</v>
      </c>
      <c r="I91" s="2" t="s">
        <v>13</v>
      </c>
    </row>
    <row r="92" spans="1:9" ht="15" customHeight="1" x14ac:dyDescent="0.3">
      <c r="A92" s="2">
        <v>6164862</v>
      </c>
      <c r="B92" s="2" t="s">
        <v>9</v>
      </c>
      <c r="C92" s="2" t="s">
        <v>659</v>
      </c>
      <c r="D92" s="3">
        <v>45657</v>
      </c>
      <c r="E92" s="3">
        <v>45657</v>
      </c>
      <c r="F92" s="4" t="s">
        <v>177</v>
      </c>
      <c r="G92" s="2" t="s">
        <v>178</v>
      </c>
      <c r="H92" s="2">
        <v>67942591</v>
      </c>
      <c r="I92" s="2" t="s">
        <v>13</v>
      </c>
    </row>
    <row r="93" spans="1:9" ht="15" customHeight="1" x14ac:dyDescent="0.3">
      <c r="A93" s="2">
        <v>6164863</v>
      </c>
      <c r="B93" s="2" t="s">
        <v>9</v>
      </c>
      <c r="C93" s="2" t="s">
        <v>659</v>
      </c>
      <c r="D93" s="3">
        <v>45657</v>
      </c>
      <c r="E93" s="3">
        <v>45657</v>
      </c>
      <c r="F93" s="4" t="s">
        <v>179</v>
      </c>
      <c r="G93" s="2" t="s">
        <v>180</v>
      </c>
      <c r="H93" s="2">
        <v>43253924</v>
      </c>
      <c r="I93" s="2" t="s">
        <v>13</v>
      </c>
    </row>
    <row r="94" spans="1:9" ht="15" customHeight="1" x14ac:dyDescent="0.3">
      <c r="A94" s="2">
        <v>6164864</v>
      </c>
      <c r="B94" s="2" t="s">
        <v>9</v>
      </c>
      <c r="C94" s="2" t="s">
        <v>659</v>
      </c>
      <c r="D94" s="3">
        <v>45657</v>
      </c>
      <c r="E94" s="3">
        <v>45657</v>
      </c>
      <c r="F94" s="4" t="s">
        <v>181</v>
      </c>
      <c r="G94" s="2" t="s">
        <v>182</v>
      </c>
      <c r="H94" s="2">
        <v>23536106</v>
      </c>
      <c r="I94" s="2" t="s">
        <v>13</v>
      </c>
    </row>
    <row r="95" spans="1:9" ht="15" customHeight="1" x14ac:dyDescent="0.3">
      <c r="A95" s="2">
        <v>6164865</v>
      </c>
      <c r="B95" s="2" t="s">
        <v>9</v>
      </c>
      <c r="C95" s="2" t="s">
        <v>659</v>
      </c>
      <c r="D95" s="3">
        <v>45657</v>
      </c>
      <c r="E95" s="3">
        <v>45657</v>
      </c>
      <c r="F95" s="4" t="s">
        <v>183</v>
      </c>
      <c r="G95" s="2" t="s">
        <v>184</v>
      </c>
      <c r="H95" s="2">
        <v>619725</v>
      </c>
      <c r="I95" s="2" t="s">
        <v>13</v>
      </c>
    </row>
    <row r="96" spans="1:9" ht="15" customHeight="1" x14ac:dyDescent="0.3">
      <c r="A96" s="2">
        <v>6164866</v>
      </c>
      <c r="B96" s="2" t="s">
        <v>9</v>
      </c>
      <c r="C96" s="2" t="s">
        <v>659</v>
      </c>
      <c r="D96" s="3">
        <v>45657</v>
      </c>
      <c r="E96" s="3">
        <v>45657</v>
      </c>
      <c r="F96" s="4" t="s">
        <v>185</v>
      </c>
      <c r="G96" s="2" t="s">
        <v>186</v>
      </c>
      <c r="H96" s="2">
        <v>466051</v>
      </c>
      <c r="I96" s="2" t="s">
        <v>13</v>
      </c>
    </row>
    <row r="97" spans="1:9" ht="15" customHeight="1" x14ac:dyDescent="0.3">
      <c r="A97" s="2">
        <v>6164867</v>
      </c>
      <c r="B97" s="2" t="s">
        <v>9</v>
      </c>
      <c r="C97" s="2" t="s">
        <v>659</v>
      </c>
      <c r="D97" s="3">
        <v>45657</v>
      </c>
      <c r="E97" s="3">
        <v>45657</v>
      </c>
      <c r="F97" s="4" t="s">
        <v>187</v>
      </c>
      <c r="G97" s="2" t="s">
        <v>188</v>
      </c>
      <c r="H97" s="2">
        <v>66785</v>
      </c>
      <c r="I97" s="2" t="s">
        <v>13</v>
      </c>
    </row>
    <row r="98" spans="1:9" ht="15" customHeight="1" x14ac:dyDescent="0.3">
      <c r="A98" s="2">
        <v>6164868</v>
      </c>
      <c r="B98" s="2" t="s">
        <v>9</v>
      </c>
      <c r="C98" s="2" t="s">
        <v>659</v>
      </c>
      <c r="D98" s="3">
        <v>45657</v>
      </c>
      <c r="E98" s="3">
        <v>45657</v>
      </c>
      <c r="F98" s="4" t="s">
        <v>189</v>
      </c>
      <c r="G98" s="2" t="s">
        <v>190</v>
      </c>
      <c r="H98" s="2">
        <v>38083902</v>
      </c>
      <c r="I98" s="2" t="s">
        <v>13</v>
      </c>
    </row>
    <row r="99" spans="1:9" ht="15" customHeight="1" x14ac:dyDescent="0.3">
      <c r="A99" s="2">
        <v>6164869</v>
      </c>
      <c r="B99" s="2" t="s">
        <v>9</v>
      </c>
      <c r="C99" s="2" t="s">
        <v>659</v>
      </c>
      <c r="D99" s="3">
        <v>45657</v>
      </c>
      <c r="E99" s="3">
        <v>45657</v>
      </c>
      <c r="F99" s="4" t="s">
        <v>191</v>
      </c>
      <c r="G99" s="2" t="s">
        <v>192</v>
      </c>
      <c r="H99" s="2">
        <v>34789465</v>
      </c>
      <c r="I99" s="2" t="s">
        <v>13</v>
      </c>
    </row>
    <row r="100" spans="1:9" ht="15" customHeight="1" x14ac:dyDescent="0.3">
      <c r="A100" s="2">
        <v>6164870</v>
      </c>
      <c r="B100" s="2" t="s">
        <v>9</v>
      </c>
      <c r="C100" s="2" t="s">
        <v>659</v>
      </c>
      <c r="D100" s="3">
        <v>45657</v>
      </c>
      <c r="E100" s="3">
        <v>45657</v>
      </c>
      <c r="F100" s="4" t="s">
        <v>193</v>
      </c>
      <c r="G100" s="2" t="s">
        <v>188</v>
      </c>
      <c r="H100" s="2">
        <v>0</v>
      </c>
      <c r="I100" s="2" t="s">
        <v>13</v>
      </c>
    </row>
    <row r="101" spans="1:9" ht="15" customHeight="1" x14ac:dyDescent="0.3">
      <c r="A101" s="2">
        <v>6164871</v>
      </c>
      <c r="B101" s="2" t="s">
        <v>9</v>
      </c>
      <c r="C101" s="2" t="s">
        <v>659</v>
      </c>
      <c r="D101" s="3">
        <v>45657</v>
      </c>
      <c r="E101" s="3">
        <v>45657</v>
      </c>
      <c r="F101" s="4" t="s">
        <v>194</v>
      </c>
      <c r="G101" s="2" t="s">
        <v>195</v>
      </c>
      <c r="H101" s="2">
        <v>3294437</v>
      </c>
      <c r="I101" s="2" t="s">
        <v>13</v>
      </c>
    </row>
    <row r="102" spans="1:9" ht="15" customHeight="1" x14ac:dyDescent="0.3">
      <c r="A102" s="2">
        <v>6164872</v>
      </c>
      <c r="B102" s="2" t="s">
        <v>9</v>
      </c>
      <c r="C102" s="2" t="s">
        <v>659</v>
      </c>
      <c r="D102" s="3">
        <v>45657</v>
      </c>
      <c r="E102" s="3">
        <v>45657</v>
      </c>
      <c r="F102" s="4" t="s">
        <v>196</v>
      </c>
      <c r="G102" s="2" t="s">
        <v>197</v>
      </c>
      <c r="H102" s="2">
        <v>954565</v>
      </c>
      <c r="I102" s="2" t="s">
        <v>13</v>
      </c>
    </row>
    <row r="103" spans="1:9" ht="15" customHeight="1" x14ac:dyDescent="0.3">
      <c r="A103" s="2">
        <v>6164873</v>
      </c>
      <c r="B103" s="2" t="s">
        <v>9</v>
      </c>
      <c r="C103" s="2" t="s">
        <v>659</v>
      </c>
      <c r="D103" s="3">
        <v>45657</v>
      </c>
      <c r="E103" s="3">
        <v>45657</v>
      </c>
      <c r="F103" s="4" t="s">
        <v>198</v>
      </c>
      <c r="G103" s="2" t="s">
        <v>199</v>
      </c>
      <c r="H103" s="2">
        <v>17148</v>
      </c>
      <c r="I103" s="2" t="s">
        <v>13</v>
      </c>
    </row>
    <row r="104" spans="1:9" ht="15" customHeight="1" x14ac:dyDescent="0.3">
      <c r="A104" s="2">
        <v>6164874</v>
      </c>
      <c r="B104" s="2" t="s">
        <v>9</v>
      </c>
      <c r="C104" s="2" t="s">
        <v>659</v>
      </c>
      <c r="D104" s="3">
        <v>45657</v>
      </c>
      <c r="E104" s="3">
        <v>45657</v>
      </c>
      <c r="F104" s="4" t="s">
        <v>200</v>
      </c>
      <c r="G104" s="2" t="s">
        <v>201</v>
      </c>
      <c r="H104" s="2">
        <v>937417</v>
      </c>
      <c r="I104" s="2" t="s">
        <v>13</v>
      </c>
    </row>
    <row r="105" spans="1:9" ht="15" customHeight="1" x14ac:dyDescent="0.3">
      <c r="A105" s="2">
        <v>6164875</v>
      </c>
      <c r="B105" s="2" t="s">
        <v>9</v>
      </c>
      <c r="C105" s="2" t="s">
        <v>659</v>
      </c>
      <c r="D105" s="3">
        <v>45657</v>
      </c>
      <c r="E105" s="3">
        <v>45657</v>
      </c>
      <c r="F105" s="4" t="s">
        <v>202</v>
      </c>
      <c r="G105" s="2" t="s">
        <v>203</v>
      </c>
      <c r="H105" s="2">
        <v>113369653</v>
      </c>
      <c r="I105" s="2" t="s">
        <v>13</v>
      </c>
    </row>
    <row r="106" spans="1:9" ht="15" customHeight="1" x14ac:dyDescent="0.3">
      <c r="A106" s="2">
        <v>6164876</v>
      </c>
      <c r="B106" s="2" t="s">
        <v>9</v>
      </c>
      <c r="C106" s="2" t="s">
        <v>659</v>
      </c>
      <c r="D106" s="3">
        <v>45657</v>
      </c>
      <c r="E106" s="3">
        <v>45657</v>
      </c>
      <c r="F106" s="4" t="s">
        <v>204</v>
      </c>
      <c r="G106" s="2" t="s">
        <v>203</v>
      </c>
      <c r="H106" s="2">
        <v>113369653</v>
      </c>
      <c r="I106" s="2" t="s">
        <v>13</v>
      </c>
    </row>
    <row r="107" spans="1:9" ht="15" customHeight="1" x14ac:dyDescent="0.3">
      <c r="A107" s="2">
        <v>6164877</v>
      </c>
      <c r="B107" s="2" t="s">
        <v>9</v>
      </c>
      <c r="C107" s="2" t="s">
        <v>659</v>
      </c>
      <c r="D107" s="3">
        <v>45657</v>
      </c>
      <c r="E107" s="3">
        <v>45657</v>
      </c>
      <c r="F107" s="4" t="s">
        <v>205</v>
      </c>
      <c r="G107" s="2" t="s">
        <v>206</v>
      </c>
      <c r="H107" s="2">
        <v>112583679</v>
      </c>
      <c r="I107" s="2" t="s">
        <v>13</v>
      </c>
    </row>
    <row r="108" spans="1:9" ht="15" customHeight="1" x14ac:dyDescent="0.3">
      <c r="A108" s="2">
        <v>6164878</v>
      </c>
      <c r="B108" s="2" t="s">
        <v>9</v>
      </c>
      <c r="C108" s="2" t="s">
        <v>659</v>
      </c>
      <c r="D108" s="3">
        <v>45657</v>
      </c>
      <c r="E108" s="3">
        <v>45657</v>
      </c>
      <c r="F108" s="4" t="s">
        <v>207</v>
      </c>
      <c r="G108" s="2" t="s">
        <v>208</v>
      </c>
      <c r="H108" s="2">
        <v>785974</v>
      </c>
      <c r="I108" s="2" t="s">
        <v>13</v>
      </c>
    </row>
    <row r="109" spans="1:9" ht="15" customHeight="1" x14ac:dyDescent="0.3">
      <c r="A109" s="2">
        <v>6164879</v>
      </c>
      <c r="B109" s="2" t="s">
        <v>9</v>
      </c>
      <c r="C109" s="2" t="s">
        <v>659</v>
      </c>
      <c r="D109" s="3">
        <v>45657</v>
      </c>
      <c r="E109" s="3">
        <v>45657</v>
      </c>
      <c r="F109" s="4" t="s">
        <v>209</v>
      </c>
      <c r="G109" s="2" t="s">
        <v>210</v>
      </c>
      <c r="H109" s="2">
        <v>0</v>
      </c>
      <c r="I109" s="2" t="s">
        <v>13</v>
      </c>
    </row>
    <row r="110" spans="1:9" ht="15" customHeight="1" x14ac:dyDescent="0.3">
      <c r="A110" s="2">
        <v>6164880</v>
      </c>
      <c r="B110" s="2" t="s">
        <v>9</v>
      </c>
      <c r="C110" s="2" t="s">
        <v>659</v>
      </c>
      <c r="D110" s="3">
        <v>45657</v>
      </c>
      <c r="E110" s="3">
        <v>45657</v>
      </c>
      <c r="F110" s="4" t="s">
        <v>211</v>
      </c>
      <c r="G110" s="2" t="s">
        <v>212</v>
      </c>
      <c r="H110" s="2">
        <v>0</v>
      </c>
      <c r="I110" s="2" t="s">
        <v>13</v>
      </c>
    </row>
    <row r="111" spans="1:9" ht="15" customHeight="1" x14ac:dyDescent="0.3">
      <c r="A111" s="2">
        <v>6164881</v>
      </c>
      <c r="B111" s="2" t="s">
        <v>9</v>
      </c>
      <c r="C111" s="2" t="s">
        <v>659</v>
      </c>
      <c r="D111" s="3">
        <v>45657</v>
      </c>
      <c r="E111" s="3">
        <v>45657</v>
      </c>
      <c r="F111" s="4" t="s">
        <v>213</v>
      </c>
      <c r="G111" s="2" t="s">
        <v>214</v>
      </c>
      <c r="H111" s="2">
        <v>277171703</v>
      </c>
      <c r="I111" s="2" t="s">
        <v>13</v>
      </c>
    </row>
    <row r="112" spans="1:9" ht="15" customHeight="1" x14ac:dyDescent="0.3">
      <c r="A112" s="2">
        <v>6164882</v>
      </c>
      <c r="B112" s="2" t="s">
        <v>9</v>
      </c>
      <c r="C112" s="2" t="s">
        <v>659</v>
      </c>
      <c r="D112" s="3">
        <v>45657</v>
      </c>
      <c r="E112" s="3">
        <v>45657</v>
      </c>
      <c r="F112" s="4" t="s">
        <v>215</v>
      </c>
      <c r="G112" s="2" t="s">
        <v>216</v>
      </c>
      <c r="H112" s="2">
        <v>0</v>
      </c>
      <c r="I112" s="2" t="s">
        <v>13</v>
      </c>
    </row>
    <row r="113" spans="1:9" ht="15" customHeight="1" x14ac:dyDescent="0.3">
      <c r="A113" s="2">
        <v>6164883</v>
      </c>
      <c r="B113" s="2" t="s">
        <v>9</v>
      </c>
      <c r="C113" s="2" t="s">
        <v>659</v>
      </c>
      <c r="D113" s="3">
        <v>45657</v>
      </c>
      <c r="E113" s="3">
        <v>45657</v>
      </c>
      <c r="F113" s="4" t="s">
        <v>217</v>
      </c>
      <c r="G113" s="2" t="s">
        <v>218</v>
      </c>
      <c r="H113" s="2">
        <v>0</v>
      </c>
      <c r="I113" s="2" t="s">
        <v>13</v>
      </c>
    </row>
    <row r="114" spans="1:9" ht="15" customHeight="1" x14ac:dyDescent="0.3">
      <c r="A114" s="2">
        <v>6164884</v>
      </c>
      <c r="B114" s="2" t="s">
        <v>9</v>
      </c>
      <c r="C114" s="2" t="s">
        <v>659</v>
      </c>
      <c r="D114" s="3">
        <v>45657</v>
      </c>
      <c r="E114" s="3">
        <v>45657</v>
      </c>
      <c r="F114" s="4" t="s">
        <v>219</v>
      </c>
      <c r="G114" s="2" t="s">
        <v>220</v>
      </c>
      <c r="H114" s="2">
        <v>0</v>
      </c>
      <c r="I114" s="2" t="s">
        <v>13</v>
      </c>
    </row>
    <row r="115" spans="1:9" ht="15" customHeight="1" x14ac:dyDescent="0.3">
      <c r="A115" s="2">
        <v>6164885</v>
      </c>
      <c r="B115" s="2" t="s">
        <v>9</v>
      </c>
      <c r="C115" s="2" t="s">
        <v>659</v>
      </c>
      <c r="D115" s="3">
        <v>45657</v>
      </c>
      <c r="E115" s="3">
        <v>45657</v>
      </c>
      <c r="F115" s="4" t="s">
        <v>221</v>
      </c>
      <c r="G115" s="2" t="s">
        <v>222</v>
      </c>
      <c r="H115" s="2">
        <v>0</v>
      </c>
      <c r="I115" s="2" t="s">
        <v>13</v>
      </c>
    </row>
    <row r="116" spans="1:9" ht="15" customHeight="1" x14ac:dyDescent="0.3">
      <c r="A116" s="2">
        <v>6164886</v>
      </c>
      <c r="B116" s="2" t="s">
        <v>9</v>
      </c>
      <c r="C116" s="2" t="s">
        <v>659</v>
      </c>
      <c r="D116" s="3">
        <v>45657</v>
      </c>
      <c r="E116" s="3">
        <v>45657</v>
      </c>
      <c r="F116" s="4" t="s">
        <v>223</v>
      </c>
      <c r="G116" s="2" t="s">
        <v>70</v>
      </c>
      <c r="H116" s="2">
        <v>277171703</v>
      </c>
      <c r="I116" s="2" t="s">
        <v>13</v>
      </c>
    </row>
    <row r="117" spans="1:9" ht="15" customHeight="1" x14ac:dyDescent="0.3">
      <c r="A117" s="2">
        <v>6164887</v>
      </c>
      <c r="B117" s="2" t="s">
        <v>9</v>
      </c>
      <c r="C117" s="2" t="s">
        <v>659</v>
      </c>
      <c r="D117" s="3">
        <v>45657</v>
      </c>
      <c r="E117" s="3">
        <v>45657</v>
      </c>
      <c r="F117" s="4" t="s">
        <v>224</v>
      </c>
      <c r="G117" s="2" t="s">
        <v>225</v>
      </c>
      <c r="H117" s="2">
        <v>155187405</v>
      </c>
      <c r="I117" s="2" t="s">
        <v>13</v>
      </c>
    </row>
    <row r="118" spans="1:9" ht="15" customHeight="1" x14ac:dyDescent="0.3">
      <c r="A118" s="2">
        <v>6164888</v>
      </c>
      <c r="B118" s="2" t="s">
        <v>9</v>
      </c>
      <c r="C118" s="2" t="s">
        <v>659</v>
      </c>
      <c r="D118" s="3">
        <v>45657</v>
      </c>
      <c r="E118" s="3">
        <v>45657</v>
      </c>
      <c r="F118" s="4" t="s">
        <v>226</v>
      </c>
      <c r="G118" s="2" t="s">
        <v>227</v>
      </c>
      <c r="H118" s="2">
        <v>0</v>
      </c>
      <c r="I118" s="2" t="s">
        <v>13</v>
      </c>
    </row>
    <row r="119" spans="1:9" ht="15" customHeight="1" x14ac:dyDescent="0.3">
      <c r="A119" s="2">
        <v>6164889</v>
      </c>
      <c r="B119" s="2" t="s">
        <v>9</v>
      </c>
      <c r="C119" s="2" t="s">
        <v>659</v>
      </c>
      <c r="D119" s="3">
        <v>45657</v>
      </c>
      <c r="E119" s="3">
        <v>45657</v>
      </c>
      <c r="F119" s="4" t="s">
        <v>228</v>
      </c>
      <c r="G119" s="2" t="s">
        <v>229</v>
      </c>
      <c r="H119" s="2">
        <v>0</v>
      </c>
      <c r="I119" s="2" t="s">
        <v>13</v>
      </c>
    </row>
    <row r="120" spans="1:9" ht="15" customHeight="1" x14ac:dyDescent="0.3">
      <c r="A120" s="2">
        <v>6164890</v>
      </c>
      <c r="B120" s="2" t="s">
        <v>9</v>
      </c>
      <c r="C120" s="2" t="s">
        <v>659</v>
      </c>
      <c r="D120" s="3">
        <v>45657</v>
      </c>
      <c r="E120" s="3">
        <v>45657</v>
      </c>
      <c r="F120" s="4" t="s">
        <v>230</v>
      </c>
      <c r="G120" s="2" t="s">
        <v>231</v>
      </c>
      <c r="H120" s="2">
        <v>14933497</v>
      </c>
      <c r="I120" s="2" t="s">
        <v>13</v>
      </c>
    </row>
    <row r="121" spans="1:9" ht="15" customHeight="1" x14ac:dyDescent="0.3">
      <c r="A121" s="2">
        <v>6164891</v>
      </c>
      <c r="B121" s="2" t="s">
        <v>9</v>
      </c>
      <c r="C121" s="2" t="s">
        <v>659</v>
      </c>
      <c r="D121" s="3">
        <v>45657</v>
      </c>
      <c r="E121" s="3">
        <v>45657</v>
      </c>
      <c r="F121" s="4" t="s">
        <v>232</v>
      </c>
      <c r="G121" s="2" t="s">
        <v>233</v>
      </c>
      <c r="H121" s="2">
        <v>88069439</v>
      </c>
      <c r="I121" s="2" t="s">
        <v>13</v>
      </c>
    </row>
    <row r="122" spans="1:9" ht="15" customHeight="1" x14ac:dyDescent="0.3">
      <c r="A122" s="2">
        <v>6164892</v>
      </c>
      <c r="B122" s="2" t="s">
        <v>9</v>
      </c>
      <c r="C122" s="2" t="s">
        <v>659</v>
      </c>
      <c r="D122" s="3">
        <v>45657</v>
      </c>
      <c r="E122" s="3">
        <v>45657</v>
      </c>
      <c r="F122" s="4" t="s">
        <v>234</v>
      </c>
      <c r="G122" s="2" t="s">
        <v>235</v>
      </c>
      <c r="H122" s="2">
        <v>0</v>
      </c>
      <c r="I122" s="2" t="s">
        <v>13</v>
      </c>
    </row>
    <row r="123" spans="1:9" ht="15" customHeight="1" x14ac:dyDescent="0.3">
      <c r="A123" s="2">
        <v>6164893</v>
      </c>
      <c r="B123" s="2" t="s">
        <v>9</v>
      </c>
      <c r="C123" s="2" t="s">
        <v>659</v>
      </c>
      <c r="D123" s="3">
        <v>45657</v>
      </c>
      <c r="E123" s="3">
        <v>45657</v>
      </c>
      <c r="F123" s="4" t="s">
        <v>236</v>
      </c>
      <c r="G123" s="2" t="s">
        <v>188</v>
      </c>
      <c r="H123" s="2">
        <v>0</v>
      </c>
      <c r="I123" s="2" t="s">
        <v>13</v>
      </c>
    </row>
    <row r="124" spans="1:9" ht="15" customHeight="1" x14ac:dyDescent="0.3">
      <c r="A124" s="2">
        <v>6164894</v>
      </c>
      <c r="B124" s="2" t="s">
        <v>9</v>
      </c>
      <c r="C124" s="2" t="s">
        <v>659</v>
      </c>
      <c r="D124" s="3">
        <v>45657</v>
      </c>
      <c r="E124" s="3">
        <v>45657</v>
      </c>
      <c r="F124" s="4" t="s">
        <v>237</v>
      </c>
      <c r="G124" s="2" t="s">
        <v>238</v>
      </c>
      <c r="H124" s="2">
        <v>1813596</v>
      </c>
      <c r="I124" s="2" t="s">
        <v>13</v>
      </c>
    </row>
    <row r="125" spans="1:9" ht="15" customHeight="1" x14ac:dyDescent="0.3">
      <c r="A125" s="2">
        <v>6164895</v>
      </c>
      <c r="B125" s="2" t="s">
        <v>9</v>
      </c>
      <c r="C125" s="2" t="s">
        <v>659</v>
      </c>
      <c r="D125" s="3">
        <v>45657</v>
      </c>
      <c r="E125" s="3">
        <v>45657</v>
      </c>
      <c r="F125" s="4" t="s">
        <v>239</v>
      </c>
      <c r="G125" s="2" t="s">
        <v>170</v>
      </c>
      <c r="H125" s="2">
        <v>0</v>
      </c>
      <c r="I125" s="2" t="s">
        <v>13</v>
      </c>
    </row>
    <row r="126" spans="1:9" ht="15" customHeight="1" x14ac:dyDescent="0.3">
      <c r="A126" s="2">
        <v>6164896</v>
      </c>
      <c r="B126" s="2" t="s">
        <v>9</v>
      </c>
      <c r="C126" s="2" t="s">
        <v>659</v>
      </c>
      <c r="D126" s="3">
        <v>45657</v>
      </c>
      <c r="E126" s="3">
        <v>45657</v>
      </c>
      <c r="F126" s="4" t="s">
        <v>240</v>
      </c>
      <c r="G126" s="2" t="s">
        <v>241</v>
      </c>
      <c r="H126" s="2">
        <v>14990053</v>
      </c>
      <c r="I126" s="2" t="s">
        <v>13</v>
      </c>
    </row>
    <row r="127" spans="1:9" ht="15" customHeight="1" x14ac:dyDescent="0.3">
      <c r="A127" s="2">
        <v>6164897</v>
      </c>
      <c r="B127" s="2" t="s">
        <v>9</v>
      </c>
      <c r="C127" s="2" t="s">
        <v>659</v>
      </c>
      <c r="D127" s="3">
        <v>45657</v>
      </c>
      <c r="E127" s="3">
        <v>45657</v>
      </c>
      <c r="F127" s="4" t="s">
        <v>242</v>
      </c>
      <c r="G127" s="2" t="s">
        <v>243</v>
      </c>
      <c r="H127" s="2">
        <v>2177713</v>
      </c>
      <c r="I127" s="2" t="s">
        <v>13</v>
      </c>
    </row>
    <row r="128" spans="1:9" ht="15" customHeight="1" x14ac:dyDescent="0.3">
      <c r="A128" s="2">
        <v>6164898</v>
      </c>
      <c r="B128" s="2" t="s">
        <v>9</v>
      </c>
      <c r="C128" s="2" t="s">
        <v>659</v>
      </c>
      <c r="D128" s="3">
        <v>45657</v>
      </c>
      <c r="E128" s="3">
        <v>45657</v>
      </c>
      <c r="F128" s="4" t="s">
        <v>244</v>
      </c>
      <c r="G128" s="2" t="s">
        <v>245</v>
      </c>
      <c r="H128" s="2">
        <v>0</v>
      </c>
      <c r="I128" s="2" t="s">
        <v>13</v>
      </c>
    </row>
    <row r="129" spans="1:9" ht="15" customHeight="1" x14ac:dyDescent="0.3">
      <c r="A129" s="2">
        <v>6164899</v>
      </c>
      <c r="B129" s="2" t="s">
        <v>9</v>
      </c>
      <c r="C129" s="2" t="s">
        <v>659</v>
      </c>
      <c r="D129" s="3">
        <v>45657</v>
      </c>
      <c r="E129" s="3">
        <v>45657</v>
      </c>
      <c r="F129" s="4" t="s">
        <v>246</v>
      </c>
      <c r="G129" s="2" t="s">
        <v>247</v>
      </c>
      <c r="H129" s="2">
        <v>0</v>
      </c>
      <c r="I129" s="2" t="s">
        <v>13</v>
      </c>
    </row>
    <row r="130" spans="1:9" ht="15" customHeight="1" x14ac:dyDescent="0.3">
      <c r="A130" s="2">
        <v>6164900</v>
      </c>
      <c r="B130" s="2" t="s">
        <v>9</v>
      </c>
      <c r="C130" s="2" t="s">
        <v>659</v>
      </c>
      <c r="D130" s="3">
        <v>45657</v>
      </c>
      <c r="E130" s="3">
        <v>45657</v>
      </c>
      <c r="F130" s="4" t="s">
        <v>248</v>
      </c>
      <c r="G130" s="2" t="s">
        <v>249</v>
      </c>
      <c r="H130" s="2">
        <v>0</v>
      </c>
      <c r="I130" s="2" t="s">
        <v>13</v>
      </c>
    </row>
    <row r="131" spans="1:9" ht="15" customHeight="1" x14ac:dyDescent="0.3">
      <c r="A131" s="2">
        <v>6164901</v>
      </c>
      <c r="B131" s="2" t="s">
        <v>9</v>
      </c>
      <c r="C131" s="2" t="s">
        <v>659</v>
      </c>
      <c r="D131" s="3">
        <v>45657</v>
      </c>
      <c r="E131" s="3">
        <v>45657</v>
      </c>
      <c r="F131" s="4" t="s">
        <v>250</v>
      </c>
      <c r="G131" s="2" t="s">
        <v>251</v>
      </c>
      <c r="H131" s="2">
        <v>0</v>
      </c>
      <c r="I131" s="2" t="s">
        <v>13</v>
      </c>
    </row>
    <row r="132" spans="1:9" ht="15" customHeight="1" x14ac:dyDescent="0.3">
      <c r="A132" s="2">
        <v>6164902</v>
      </c>
      <c r="B132" s="2" t="s">
        <v>9</v>
      </c>
      <c r="C132" s="2" t="s">
        <v>659</v>
      </c>
      <c r="D132" s="3">
        <v>45657</v>
      </c>
      <c r="E132" s="3">
        <v>45657</v>
      </c>
      <c r="F132" s="4" t="s">
        <v>252</v>
      </c>
      <c r="G132" s="2" t="s">
        <v>253</v>
      </c>
      <c r="H132" s="2">
        <v>0</v>
      </c>
      <c r="I132" s="2" t="s">
        <v>13</v>
      </c>
    </row>
    <row r="133" spans="1:9" ht="15" customHeight="1" x14ac:dyDescent="0.3">
      <c r="A133" s="2">
        <v>6164903</v>
      </c>
      <c r="B133" s="2" t="s">
        <v>9</v>
      </c>
      <c r="C133" s="2" t="s">
        <v>659</v>
      </c>
      <c r="D133" s="3">
        <v>45657</v>
      </c>
      <c r="E133" s="3">
        <v>45657</v>
      </c>
      <c r="F133" s="4" t="s">
        <v>254</v>
      </c>
      <c r="G133" s="2" t="s">
        <v>255</v>
      </c>
      <c r="H133" s="2">
        <v>0</v>
      </c>
      <c r="I133" s="2" t="s">
        <v>13</v>
      </c>
    </row>
    <row r="134" spans="1:9" ht="15" customHeight="1" x14ac:dyDescent="0.3">
      <c r="A134" s="2">
        <v>6164904</v>
      </c>
      <c r="B134" s="2" t="s">
        <v>9</v>
      </c>
      <c r="C134" s="2" t="s">
        <v>659</v>
      </c>
      <c r="D134" s="3">
        <v>45657</v>
      </c>
      <c r="E134" s="3">
        <v>45657</v>
      </c>
      <c r="F134" s="4" t="s">
        <v>256</v>
      </c>
      <c r="G134" s="2" t="s">
        <v>257</v>
      </c>
      <c r="H134" s="2">
        <v>0</v>
      </c>
      <c r="I134" s="2" t="s">
        <v>13</v>
      </c>
    </row>
    <row r="135" spans="1:9" ht="15" customHeight="1" x14ac:dyDescent="0.3">
      <c r="A135" s="2">
        <v>6164905</v>
      </c>
      <c r="B135" s="2" t="s">
        <v>9</v>
      </c>
      <c r="C135" s="2" t="s">
        <v>659</v>
      </c>
      <c r="D135" s="3">
        <v>45657</v>
      </c>
      <c r="E135" s="3">
        <v>45657</v>
      </c>
      <c r="F135" s="4" t="s">
        <v>258</v>
      </c>
      <c r="G135" s="2" t="s">
        <v>259</v>
      </c>
      <c r="H135" s="2">
        <v>0</v>
      </c>
      <c r="I135" s="2" t="s">
        <v>13</v>
      </c>
    </row>
    <row r="136" spans="1:9" ht="15" customHeight="1" x14ac:dyDescent="0.3">
      <c r="A136" s="2">
        <v>6164906</v>
      </c>
      <c r="B136" s="2" t="s">
        <v>9</v>
      </c>
      <c r="C136" s="2" t="s">
        <v>659</v>
      </c>
      <c r="D136" s="3">
        <v>45657</v>
      </c>
      <c r="E136" s="3">
        <v>45657</v>
      </c>
      <c r="F136" s="4" t="s">
        <v>260</v>
      </c>
      <c r="G136" s="2" t="s">
        <v>261</v>
      </c>
      <c r="H136" s="2">
        <v>0</v>
      </c>
      <c r="I136" s="2" t="s">
        <v>13</v>
      </c>
    </row>
    <row r="137" spans="1:9" ht="15" customHeight="1" x14ac:dyDescent="0.3">
      <c r="A137" s="2">
        <v>6164907</v>
      </c>
      <c r="B137" s="2" t="s">
        <v>9</v>
      </c>
      <c r="C137" s="2" t="s">
        <v>659</v>
      </c>
      <c r="D137" s="3">
        <v>45657</v>
      </c>
      <c r="E137" s="3">
        <v>45657</v>
      </c>
      <c r="F137" s="4" t="s">
        <v>262</v>
      </c>
      <c r="G137" s="2" t="s">
        <v>263</v>
      </c>
      <c r="H137" s="2">
        <v>0</v>
      </c>
      <c r="I137" s="2" t="s">
        <v>13</v>
      </c>
    </row>
    <row r="138" spans="1:9" ht="15" customHeight="1" x14ac:dyDescent="0.3">
      <c r="A138" s="2">
        <v>6164908</v>
      </c>
      <c r="B138" s="2" t="s">
        <v>9</v>
      </c>
      <c r="C138" s="2" t="s">
        <v>659</v>
      </c>
      <c r="D138" s="3">
        <v>45657</v>
      </c>
      <c r="E138" s="3">
        <v>45657</v>
      </c>
      <c r="F138" s="4" t="s">
        <v>264</v>
      </c>
      <c r="G138" s="2" t="s">
        <v>265</v>
      </c>
      <c r="H138" s="2">
        <v>0</v>
      </c>
      <c r="I138" s="2" t="s">
        <v>13</v>
      </c>
    </row>
    <row r="139" spans="1:9" ht="15" customHeight="1" x14ac:dyDescent="0.3">
      <c r="A139" s="2">
        <v>6164909</v>
      </c>
      <c r="B139" s="2" t="s">
        <v>9</v>
      </c>
      <c r="C139" s="2" t="s">
        <v>659</v>
      </c>
      <c r="D139" s="3">
        <v>45657</v>
      </c>
      <c r="E139" s="3">
        <v>45657</v>
      </c>
      <c r="F139" s="4" t="s">
        <v>266</v>
      </c>
      <c r="G139" s="2" t="s">
        <v>267</v>
      </c>
      <c r="H139" s="2">
        <v>0</v>
      </c>
      <c r="I139" s="2" t="s">
        <v>13</v>
      </c>
    </row>
    <row r="140" spans="1:9" ht="15" customHeight="1" x14ac:dyDescent="0.3">
      <c r="A140" s="2">
        <v>6164910</v>
      </c>
      <c r="B140" s="2" t="s">
        <v>9</v>
      </c>
      <c r="C140" s="2" t="s">
        <v>659</v>
      </c>
      <c r="D140" s="3">
        <v>45657</v>
      </c>
      <c r="E140" s="3">
        <v>45657</v>
      </c>
      <c r="F140" s="4" t="s">
        <v>268</v>
      </c>
      <c r="G140" s="2" t="s">
        <v>269</v>
      </c>
      <c r="H140" s="2">
        <v>0</v>
      </c>
      <c r="I140" s="2" t="s">
        <v>13</v>
      </c>
    </row>
    <row r="141" spans="1:9" ht="15" customHeight="1" x14ac:dyDescent="0.3">
      <c r="A141" s="2">
        <v>6164911</v>
      </c>
      <c r="B141" s="2" t="s">
        <v>9</v>
      </c>
      <c r="C141" s="2" t="s">
        <v>659</v>
      </c>
      <c r="D141" s="3">
        <v>45657</v>
      </c>
      <c r="E141" s="3">
        <v>45657</v>
      </c>
      <c r="F141" s="4" t="s">
        <v>270</v>
      </c>
      <c r="G141" s="2" t="s">
        <v>271</v>
      </c>
      <c r="H141" s="2">
        <v>781101449</v>
      </c>
      <c r="I141" s="2" t="s">
        <v>13</v>
      </c>
    </row>
    <row r="142" spans="1:9" ht="15" customHeight="1" x14ac:dyDescent="0.3">
      <c r="A142" s="2">
        <v>6164912</v>
      </c>
      <c r="B142" s="2" t="s">
        <v>9</v>
      </c>
      <c r="C142" s="2" t="s">
        <v>659</v>
      </c>
      <c r="D142" s="3">
        <v>45657</v>
      </c>
      <c r="E142" s="3">
        <v>45657</v>
      </c>
      <c r="F142" s="4" t="s">
        <v>272</v>
      </c>
      <c r="G142" s="2" t="s">
        <v>203</v>
      </c>
      <c r="H142" s="2">
        <v>285191051</v>
      </c>
      <c r="I142" s="2" t="s">
        <v>13</v>
      </c>
    </row>
    <row r="143" spans="1:9" ht="15" customHeight="1" x14ac:dyDescent="0.3">
      <c r="A143" s="2">
        <v>6164913</v>
      </c>
      <c r="B143" s="2" t="s">
        <v>9</v>
      </c>
      <c r="C143" s="2" t="s">
        <v>659</v>
      </c>
      <c r="D143" s="3">
        <v>45657</v>
      </c>
      <c r="E143" s="3">
        <v>45657</v>
      </c>
      <c r="F143" s="4" t="s">
        <v>273</v>
      </c>
      <c r="G143" s="2" t="s">
        <v>203</v>
      </c>
      <c r="H143" s="2">
        <v>285191051</v>
      </c>
      <c r="I143" s="2" t="s">
        <v>13</v>
      </c>
    </row>
    <row r="144" spans="1:9" ht="15" customHeight="1" x14ac:dyDescent="0.3">
      <c r="A144" s="2">
        <v>6164914</v>
      </c>
      <c r="B144" s="2" t="s">
        <v>9</v>
      </c>
      <c r="C144" s="2" t="s">
        <v>659</v>
      </c>
      <c r="D144" s="3">
        <v>45657</v>
      </c>
      <c r="E144" s="3">
        <v>45657</v>
      </c>
      <c r="F144" s="4" t="s">
        <v>274</v>
      </c>
      <c r="G144" s="2" t="s">
        <v>206</v>
      </c>
      <c r="H144" s="2">
        <v>40000000</v>
      </c>
      <c r="I144" s="2" t="s">
        <v>13</v>
      </c>
    </row>
    <row r="145" spans="1:9" ht="15" customHeight="1" x14ac:dyDescent="0.3">
      <c r="A145" s="2">
        <v>6164915</v>
      </c>
      <c r="B145" s="2" t="s">
        <v>9</v>
      </c>
      <c r="C145" s="2" t="s">
        <v>659</v>
      </c>
      <c r="D145" s="3">
        <v>45657</v>
      </c>
      <c r="E145" s="3">
        <v>45657</v>
      </c>
      <c r="F145" s="4" t="s">
        <v>275</v>
      </c>
      <c r="G145" s="2" t="s">
        <v>208</v>
      </c>
      <c r="H145" s="2">
        <v>245191051</v>
      </c>
      <c r="I145" s="2" t="s">
        <v>13</v>
      </c>
    </row>
    <row r="146" spans="1:9" ht="15" customHeight="1" x14ac:dyDescent="0.3">
      <c r="A146" s="2">
        <v>6164916</v>
      </c>
      <c r="B146" s="2" t="s">
        <v>9</v>
      </c>
      <c r="C146" s="2" t="s">
        <v>659</v>
      </c>
      <c r="D146" s="3">
        <v>45657</v>
      </c>
      <c r="E146" s="3">
        <v>45657</v>
      </c>
      <c r="F146" s="4" t="s">
        <v>276</v>
      </c>
      <c r="G146" s="2" t="s">
        <v>210</v>
      </c>
      <c r="H146" s="2">
        <v>0</v>
      </c>
      <c r="I146" s="2" t="s">
        <v>13</v>
      </c>
    </row>
    <row r="147" spans="1:9" ht="15" customHeight="1" x14ac:dyDescent="0.3">
      <c r="A147" s="2">
        <v>6164917</v>
      </c>
      <c r="B147" s="2" t="s">
        <v>9</v>
      </c>
      <c r="C147" s="2" t="s">
        <v>659</v>
      </c>
      <c r="D147" s="3">
        <v>45657</v>
      </c>
      <c r="E147" s="3">
        <v>45657</v>
      </c>
      <c r="F147" s="4" t="s">
        <v>277</v>
      </c>
      <c r="G147" s="2" t="s">
        <v>212</v>
      </c>
      <c r="H147" s="2">
        <v>0</v>
      </c>
      <c r="I147" s="2" t="s">
        <v>13</v>
      </c>
    </row>
    <row r="148" spans="1:9" ht="15" customHeight="1" x14ac:dyDescent="0.3">
      <c r="A148" s="2">
        <v>6164918</v>
      </c>
      <c r="B148" s="2" t="s">
        <v>9</v>
      </c>
      <c r="C148" s="2" t="s">
        <v>659</v>
      </c>
      <c r="D148" s="3">
        <v>45657</v>
      </c>
      <c r="E148" s="3">
        <v>45657</v>
      </c>
      <c r="F148" s="4" t="s">
        <v>278</v>
      </c>
      <c r="G148" s="2" t="s">
        <v>214</v>
      </c>
      <c r="H148" s="2">
        <v>477592787</v>
      </c>
      <c r="I148" s="2" t="s">
        <v>13</v>
      </c>
    </row>
    <row r="149" spans="1:9" ht="15" customHeight="1" x14ac:dyDescent="0.3">
      <c r="A149" s="2">
        <v>6164919</v>
      </c>
      <c r="B149" s="2" t="s">
        <v>9</v>
      </c>
      <c r="C149" s="2" t="s">
        <v>659</v>
      </c>
      <c r="D149" s="3">
        <v>45657</v>
      </c>
      <c r="E149" s="3">
        <v>45657</v>
      </c>
      <c r="F149" s="4" t="s">
        <v>279</v>
      </c>
      <c r="G149" s="2" t="s">
        <v>216</v>
      </c>
      <c r="H149" s="2">
        <v>0</v>
      </c>
      <c r="I149" s="2" t="s">
        <v>13</v>
      </c>
    </row>
    <row r="150" spans="1:9" ht="15" customHeight="1" x14ac:dyDescent="0.3">
      <c r="A150" s="2">
        <v>6164920</v>
      </c>
      <c r="B150" s="2" t="s">
        <v>9</v>
      </c>
      <c r="C150" s="2" t="s">
        <v>659</v>
      </c>
      <c r="D150" s="3">
        <v>45657</v>
      </c>
      <c r="E150" s="3">
        <v>45657</v>
      </c>
      <c r="F150" s="4" t="s">
        <v>280</v>
      </c>
      <c r="G150" s="2" t="s">
        <v>218</v>
      </c>
      <c r="H150" s="2">
        <v>0</v>
      </c>
      <c r="I150" s="2" t="s">
        <v>13</v>
      </c>
    </row>
    <row r="151" spans="1:9" ht="15" customHeight="1" x14ac:dyDescent="0.3">
      <c r="A151" s="2">
        <v>6164921</v>
      </c>
      <c r="B151" s="2" t="s">
        <v>9</v>
      </c>
      <c r="C151" s="2" t="s">
        <v>659</v>
      </c>
      <c r="D151" s="3">
        <v>45657</v>
      </c>
      <c r="E151" s="3">
        <v>45657</v>
      </c>
      <c r="F151" s="4" t="s">
        <v>281</v>
      </c>
      <c r="G151" s="2" t="s">
        <v>220</v>
      </c>
      <c r="H151" s="2">
        <v>0</v>
      </c>
      <c r="I151" s="2" t="s">
        <v>13</v>
      </c>
    </row>
    <row r="152" spans="1:9" ht="15" customHeight="1" x14ac:dyDescent="0.3">
      <c r="A152" s="2">
        <v>6164922</v>
      </c>
      <c r="B152" s="2" t="s">
        <v>9</v>
      </c>
      <c r="C152" s="2" t="s">
        <v>659</v>
      </c>
      <c r="D152" s="3">
        <v>45657</v>
      </c>
      <c r="E152" s="3">
        <v>45657</v>
      </c>
      <c r="F152" s="4" t="s">
        <v>282</v>
      </c>
      <c r="G152" s="2" t="s">
        <v>222</v>
      </c>
      <c r="H152" s="2">
        <v>0</v>
      </c>
      <c r="I152" s="2" t="s">
        <v>13</v>
      </c>
    </row>
    <row r="153" spans="1:9" ht="15" customHeight="1" x14ac:dyDescent="0.3">
      <c r="A153" s="2">
        <v>6164923</v>
      </c>
      <c r="B153" s="2" t="s">
        <v>9</v>
      </c>
      <c r="C153" s="2" t="s">
        <v>659</v>
      </c>
      <c r="D153" s="3">
        <v>45657</v>
      </c>
      <c r="E153" s="3">
        <v>45657</v>
      </c>
      <c r="F153" s="4" t="s">
        <v>283</v>
      </c>
      <c r="G153" s="2" t="s">
        <v>70</v>
      </c>
      <c r="H153" s="2">
        <v>477592787</v>
      </c>
      <c r="I153" s="2" t="s">
        <v>13</v>
      </c>
    </row>
    <row r="154" spans="1:9" ht="15" customHeight="1" x14ac:dyDescent="0.3">
      <c r="A154" s="2">
        <v>6164924</v>
      </c>
      <c r="B154" s="2" t="s">
        <v>9</v>
      </c>
      <c r="C154" s="2" t="s">
        <v>659</v>
      </c>
      <c r="D154" s="3">
        <v>45657</v>
      </c>
      <c r="E154" s="3">
        <v>45657</v>
      </c>
      <c r="F154" s="4" t="s">
        <v>284</v>
      </c>
      <c r="G154" s="2" t="s">
        <v>229</v>
      </c>
      <c r="H154" s="2">
        <v>0</v>
      </c>
      <c r="I154" s="2" t="s">
        <v>13</v>
      </c>
    </row>
    <row r="155" spans="1:9" ht="15" customHeight="1" x14ac:dyDescent="0.3">
      <c r="A155" s="2">
        <v>6164925</v>
      </c>
      <c r="B155" s="2" t="s">
        <v>9</v>
      </c>
      <c r="C155" s="2" t="s">
        <v>659</v>
      </c>
      <c r="D155" s="3">
        <v>45657</v>
      </c>
      <c r="E155" s="3">
        <v>45657</v>
      </c>
      <c r="F155" s="4" t="s">
        <v>285</v>
      </c>
      <c r="G155" s="2" t="s">
        <v>286</v>
      </c>
      <c r="H155" s="2">
        <v>0</v>
      </c>
      <c r="I155" s="2" t="s">
        <v>13</v>
      </c>
    </row>
    <row r="156" spans="1:9" ht="15" customHeight="1" x14ac:dyDescent="0.3">
      <c r="A156" s="2">
        <v>6164926</v>
      </c>
      <c r="B156" s="2" t="s">
        <v>9</v>
      </c>
      <c r="C156" s="2" t="s">
        <v>659</v>
      </c>
      <c r="D156" s="3">
        <v>45657</v>
      </c>
      <c r="E156" s="3">
        <v>45657</v>
      </c>
      <c r="F156" s="4" t="s">
        <v>287</v>
      </c>
      <c r="G156" s="2" t="s">
        <v>233</v>
      </c>
      <c r="H156" s="2">
        <v>472130593</v>
      </c>
      <c r="I156" s="2" t="s">
        <v>13</v>
      </c>
    </row>
    <row r="157" spans="1:9" ht="15" customHeight="1" x14ac:dyDescent="0.3">
      <c r="A157" s="2">
        <v>6164927</v>
      </c>
      <c r="B157" s="2" t="s">
        <v>9</v>
      </c>
      <c r="C157" s="2" t="s">
        <v>659</v>
      </c>
      <c r="D157" s="3">
        <v>45657</v>
      </c>
      <c r="E157" s="3">
        <v>45657</v>
      </c>
      <c r="F157" s="4" t="s">
        <v>288</v>
      </c>
      <c r="G157" s="2" t="s">
        <v>235</v>
      </c>
      <c r="H157" s="2">
        <v>0</v>
      </c>
      <c r="I157" s="2" t="s">
        <v>13</v>
      </c>
    </row>
    <row r="158" spans="1:9" ht="15" customHeight="1" x14ac:dyDescent="0.3">
      <c r="A158" s="2">
        <v>6164928</v>
      </c>
      <c r="B158" s="2" t="s">
        <v>9</v>
      </c>
      <c r="C158" s="2" t="s">
        <v>659</v>
      </c>
      <c r="D158" s="3">
        <v>45657</v>
      </c>
      <c r="E158" s="3">
        <v>45657</v>
      </c>
      <c r="F158" s="4" t="s">
        <v>289</v>
      </c>
      <c r="G158" s="2" t="s">
        <v>243</v>
      </c>
      <c r="H158" s="2">
        <v>4650674</v>
      </c>
      <c r="I158" s="2" t="s">
        <v>13</v>
      </c>
    </row>
    <row r="159" spans="1:9" ht="15" customHeight="1" x14ac:dyDescent="0.3">
      <c r="A159" s="2">
        <v>6164929</v>
      </c>
      <c r="B159" s="2" t="s">
        <v>9</v>
      </c>
      <c r="C159" s="2" t="s">
        <v>659</v>
      </c>
      <c r="D159" s="3">
        <v>45657</v>
      </c>
      <c r="E159" s="3">
        <v>45657</v>
      </c>
      <c r="F159" s="4" t="s">
        <v>290</v>
      </c>
      <c r="G159" s="2" t="s">
        <v>188</v>
      </c>
      <c r="H159" s="2">
        <v>150057</v>
      </c>
      <c r="I159" s="2" t="s">
        <v>13</v>
      </c>
    </row>
    <row r="160" spans="1:9" ht="15" customHeight="1" x14ac:dyDescent="0.3">
      <c r="A160" s="2">
        <v>6164930</v>
      </c>
      <c r="B160" s="2" t="s">
        <v>9</v>
      </c>
      <c r="C160" s="2" t="s">
        <v>659</v>
      </c>
      <c r="D160" s="3">
        <v>45657</v>
      </c>
      <c r="E160" s="3">
        <v>45657</v>
      </c>
      <c r="F160" s="4" t="s">
        <v>291</v>
      </c>
      <c r="G160" s="2" t="s">
        <v>238</v>
      </c>
      <c r="H160" s="2">
        <v>661463</v>
      </c>
      <c r="I160" s="2" t="s">
        <v>13</v>
      </c>
    </row>
    <row r="161" spans="1:9" ht="15" customHeight="1" x14ac:dyDescent="0.3">
      <c r="A161" s="2">
        <v>6164931</v>
      </c>
      <c r="B161" s="2" t="s">
        <v>9</v>
      </c>
      <c r="C161" s="2" t="s">
        <v>659</v>
      </c>
      <c r="D161" s="3">
        <v>45657</v>
      </c>
      <c r="E161" s="3">
        <v>45657</v>
      </c>
      <c r="F161" s="4" t="s">
        <v>292</v>
      </c>
      <c r="G161" s="2" t="s">
        <v>293</v>
      </c>
      <c r="H161" s="2">
        <v>0</v>
      </c>
      <c r="I161" s="2" t="s">
        <v>13</v>
      </c>
    </row>
    <row r="162" spans="1:9" ht="15" customHeight="1" x14ac:dyDescent="0.3">
      <c r="A162" s="2">
        <v>6164932</v>
      </c>
      <c r="B162" s="2" t="s">
        <v>9</v>
      </c>
      <c r="C162" s="2" t="s">
        <v>659</v>
      </c>
      <c r="D162" s="3">
        <v>45657</v>
      </c>
      <c r="E162" s="3">
        <v>45657</v>
      </c>
      <c r="F162" s="4" t="s">
        <v>294</v>
      </c>
      <c r="G162" s="2" t="s">
        <v>89</v>
      </c>
      <c r="H162" s="2">
        <v>0</v>
      </c>
      <c r="I162" s="2" t="s">
        <v>13</v>
      </c>
    </row>
    <row r="163" spans="1:9" ht="15" customHeight="1" x14ac:dyDescent="0.3">
      <c r="A163" s="2">
        <v>6164933</v>
      </c>
      <c r="B163" s="2" t="s">
        <v>9</v>
      </c>
      <c r="C163" s="2" t="s">
        <v>659</v>
      </c>
      <c r="D163" s="3">
        <v>45657</v>
      </c>
      <c r="E163" s="3">
        <v>45657</v>
      </c>
      <c r="F163" s="4" t="s">
        <v>295</v>
      </c>
      <c r="G163" s="2" t="s">
        <v>91</v>
      </c>
      <c r="H163" s="2">
        <v>0</v>
      </c>
      <c r="I163" s="2" t="s">
        <v>13</v>
      </c>
    </row>
    <row r="164" spans="1:9" ht="15" customHeight="1" x14ac:dyDescent="0.3">
      <c r="A164" s="2">
        <v>6164934</v>
      </c>
      <c r="B164" s="2" t="s">
        <v>9</v>
      </c>
      <c r="C164" s="2" t="s">
        <v>659</v>
      </c>
      <c r="D164" s="3">
        <v>45657</v>
      </c>
      <c r="E164" s="3">
        <v>45657</v>
      </c>
      <c r="F164" s="4" t="s">
        <v>296</v>
      </c>
      <c r="G164" s="2" t="s">
        <v>245</v>
      </c>
      <c r="H164" s="2">
        <v>18317611</v>
      </c>
      <c r="I164" s="2" t="s">
        <v>13</v>
      </c>
    </row>
    <row r="165" spans="1:9" ht="15" customHeight="1" x14ac:dyDescent="0.3">
      <c r="A165" s="2">
        <v>6164935</v>
      </c>
      <c r="B165" s="2" t="s">
        <v>9</v>
      </c>
      <c r="C165" s="2" t="s">
        <v>659</v>
      </c>
      <c r="D165" s="3">
        <v>45657</v>
      </c>
      <c r="E165" s="3">
        <v>45657</v>
      </c>
      <c r="F165" s="4" t="s">
        <v>297</v>
      </c>
      <c r="G165" s="2" t="s">
        <v>247</v>
      </c>
      <c r="H165" s="2">
        <v>18317611</v>
      </c>
      <c r="I165" s="2" t="s">
        <v>13</v>
      </c>
    </row>
    <row r="166" spans="1:9" ht="15" customHeight="1" x14ac:dyDescent="0.3">
      <c r="A166" s="2">
        <v>6164936</v>
      </c>
      <c r="B166" s="2" t="s">
        <v>9</v>
      </c>
      <c r="C166" s="2" t="s">
        <v>659</v>
      </c>
      <c r="D166" s="3">
        <v>45657</v>
      </c>
      <c r="E166" s="3">
        <v>45657</v>
      </c>
      <c r="F166" s="4" t="s">
        <v>298</v>
      </c>
      <c r="G166" s="2" t="s">
        <v>249</v>
      </c>
      <c r="H166" s="2">
        <v>4754169</v>
      </c>
      <c r="I166" s="2" t="s">
        <v>13</v>
      </c>
    </row>
    <row r="167" spans="1:9" ht="15" customHeight="1" x14ac:dyDescent="0.3">
      <c r="A167" s="2">
        <v>6164937</v>
      </c>
      <c r="B167" s="2" t="s">
        <v>9</v>
      </c>
      <c r="C167" s="2" t="s">
        <v>659</v>
      </c>
      <c r="D167" s="3">
        <v>45657</v>
      </c>
      <c r="E167" s="3">
        <v>45657</v>
      </c>
      <c r="F167" s="4" t="s">
        <v>299</v>
      </c>
      <c r="G167" s="2" t="s">
        <v>251</v>
      </c>
      <c r="H167" s="2">
        <v>8772179</v>
      </c>
      <c r="I167" s="2" t="s">
        <v>13</v>
      </c>
    </row>
    <row r="168" spans="1:9" ht="15" customHeight="1" x14ac:dyDescent="0.3">
      <c r="A168" s="2">
        <v>6164938</v>
      </c>
      <c r="B168" s="2" t="s">
        <v>9</v>
      </c>
      <c r="C168" s="2" t="s">
        <v>659</v>
      </c>
      <c r="D168" s="3">
        <v>45657</v>
      </c>
      <c r="E168" s="3">
        <v>45657</v>
      </c>
      <c r="F168" s="4" t="s">
        <v>300</v>
      </c>
      <c r="G168" s="2" t="s">
        <v>253</v>
      </c>
      <c r="H168" s="2">
        <v>0</v>
      </c>
      <c r="I168" s="2" t="s">
        <v>13</v>
      </c>
    </row>
    <row r="169" spans="1:9" ht="15" customHeight="1" x14ac:dyDescent="0.3">
      <c r="A169" s="2">
        <v>6164939</v>
      </c>
      <c r="B169" s="2" t="s">
        <v>9</v>
      </c>
      <c r="C169" s="2" t="s">
        <v>659</v>
      </c>
      <c r="D169" s="3">
        <v>45657</v>
      </c>
      <c r="E169" s="3">
        <v>45657</v>
      </c>
      <c r="F169" s="4" t="s">
        <v>301</v>
      </c>
      <c r="G169" s="2" t="s">
        <v>255</v>
      </c>
      <c r="H169" s="2">
        <v>4791263</v>
      </c>
      <c r="I169" s="2" t="s">
        <v>13</v>
      </c>
    </row>
    <row r="170" spans="1:9" ht="15" customHeight="1" x14ac:dyDescent="0.3">
      <c r="A170" s="2">
        <v>6164940</v>
      </c>
      <c r="B170" s="2" t="s">
        <v>9</v>
      </c>
      <c r="C170" s="2" t="s">
        <v>659</v>
      </c>
      <c r="D170" s="3">
        <v>45657</v>
      </c>
      <c r="E170" s="3">
        <v>45657</v>
      </c>
      <c r="F170" s="4" t="s">
        <v>302</v>
      </c>
      <c r="G170" s="2" t="s">
        <v>257</v>
      </c>
      <c r="H170" s="2">
        <v>0</v>
      </c>
      <c r="I170" s="2" t="s">
        <v>13</v>
      </c>
    </row>
    <row r="171" spans="1:9" ht="15" customHeight="1" x14ac:dyDescent="0.3">
      <c r="A171" s="2">
        <v>6164941</v>
      </c>
      <c r="B171" s="2" t="s">
        <v>9</v>
      </c>
      <c r="C171" s="2" t="s">
        <v>659</v>
      </c>
      <c r="D171" s="3">
        <v>45657</v>
      </c>
      <c r="E171" s="3">
        <v>45657</v>
      </c>
      <c r="F171" s="4" t="s">
        <v>303</v>
      </c>
      <c r="G171" s="2" t="s">
        <v>259</v>
      </c>
      <c r="H171" s="2">
        <v>0</v>
      </c>
      <c r="I171" s="2" t="s">
        <v>13</v>
      </c>
    </row>
    <row r="172" spans="1:9" ht="15" customHeight="1" x14ac:dyDescent="0.3">
      <c r="A172" s="2">
        <v>6164942</v>
      </c>
      <c r="B172" s="2" t="s">
        <v>9</v>
      </c>
      <c r="C172" s="2" t="s">
        <v>659</v>
      </c>
      <c r="D172" s="3">
        <v>45657</v>
      </c>
      <c r="E172" s="3">
        <v>45657</v>
      </c>
      <c r="F172" s="4" t="s">
        <v>304</v>
      </c>
      <c r="G172" s="2" t="s">
        <v>261</v>
      </c>
      <c r="H172" s="2">
        <v>0</v>
      </c>
      <c r="I172" s="2" t="s">
        <v>13</v>
      </c>
    </row>
    <row r="173" spans="1:9" ht="15" customHeight="1" x14ac:dyDescent="0.3">
      <c r="A173" s="2">
        <v>6164943</v>
      </c>
      <c r="B173" s="2" t="s">
        <v>9</v>
      </c>
      <c r="C173" s="2" t="s">
        <v>659</v>
      </c>
      <c r="D173" s="3">
        <v>45657</v>
      </c>
      <c r="E173" s="3">
        <v>45657</v>
      </c>
      <c r="F173" s="4" t="s">
        <v>305</v>
      </c>
      <c r="G173" s="2" t="s">
        <v>263</v>
      </c>
      <c r="H173" s="2">
        <v>0</v>
      </c>
      <c r="I173" s="2" t="s">
        <v>13</v>
      </c>
    </row>
    <row r="174" spans="1:9" ht="15" customHeight="1" x14ac:dyDescent="0.3">
      <c r="A174" s="2">
        <v>6164944</v>
      </c>
      <c r="B174" s="2" t="s">
        <v>9</v>
      </c>
      <c r="C174" s="2" t="s">
        <v>659</v>
      </c>
      <c r="D174" s="3">
        <v>45657</v>
      </c>
      <c r="E174" s="3">
        <v>45657</v>
      </c>
      <c r="F174" s="4" t="s">
        <v>306</v>
      </c>
      <c r="G174" s="2" t="s">
        <v>265</v>
      </c>
      <c r="H174" s="2">
        <v>0</v>
      </c>
      <c r="I174" s="2" t="s">
        <v>13</v>
      </c>
    </row>
    <row r="175" spans="1:9" ht="15" customHeight="1" x14ac:dyDescent="0.3">
      <c r="A175" s="2">
        <v>6164945</v>
      </c>
      <c r="B175" s="2" t="s">
        <v>9</v>
      </c>
      <c r="C175" s="2" t="s">
        <v>659</v>
      </c>
      <c r="D175" s="3">
        <v>45657</v>
      </c>
      <c r="E175" s="3">
        <v>45657</v>
      </c>
      <c r="F175" s="4" t="s">
        <v>307</v>
      </c>
      <c r="G175" s="2" t="s">
        <v>267</v>
      </c>
      <c r="H175" s="2">
        <v>0</v>
      </c>
      <c r="I175" s="2" t="s">
        <v>13</v>
      </c>
    </row>
    <row r="176" spans="1:9" ht="15" customHeight="1" x14ac:dyDescent="0.3">
      <c r="A176" s="2">
        <v>6164946</v>
      </c>
      <c r="B176" s="2" t="s">
        <v>9</v>
      </c>
      <c r="C176" s="2" t="s">
        <v>659</v>
      </c>
      <c r="D176" s="3">
        <v>45657</v>
      </c>
      <c r="E176" s="3">
        <v>45657</v>
      </c>
      <c r="F176" s="4" t="s">
        <v>308</v>
      </c>
      <c r="G176" s="2" t="s">
        <v>269</v>
      </c>
      <c r="H176" s="2">
        <v>0</v>
      </c>
      <c r="I176" s="2" t="s">
        <v>13</v>
      </c>
    </row>
    <row r="177" spans="1:9" ht="15" customHeight="1" x14ac:dyDescent="0.3">
      <c r="A177" s="2">
        <v>6164947</v>
      </c>
      <c r="B177" s="2" t="s">
        <v>9</v>
      </c>
      <c r="C177" s="2" t="s">
        <v>659</v>
      </c>
      <c r="D177" s="3">
        <v>45657</v>
      </c>
      <c r="E177" s="3">
        <v>45657</v>
      </c>
      <c r="F177" s="4" t="s">
        <v>309</v>
      </c>
      <c r="G177" s="2" t="s">
        <v>310</v>
      </c>
      <c r="H177" s="2">
        <v>0</v>
      </c>
      <c r="I177" s="2" t="s">
        <v>13</v>
      </c>
    </row>
    <row r="178" spans="1:9" ht="15" customHeight="1" x14ac:dyDescent="0.3">
      <c r="A178" s="2">
        <v>6164948</v>
      </c>
      <c r="B178" s="2" t="s">
        <v>9</v>
      </c>
      <c r="C178" s="2" t="s">
        <v>659</v>
      </c>
      <c r="D178" s="3">
        <v>45657</v>
      </c>
      <c r="E178" s="3">
        <v>45657</v>
      </c>
      <c r="F178" s="4" t="s">
        <v>311</v>
      </c>
      <c r="G178" s="2" t="s">
        <v>312</v>
      </c>
      <c r="H178" s="2">
        <v>0</v>
      </c>
      <c r="I178" s="2" t="s">
        <v>13</v>
      </c>
    </row>
    <row r="179" spans="1:9" ht="15" customHeight="1" x14ac:dyDescent="0.3">
      <c r="A179" s="2">
        <v>6164949</v>
      </c>
      <c r="B179" s="2" t="s">
        <v>9</v>
      </c>
      <c r="C179" s="2" t="s">
        <v>659</v>
      </c>
      <c r="D179" s="3">
        <v>45657</v>
      </c>
      <c r="E179" s="3">
        <v>45657</v>
      </c>
      <c r="F179" s="4" t="s">
        <v>313</v>
      </c>
      <c r="G179" s="2" t="s">
        <v>314</v>
      </c>
      <c r="H179" s="2">
        <v>0</v>
      </c>
      <c r="I179" s="2" t="s">
        <v>13</v>
      </c>
    </row>
    <row r="180" spans="1:9" ht="15" customHeight="1" x14ac:dyDescent="0.3">
      <c r="A180" s="2">
        <v>6164950</v>
      </c>
      <c r="B180" s="2" t="s">
        <v>9</v>
      </c>
      <c r="C180" s="2" t="s">
        <v>659</v>
      </c>
      <c r="D180" s="3">
        <v>45657</v>
      </c>
      <c r="E180" s="3">
        <v>45657</v>
      </c>
      <c r="F180" s="4" t="s">
        <v>315</v>
      </c>
      <c r="G180" s="2" t="s">
        <v>316</v>
      </c>
      <c r="H180" s="2">
        <v>0</v>
      </c>
      <c r="I180" s="2" t="s">
        <v>13</v>
      </c>
    </row>
    <row r="181" spans="1:9" ht="15" customHeight="1" x14ac:dyDescent="0.3">
      <c r="A181" s="2">
        <v>6164951</v>
      </c>
      <c r="B181" s="2" t="s">
        <v>9</v>
      </c>
      <c r="C181" s="2" t="s">
        <v>659</v>
      </c>
      <c r="D181" s="3">
        <v>45657</v>
      </c>
      <c r="E181" s="3">
        <v>45657</v>
      </c>
      <c r="F181" s="4" t="s">
        <v>317</v>
      </c>
      <c r="G181" s="2" t="s">
        <v>660</v>
      </c>
      <c r="H181" s="2">
        <v>2496942987</v>
      </c>
      <c r="I181" s="2" t="s">
        <v>13</v>
      </c>
    </row>
    <row r="182" spans="1:9" ht="15" customHeight="1" x14ac:dyDescent="0.3">
      <c r="A182" s="2">
        <v>6164952</v>
      </c>
      <c r="B182" s="2" t="s">
        <v>9</v>
      </c>
      <c r="C182" s="2" t="s">
        <v>659</v>
      </c>
      <c r="D182" s="3">
        <v>45657</v>
      </c>
      <c r="E182" s="3">
        <v>45657</v>
      </c>
      <c r="F182" s="4" t="s">
        <v>319</v>
      </c>
      <c r="G182" s="2" t="s">
        <v>320</v>
      </c>
      <c r="H182" s="2">
        <v>1705381209</v>
      </c>
      <c r="I182" s="2" t="s">
        <v>13</v>
      </c>
    </row>
    <row r="183" spans="1:9" ht="15" customHeight="1" x14ac:dyDescent="0.3">
      <c r="A183" s="2">
        <v>6164953</v>
      </c>
      <c r="B183" s="2" t="s">
        <v>9</v>
      </c>
      <c r="C183" s="2" t="s">
        <v>659</v>
      </c>
      <c r="D183" s="3">
        <v>45657</v>
      </c>
      <c r="E183" s="3">
        <v>45657</v>
      </c>
      <c r="F183" s="4" t="s">
        <v>321</v>
      </c>
      <c r="G183" s="2" t="s">
        <v>322</v>
      </c>
      <c r="H183" s="2">
        <v>1705381209</v>
      </c>
      <c r="I183" s="2" t="s">
        <v>13</v>
      </c>
    </row>
    <row r="184" spans="1:9" ht="15" customHeight="1" x14ac:dyDescent="0.3">
      <c r="A184" s="2">
        <v>6164954</v>
      </c>
      <c r="B184" s="2" t="s">
        <v>9</v>
      </c>
      <c r="C184" s="2" t="s">
        <v>659</v>
      </c>
      <c r="D184" s="3">
        <v>45657</v>
      </c>
      <c r="E184" s="3">
        <v>45657</v>
      </c>
      <c r="F184" s="4" t="s">
        <v>323</v>
      </c>
      <c r="G184" s="2" t="s">
        <v>324</v>
      </c>
      <c r="H184" s="2">
        <v>0</v>
      </c>
      <c r="I184" s="2" t="s">
        <v>13</v>
      </c>
    </row>
    <row r="185" spans="1:9" ht="15" customHeight="1" x14ac:dyDescent="0.3">
      <c r="A185" s="2">
        <v>6164955</v>
      </c>
      <c r="B185" s="2" t="s">
        <v>9</v>
      </c>
      <c r="C185" s="2" t="s">
        <v>659</v>
      </c>
      <c r="D185" s="3">
        <v>45657</v>
      </c>
      <c r="E185" s="3">
        <v>45657</v>
      </c>
      <c r="F185" s="4" t="s">
        <v>325</v>
      </c>
      <c r="G185" s="2" t="s">
        <v>326</v>
      </c>
      <c r="H185" s="2">
        <v>-75545977</v>
      </c>
      <c r="I185" s="2" t="s">
        <v>13</v>
      </c>
    </row>
    <row r="186" spans="1:9" ht="15" customHeight="1" x14ac:dyDescent="0.3">
      <c r="A186" s="2">
        <v>6164956</v>
      </c>
      <c r="B186" s="2" t="s">
        <v>9</v>
      </c>
      <c r="C186" s="2" t="s">
        <v>659</v>
      </c>
      <c r="D186" s="3">
        <v>45657</v>
      </c>
      <c r="E186" s="3">
        <v>45657</v>
      </c>
      <c r="F186" s="4" t="s">
        <v>327</v>
      </c>
      <c r="G186" s="2" t="s">
        <v>328</v>
      </c>
      <c r="H186" s="2">
        <v>0</v>
      </c>
      <c r="I186" s="2" t="s">
        <v>13</v>
      </c>
    </row>
    <row r="187" spans="1:9" ht="15" customHeight="1" x14ac:dyDescent="0.3">
      <c r="A187" s="2">
        <v>6164957</v>
      </c>
      <c r="B187" s="2" t="s">
        <v>9</v>
      </c>
      <c r="C187" s="2" t="s">
        <v>659</v>
      </c>
      <c r="D187" s="3">
        <v>45657</v>
      </c>
      <c r="E187" s="3">
        <v>45657</v>
      </c>
      <c r="F187" s="4" t="s">
        <v>329</v>
      </c>
      <c r="G187" s="2" t="s">
        <v>330</v>
      </c>
      <c r="H187" s="2">
        <v>0</v>
      </c>
      <c r="I187" s="2" t="s">
        <v>13</v>
      </c>
    </row>
    <row r="188" spans="1:9" ht="15" customHeight="1" x14ac:dyDescent="0.3">
      <c r="A188" s="2">
        <v>6164958</v>
      </c>
      <c r="B188" s="2" t="s">
        <v>9</v>
      </c>
      <c r="C188" s="2" t="s">
        <v>659</v>
      </c>
      <c r="D188" s="3">
        <v>45657</v>
      </c>
      <c r="E188" s="3">
        <v>45657</v>
      </c>
      <c r="F188" s="4" t="s">
        <v>331</v>
      </c>
      <c r="G188" s="2" t="s">
        <v>332</v>
      </c>
      <c r="H188" s="2">
        <v>0</v>
      </c>
      <c r="I188" s="2" t="s">
        <v>13</v>
      </c>
    </row>
    <row r="189" spans="1:9" ht="15" customHeight="1" x14ac:dyDescent="0.3">
      <c r="A189" s="2">
        <v>6164959</v>
      </c>
      <c r="B189" s="2" t="s">
        <v>9</v>
      </c>
      <c r="C189" s="2" t="s">
        <v>659</v>
      </c>
      <c r="D189" s="3">
        <v>45657</v>
      </c>
      <c r="E189" s="3">
        <v>45657</v>
      </c>
      <c r="F189" s="4" t="s">
        <v>333</v>
      </c>
      <c r="G189" s="2" t="s">
        <v>334</v>
      </c>
      <c r="H189" s="2">
        <v>4345347</v>
      </c>
      <c r="I189" s="2" t="s">
        <v>13</v>
      </c>
    </row>
    <row r="190" spans="1:9" ht="15" customHeight="1" x14ac:dyDescent="0.3">
      <c r="A190" s="2">
        <v>6164960</v>
      </c>
      <c r="B190" s="2" t="s">
        <v>9</v>
      </c>
      <c r="C190" s="2" t="s">
        <v>659</v>
      </c>
      <c r="D190" s="3">
        <v>45657</v>
      </c>
      <c r="E190" s="3">
        <v>45657</v>
      </c>
      <c r="F190" s="4" t="s">
        <v>335</v>
      </c>
      <c r="G190" s="2" t="s">
        <v>336</v>
      </c>
      <c r="H190" s="2">
        <v>-26850197</v>
      </c>
      <c r="I190" s="2" t="s">
        <v>13</v>
      </c>
    </row>
    <row r="191" spans="1:9" ht="15" customHeight="1" x14ac:dyDescent="0.3">
      <c r="A191" s="2">
        <v>6164961</v>
      </c>
      <c r="B191" s="2" t="s">
        <v>9</v>
      </c>
      <c r="C191" s="2" t="s">
        <v>659</v>
      </c>
      <c r="D191" s="3">
        <v>45657</v>
      </c>
      <c r="E191" s="3">
        <v>45657</v>
      </c>
      <c r="F191" s="4" t="s">
        <v>337</v>
      </c>
      <c r="G191" s="2" t="s">
        <v>286</v>
      </c>
      <c r="H191" s="2">
        <v>0</v>
      </c>
      <c r="I191" s="2" t="s">
        <v>13</v>
      </c>
    </row>
    <row r="192" spans="1:9" ht="15" customHeight="1" x14ac:dyDescent="0.3">
      <c r="A192" s="2">
        <v>6164962</v>
      </c>
      <c r="B192" s="2" t="s">
        <v>9</v>
      </c>
      <c r="C192" s="2" t="s">
        <v>659</v>
      </c>
      <c r="D192" s="3">
        <v>45657</v>
      </c>
      <c r="E192" s="3">
        <v>45657</v>
      </c>
      <c r="F192" s="4" t="s">
        <v>338</v>
      </c>
      <c r="G192" s="2" t="s">
        <v>324</v>
      </c>
      <c r="H192" s="2">
        <v>-53041127</v>
      </c>
      <c r="I192" s="2" t="s">
        <v>13</v>
      </c>
    </row>
    <row r="193" spans="1:9" ht="15" customHeight="1" x14ac:dyDescent="0.3">
      <c r="A193" s="2">
        <v>6164963</v>
      </c>
      <c r="B193" s="2" t="s">
        <v>9</v>
      </c>
      <c r="C193" s="2" t="s">
        <v>659</v>
      </c>
      <c r="D193" s="3">
        <v>45657</v>
      </c>
      <c r="E193" s="3">
        <v>45657</v>
      </c>
      <c r="F193" s="4" t="s">
        <v>339</v>
      </c>
      <c r="G193" s="2" t="s">
        <v>340</v>
      </c>
      <c r="H193" s="2">
        <v>0</v>
      </c>
      <c r="I193" s="2" t="s">
        <v>13</v>
      </c>
    </row>
    <row r="194" spans="1:9" ht="15" customHeight="1" x14ac:dyDescent="0.3">
      <c r="A194" s="2">
        <v>6164964</v>
      </c>
      <c r="B194" s="2" t="s">
        <v>9</v>
      </c>
      <c r="C194" s="2" t="s">
        <v>659</v>
      </c>
      <c r="D194" s="3">
        <v>45657</v>
      </c>
      <c r="E194" s="3">
        <v>45657</v>
      </c>
      <c r="F194" s="4" t="s">
        <v>341</v>
      </c>
      <c r="G194" s="2" t="s">
        <v>342</v>
      </c>
      <c r="H194" s="2">
        <v>866642010</v>
      </c>
      <c r="I194" s="2" t="s">
        <v>13</v>
      </c>
    </row>
    <row r="195" spans="1:9" ht="15" customHeight="1" x14ac:dyDescent="0.3">
      <c r="A195" s="2">
        <v>6164965</v>
      </c>
      <c r="B195" s="2" t="s">
        <v>9</v>
      </c>
      <c r="C195" s="2" t="s">
        <v>659</v>
      </c>
      <c r="D195" s="3">
        <v>45657</v>
      </c>
      <c r="E195" s="3">
        <v>45657</v>
      </c>
      <c r="F195" s="4" t="s">
        <v>343</v>
      </c>
      <c r="G195" s="2" t="s">
        <v>344</v>
      </c>
      <c r="H195" s="2">
        <v>94077133</v>
      </c>
      <c r="I195" s="2" t="s">
        <v>13</v>
      </c>
    </row>
    <row r="196" spans="1:9" ht="15" customHeight="1" x14ac:dyDescent="0.3">
      <c r="A196" s="2">
        <v>6164966</v>
      </c>
      <c r="B196" s="2" t="s">
        <v>9</v>
      </c>
      <c r="C196" s="2" t="s">
        <v>659</v>
      </c>
      <c r="D196" s="3">
        <v>45657</v>
      </c>
      <c r="E196" s="3">
        <v>45657</v>
      </c>
      <c r="F196" s="4" t="s">
        <v>345</v>
      </c>
      <c r="G196" s="2" t="s">
        <v>346</v>
      </c>
      <c r="H196" s="2">
        <v>772564877</v>
      </c>
      <c r="I196" s="2" t="s">
        <v>13</v>
      </c>
    </row>
    <row r="197" spans="1:9" ht="15" customHeight="1" x14ac:dyDescent="0.3">
      <c r="A197" s="2">
        <v>6164967</v>
      </c>
      <c r="B197" s="2" t="s">
        <v>9</v>
      </c>
      <c r="C197" s="2" t="s">
        <v>659</v>
      </c>
      <c r="D197" s="3">
        <v>45657</v>
      </c>
      <c r="E197" s="3">
        <v>45657</v>
      </c>
      <c r="F197" s="4" t="s">
        <v>347</v>
      </c>
      <c r="G197" s="2" t="s">
        <v>348</v>
      </c>
      <c r="H197" s="2">
        <v>0</v>
      </c>
      <c r="I197" s="2" t="s">
        <v>13</v>
      </c>
    </row>
    <row r="198" spans="1:9" ht="15" customHeight="1" x14ac:dyDescent="0.3">
      <c r="A198" s="2">
        <v>6164968</v>
      </c>
      <c r="B198" s="2" t="s">
        <v>9</v>
      </c>
      <c r="C198" s="2" t="s">
        <v>659</v>
      </c>
      <c r="D198" s="3">
        <v>45657</v>
      </c>
      <c r="E198" s="3">
        <v>45657</v>
      </c>
      <c r="F198" s="4" t="s">
        <v>349</v>
      </c>
      <c r="G198" s="2" t="s">
        <v>350</v>
      </c>
      <c r="H198" s="2">
        <v>0</v>
      </c>
      <c r="I198" s="2" t="s">
        <v>13</v>
      </c>
    </row>
    <row r="199" spans="1:9" ht="15" customHeight="1" x14ac:dyDescent="0.3">
      <c r="A199" s="2">
        <v>6164969</v>
      </c>
      <c r="B199" s="2" t="s">
        <v>9</v>
      </c>
      <c r="C199" s="2" t="s">
        <v>659</v>
      </c>
      <c r="D199" s="3">
        <v>45657</v>
      </c>
      <c r="E199" s="3">
        <v>45657</v>
      </c>
      <c r="F199" s="4" t="s">
        <v>351</v>
      </c>
      <c r="G199" s="2" t="s">
        <v>352</v>
      </c>
      <c r="H199" s="2">
        <v>0</v>
      </c>
      <c r="I199" s="2" t="s">
        <v>13</v>
      </c>
    </row>
    <row r="200" spans="1:9" ht="15" customHeight="1" x14ac:dyDescent="0.3">
      <c r="A200" s="2">
        <v>6164970</v>
      </c>
      <c r="B200" s="2" t="s">
        <v>9</v>
      </c>
      <c r="C200" s="2" t="s">
        <v>659</v>
      </c>
      <c r="D200" s="3">
        <v>45657</v>
      </c>
      <c r="E200" s="3">
        <v>45657</v>
      </c>
      <c r="F200" s="4" t="s">
        <v>353</v>
      </c>
      <c r="G200" s="2" t="s">
        <v>354</v>
      </c>
      <c r="H200" s="2">
        <v>0</v>
      </c>
      <c r="I200" s="2" t="s">
        <v>13</v>
      </c>
    </row>
    <row r="201" spans="1:9" ht="15" customHeight="1" x14ac:dyDescent="0.3">
      <c r="A201" s="2">
        <v>6164971</v>
      </c>
      <c r="B201" s="2" t="s">
        <v>9</v>
      </c>
      <c r="C201" s="2" t="s">
        <v>659</v>
      </c>
      <c r="D201" s="3">
        <v>45657</v>
      </c>
      <c r="E201" s="3">
        <v>45657</v>
      </c>
      <c r="F201" s="4" t="s">
        <v>355</v>
      </c>
      <c r="G201" s="2" t="s">
        <v>356</v>
      </c>
      <c r="H201" s="2">
        <v>0</v>
      </c>
      <c r="I201" s="2" t="s">
        <v>13</v>
      </c>
    </row>
    <row r="202" spans="1:9" ht="15" customHeight="1" x14ac:dyDescent="0.3">
      <c r="A202" s="2">
        <v>6164972</v>
      </c>
      <c r="B202" s="2" t="s">
        <v>9</v>
      </c>
      <c r="C202" s="2" t="s">
        <v>659</v>
      </c>
      <c r="D202" s="3">
        <v>45657</v>
      </c>
      <c r="E202" s="3">
        <v>45657</v>
      </c>
      <c r="F202" s="4" t="s">
        <v>357</v>
      </c>
      <c r="G202" s="2" t="s">
        <v>358</v>
      </c>
      <c r="H202" s="2">
        <v>0</v>
      </c>
      <c r="I202" s="2" t="s">
        <v>13</v>
      </c>
    </row>
    <row r="203" spans="1:9" ht="15" customHeight="1" x14ac:dyDescent="0.3">
      <c r="A203" s="2">
        <v>6164973</v>
      </c>
      <c r="B203" s="2" t="s">
        <v>9</v>
      </c>
      <c r="C203" s="2" t="s">
        <v>659</v>
      </c>
      <c r="D203" s="3">
        <v>45657</v>
      </c>
      <c r="E203" s="3">
        <v>45657</v>
      </c>
      <c r="F203" s="4" t="s">
        <v>359</v>
      </c>
      <c r="G203" s="2" t="s">
        <v>336</v>
      </c>
      <c r="H203" s="2">
        <v>0</v>
      </c>
      <c r="I203" s="2" t="s">
        <v>13</v>
      </c>
    </row>
    <row r="204" spans="1:9" ht="15" customHeight="1" x14ac:dyDescent="0.3">
      <c r="A204" s="2">
        <v>6164974</v>
      </c>
      <c r="B204" s="2" t="s">
        <v>9</v>
      </c>
      <c r="C204" s="2" t="s">
        <v>659</v>
      </c>
      <c r="D204" s="3">
        <v>45657</v>
      </c>
      <c r="E204" s="3">
        <v>45657</v>
      </c>
      <c r="F204" s="4" t="s">
        <v>360</v>
      </c>
      <c r="G204" s="2" t="s">
        <v>361</v>
      </c>
      <c r="H204" s="2">
        <v>0</v>
      </c>
      <c r="I204" s="2" t="s">
        <v>13</v>
      </c>
    </row>
    <row r="205" spans="1:9" ht="15" customHeight="1" x14ac:dyDescent="0.3">
      <c r="A205" s="2">
        <v>6164975</v>
      </c>
      <c r="B205" s="2" t="s">
        <v>9</v>
      </c>
      <c r="C205" s="2" t="s">
        <v>659</v>
      </c>
      <c r="D205" s="3">
        <v>45657</v>
      </c>
      <c r="E205" s="3">
        <v>45657</v>
      </c>
      <c r="F205" s="4" t="s">
        <v>362</v>
      </c>
      <c r="G205" s="2" t="s">
        <v>363</v>
      </c>
      <c r="H205" s="2">
        <v>0</v>
      </c>
      <c r="I205" s="2" t="s">
        <v>13</v>
      </c>
    </row>
    <row r="206" spans="1:9" ht="15" customHeight="1" x14ac:dyDescent="0.3">
      <c r="A206" s="2">
        <v>6164976</v>
      </c>
      <c r="B206" s="2" t="s">
        <v>9</v>
      </c>
      <c r="C206" s="2" t="s">
        <v>659</v>
      </c>
      <c r="D206" s="3">
        <v>45657</v>
      </c>
      <c r="E206" s="3">
        <v>45657</v>
      </c>
      <c r="F206" s="4" t="s">
        <v>364</v>
      </c>
      <c r="G206" s="2" t="s">
        <v>365</v>
      </c>
      <c r="H206" s="2">
        <v>0</v>
      </c>
      <c r="I206" s="2" t="s">
        <v>13</v>
      </c>
    </row>
    <row r="207" spans="1:9" ht="15" customHeight="1" x14ac:dyDescent="0.3">
      <c r="A207" s="2">
        <v>6164977</v>
      </c>
      <c r="B207" s="2" t="s">
        <v>9</v>
      </c>
      <c r="C207" s="2" t="s">
        <v>659</v>
      </c>
      <c r="D207" s="3">
        <v>45657</v>
      </c>
      <c r="E207" s="3">
        <v>45657</v>
      </c>
      <c r="F207" s="4" t="s">
        <v>366</v>
      </c>
      <c r="G207" s="2" t="s">
        <v>367</v>
      </c>
      <c r="H207" s="2">
        <v>0</v>
      </c>
      <c r="I207" s="2" t="s">
        <v>13</v>
      </c>
    </row>
    <row r="208" spans="1:9" ht="15" customHeight="1" x14ac:dyDescent="0.3">
      <c r="A208" s="2">
        <v>6164978</v>
      </c>
      <c r="B208" s="2" t="s">
        <v>9</v>
      </c>
      <c r="C208" s="2" t="s">
        <v>659</v>
      </c>
      <c r="D208" s="3">
        <v>45657</v>
      </c>
      <c r="E208" s="3">
        <v>45657</v>
      </c>
      <c r="F208" s="4" t="s">
        <v>368</v>
      </c>
      <c r="G208" s="2" t="s">
        <v>369</v>
      </c>
      <c r="H208" s="2">
        <v>465745</v>
      </c>
      <c r="I208" s="2" t="s">
        <v>13</v>
      </c>
    </row>
    <row r="209" spans="1:9" ht="15" customHeight="1" x14ac:dyDescent="0.3">
      <c r="A209" s="2">
        <v>6164979</v>
      </c>
      <c r="B209" s="2" t="s">
        <v>9</v>
      </c>
      <c r="C209" s="2" t="s">
        <v>659</v>
      </c>
      <c r="D209" s="3">
        <v>45657</v>
      </c>
      <c r="E209" s="3">
        <v>45657</v>
      </c>
      <c r="F209" s="4" t="s">
        <v>370</v>
      </c>
      <c r="G209" s="2" t="s">
        <v>371</v>
      </c>
      <c r="H209" s="2">
        <v>465745</v>
      </c>
      <c r="I209" s="2" t="s">
        <v>13</v>
      </c>
    </row>
    <row r="210" spans="1:9" ht="15" customHeight="1" x14ac:dyDescent="0.3">
      <c r="A210" s="2">
        <v>6164980</v>
      </c>
      <c r="B210" s="2" t="s">
        <v>9</v>
      </c>
      <c r="C210" s="2" t="s">
        <v>659</v>
      </c>
      <c r="D210" s="3">
        <v>45657</v>
      </c>
      <c r="E210" s="3">
        <v>45657</v>
      </c>
      <c r="F210" s="4" t="s">
        <v>372</v>
      </c>
      <c r="G210" s="2" t="s">
        <v>373</v>
      </c>
      <c r="H210" s="2">
        <v>0</v>
      </c>
      <c r="I210" s="2" t="s">
        <v>13</v>
      </c>
    </row>
    <row r="211" spans="1:9" ht="15" customHeight="1" x14ac:dyDescent="0.3">
      <c r="A211" s="2">
        <v>6164981</v>
      </c>
      <c r="B211" s="2" t="s">
        <v>9</v>
      </c>
      <c r="C211" s="2" t="s">
        <v>659</v>
      </c>
      <c r="D211" s="3">
        <v>45292</v>
      </c>
      <c r="E211" s="3">
        <v>45657</v>
      </c>
      <c r="F211" s="4" t="s">
        <v>374</v>
      </c>
      <c r="G211" s="2" t="s">
        <v>375</v>
      </c>
      <c r="H211" s="2">
        <v>2577113417</v>
      </c>
      <c r="I211" s="2" t="s">
        <v>13</v>
      </c>
    </row>
    <row r="212" spans="1:9" ht="15" customHeight="1" x14ac:dyDescent="0.3">
      <c r="A212" s="2">
        <v>6164982</v>
      </c>
      <c r="B212" s="2" t="s">
        <v>9</v>
      </c>
      <c r="C212" s="2" t="s">
        <v>659</v>
      </c>
      <c r="D212" s="3">
        <v>45292</v>
      </c>
      <c r="E212" s="3">
        <v>45657</v>
      </c>
      <c r="F212" s="4" t="s">
        <v>376</v>
      </c>
      <c r="G212" s="2" t="s">
        <v>377</v>
      </c>
      <c r="H212" s="2">
        <v>2577113417</v>
      </c>
      <c r="I212" s="2" t="s">
        <v>13</v>
      </c>
    </row>
    <row r="213" spans="1:9" ht="15" customHeight="1" x14ac:dyDescent="0.3">
      <c r="A213" s="2">
        <v>6164983</v>
      </c>
      <c r="B213" s="2" t="s">
        <v>9</v>
      </c>
      <c r="C213" s="2" t="s">
        <v>659</v>
      </c>
      <c r="D213" s="3">
        <v>45292</v>
      </c>
      <c r="E213" s="3">
        <v>45657</v>
      </c>
      <c r="F213" s="4" t="s">
        <v>378</v>
      </c>
      <c r="G213" s="2" t="s">
        <v>379</v>
      </c>
      <c r="H213" s="2">
        <v>-767087486</v>
      </c>
      <c r="I213" s="2" t="s">
        <v>13</v>
      </c>
    </row>
    <row r="214" spans="1:9" ht="15" customHeight="1" x14ac:dyDescent="0.3">
      <c r="A214" s="2">
        <v>6164984</v>
      </c>
      <c r="B214" s="2" t="s">
        <v>9</v>
      </c>
      <c r="C214" s="2" t="s">
        <v>659</v>
      </c>
      <c r="D214" s="3">
        <v>45292</v>
      </c>
      <c r="E214" s="3">
        <v>45657</v>
      </c>
      <c r="F214" s="4" t="s">
        <v>380</v>
      </c>
      <c r="G214" s="2" t="s">
        <v>381</v>
      </c>
      <c r="H214" s="2">
        <v>-767087486</v>
      </c>
      <c r="I214" s="2" t="s">
        <v>13</v>
      </c>
    </row>
    <row r="215" spans="1:9" ht="15" customHeight="1" x14ac:dyDescent="0.3">
      <c r="A215" s="2">
        <v>6164985</v>
      </c>
      <c r="B215" s="2" t="s">
        <v>9</v>
      </c>
      <c r="C215" s="2" t="s">
        <v>659</v>
      </c>
      <c r="D215" s="3">
        <v>45292</v>
      </c>
      <c r="E215" s="3">
        <v>45657</v>
      </c>
      <c r="F215" s="4" t="s">
        <v>382</v>
      </c>
      <c r="G215" s="2" t="s">
        <v>383</v>
      </c>
      <c r="H215" s="2">
        <v>1810025931</v>
      </c>
      <c r="I215" s="2" t="s">
        <v>13</v>
      </c>
    </row>
    <row r="216" spans="1:9" ht="15" customHeight="1" x14ac:dyDescent="0.3">
      <c r="A216" s="2">
        <v>6164986</v>
      </c>
      <c r="B216" s="2" t="s">
        <v>9</v>
      </c>
      <c r="C216" s="2" t="s">
        <v>659</v>
      </c>
      <c r="D216" s="3">
        <v>45292</v>
      </c>
      <c r="E216" s="3">
        <v>45657</v>
      </c>
      <c r="F216" s="4" t="s">
        <v>384</v>
      </c>
      <c r="G216" s="2" t="s">
        <v>385</v>
      </c>
      <c r="H216" s="2">
        <v>-1126440626</v>
      </c>
      <c r="I216" s="2" t="s">
        <v>13</v>
      </c>
    </row>
    <row r="217" spans="1:9" ht="15" customHeight="1" x14ac:dyDescent="0.3">
      <c r="A217" s="2">
        <v>6164987</v>
      </c>
      <c r="B217" s="2" t="s">
        <v>9</v>
      </c>
      <c r="C217" s="2" t="s">
        <v>659</v>
      </c>
      <c r="D217" s="3">
        <v>45292</v>
      </c>
      <c r="E217" s="3">
        <v>45657</v>
      </c>
      <c r="F217" s="4" t="s">
        <v>386</v>
      </c>
      <c r="G217" s="2" t="s">
        <v>387</v>
      </c>
      <c r="H217" s="2">
        <v>-946097059</v>
      </c>
      <c r="I217" s="2" t="s">
        <v>13</v>
      </c>
    </row>
    <row r="218" spans="1:9" ht="15" customHeight="1" x14ac:dyDescent="0.3">
      <c r="A218" s="2">
        <v>6164988</v>
      </c>
      <c r="B218" s="2" t="s">
        <v>9</v>
      </c>
      <c r="C218" s="2" t="s">
        <v>659</v>
      </c>
      <c r="D218" s="3">
        <v>45292</v>
      </c>
      <c r="E218" s="3">
        <v>45657</v>
      </c>
      <c r="F218" s="4" t="s">
        <v>388</v>
      </c>
      <c r="G218" s="2" t="s">
        <v>389</v>
      </c>
      <c r="H218" s="2">
        <v>-946097059</v>
      </c>
      <c r="I218" s="2" t="s">
        <v>13</v>
      </c>
    </row>
    <row r="219" spans="1:9" ht="15" customHeight="1" x14ac:dyDescent="0.3">
      <c r="A219" s="2">
        <v>6164989</v>
      </c>
      <c r="B219" s="2" t="s">
        <v>9</v>
      </c>
      <c r="C219" s="2" t="s">
        <v>659</v>
      </c>
      <c r="D219" s="3">
        <v>45292</v>
      </c>
      <c r="E219" s="3">
        <v>45657</v>
      </c>
      <c r="F219" s="4" t="s">
        <v>390</v>
      </c>
      <c r="G219" s="2" t="s">
        <v>391</v>
      </c>
      <c r="H219" s="2">
        <v>-257972375</v>
      </c>
      <c r="I219" s="2" t="s">
        <v>13</v>
      </c>
    </row>
    <row r="220" spans="1:9" ht="15" customHeight="1" x14ac:dyDescent="0.3">
      <c r="A220" s="2">
        <v>6164990</v>
      </c>
      <c r="B220" s="2" t="s">
        <v>9</v>
      </c>
      <c r="C220" s="2" t="s">
        <v>659</v>
      </c>
      <c r="D220" s="3">
        <v>45292</v>
      </c>
      <c r="E220" s="3">
        <v>45657</v>
      </c>
      <c r="F220" s="4" t="s">
        <v>392</v>
      </c>
      <c r="G220" s="2" t="s">
        <v>393</v>
      </c>
      <c r="H220" s="2">
        <v>-257972375</v>
      </c>
      <c r="I220" s="2" t="s">
        <v>13</v>
      </c>
    </row>
    <row r="221" spans="1:9" ht="15" customHeight="1" x14ac:dyDescent="0.3">
      <c r="A221" s="2">
        <v>6164991</v>
      </c>
      <c r="B221" s="2" t="s">
        <v>9</v>
      </c>
      <c r="C221" s="2" t="s">
        <v>659</v>
      </c>
      <c r="D221" s="3">
        <v>45292</v>
      </c>
      <c r="E221" s="3">
        <v>45657</v>
      </c>
      <c r="F221" s="4" t="s">
        <v>394</v>
      </c>
      <c r="G221" s="2" t="s">
        <v>395</v>
      </c>
      <c r="H221" s="2">
        <v>0</v>
      </c>
      <c r="I221" s="2" t="s">
        <v>13</v>
      </c>
    </row>
    <row r="222" spans="1:9" ht="15" customHeight="1" x14ac:dyDescent="0.3">
      <c r="A222" s="2">
        <v>6164992</v>
      </c>
      <c r="B222" s="2" t="s">
        <v>9</v>
      </c>
      <c r="C222" s="2" t="s">
        <v>659</v>
      </c>
      <c r="D222" s="3">
        <v>45292</v>
      </c>
      <c r="E222" s="3">
        <v>45657</v>
      </c>
      <c r="F222" s="4" t="s">
        <v>396</v>
      </c>
      <c r="G222" s="2" t="s">
        <v>397</v>
      </c>
      <c r="H222" s="2">
        <v>94441183</v>
      </c>
      <c r="I222" s="2" t="s">
        <v>13</v>
      </c>
    </row>
    <row r="223" spans="1:9" ht="15" customHeight="1" x14ac:dyDescent="0.3">
      <c r="A223" s="2">
        <v>6164993</v>
      </c>
      <c r="B223" s="2" t="s">
        <v>9</v>
      </c>
      <c r="C223" s="2" t="s">
        <v>659</v>
      </c>
      <c r="D223" s="3">
        <v>45292</v>
      </c>
      <c r="E223" s="3">
        <v>45657</v>
      </c>
      <c r="F223" s="4" t="s">
        <v>398</v>
      </c>
      <c r="G223" s="2" t="s">
        <v>399</v>
      </c>
      <c r="H223" s="2">
        <v>94441183</v>
      </c>
      <c r="I223" s="2" t="s">
        <v>13</v>
      </c>
    </row>
    <row r="224" spans="1:9" ht="15" customHeight="1" x14ac:dyDescent="0.3">
      <c r="A224" s="2">
        <v>6164994</v>
      </c>
      <c r="B224" s="2" t="s">
        <v>9</v>
      </c>
      <c r="C224" s="2" t="s">
        <v>659</v>
      </c>
      <c r="D224" s="3">
        <v>45292</v>
      </c>
      <c r="E224" s="3">
        <v>45657</v>
      </c>
      <c r="F224" s="4" t="s">
        <v>400</v>
      </c>
      <c r="G224" s="2" t="s">
        <v>401</v>
      </c>
      <c r="H224" s="2">
        <v>-16812375</v>
      </c>
      <c r="I224" s="2" t="s">
        <v>13</v>
      </c>
    </row>
    <row r="225" spans="1:9" ht="15" customHeight="1" x14ac:dyDescent="0.3">
      <c r="A225" s="2">
        <v>6164995</v>
      </c>
      <c r="B225" s="2" t="s">
        <v>9</v>
      </c>
      <c r="C225" s="2" t="s">
        <v>659</v>
      </c>
      <c r="D225" s="3">
        <v>45292</v>
      </c>
      <c r="E225" s="3">
        <v>45657</v>
      </c>
      <c r="F225" s="4" t="s">
        <v>402</v>
      </c>
      <c r="G225" s="2" t="s">
        <v>403</v>
      </c>
      <c r="H225" s="2">
        <v>-16812375</v>
      </c>
      <c r="I225" s="2" t="s">
        <v>13</v>
      </c>
    </row>
    <row r="226" spans="1:9" ht="15" customHeight="1" x14ac:dyDescent="0.3">
      <c r="A226" s="2">
        <v>6164996</v>
      </c>
      <c r="B226" s="2" t="s">
        <v>9</v>
      </c>
      <c r="C226" s="2" t="s">
        <v>659</v>
      </c>
      <c r="D226" s="3">
        <v>45292</v>
      </c>
      <c r="E226" s="3">
        <v>45657</v>
      </c>
      <c r="F226" s="4" t="s">
        <v>404</v>
      </c>
      <c r="G226" s="2" t="s">
        <v>405</v>
      </c>
      <c r="H226" s="2">
        <v>0</v>
      </c>
      <c r="I226" s="2" t="s">
        <v>13</v>
      </c>
    </row>
    <row r="227" spans="1:9" ht="15" customHeight="1" x14ac:dyDescent="0.3">
      <c r="A227" s="2">
        <v>6164997</v>
      </c>
      <c r="B227" s="2" t="s">
        <v>9</v>
      </c>
      <c r="C227" s="2" t="s">
        <v>659</v>
      </c>
      <c r="D227" s="3">
        <v>45292</v>
      </c>
      <c r="E227" s="3">
        <v>45657</v>
      </c>
      <c r="F227" s="4" t="s">
        <v>406</v>
      </c>
      <c r="G227" s="2" t="s">
        <v>407</v>
      </c>
      <c r="H227" s="2">
        <v>0</v>
      </c>
      <c r="I227" s="2" t="s">
        <v>13</v>
      </c>
    </row>
    <row r="228" spans="1:9" ht="15" customHeight="1" x14ac:dyDescent="0.3">
      <c r="A228" s="2">
        <v>6164998</v>
      </c>
      <c r="B228" s="2" t="s">
        <v>9</v>
      </c>
      <c r="C228" s="2" t="s">
        <v>659</v>
      </c>
      <c r="D228" s="3">
        <v>45292</v>
      </c>
      <c r="E228" s="3">
        <v>45657</v>
      </c>
      <c r="F228" s="4" t="s">
        <v>408</v>
      </c>
      <c r="G228" s="2" t="s">
        <v>409</v>
      </c>
      <c r="H228" s="2">
        <v>683585305</v>
      </c>
      <c r="I228" s="2" t="s">
        <v>13</v>
      </c>
    </row>
    <row r="229" spans="1:9" ht="15" customHeight="1" x14ac:dyDescent="0.3">
      <c r="A229" s="2">
        <v>6164999</v>
      </c>
      <c r="B229" s="2" t="s">
        <v>9</v>
      </c>
      <c r="C229" s="2" t="s">
        <v>659</v>
      </c>
      <c r="D229" s="3">
        <v>45292</v>
      </c>
      <c r="E229" s="3">
        <v>45657</v>
      </c>
      <c r="F229" s="4" t="s">
        <v>410</v>
      </c>
      <c r="G229" s="2" t="s">
        <v>411</v>
      </c>
      <c r="H229" s="2">
        <v>-57347164</v>
      </c>
      <c r="I229" s="2" t="s">
        <v>13</v>
      </c>
    </row>
    <row r="230" spans="1:9" ht="15" customHeight="1" x14ac:dyDescent="0.3">
      <c r="A230" s="2">
        <v>6165000</v>
      </c>
      <c r="B230" s="2" t="s">
        <v>9</v>
      </c>
      <c r="C230" s="2" t="s">
        <v>659</v>
      </c>
      <c r="D230" s="3">
        <v>45292</v>
      </c>
      <c r="E230" s="3">
        <v>45657</v>
      </c>
      <c r="F230" s="4" t="s">
        <v>412</v>
      </c>
      <c r="G230" s="2" t="s">
        <v>413</v>
      </c>
      <c r="H230" s="2">
        <v>56934985</v>
      </c>
      <c r="I230" s="2" t="s">
        <v>13</v>
      </c>
    </row>
    <row r="231" spans="1:9" ht="15" customHeight="1" x14ac:dyDescent="0.3">
      <c r="A231" s="2">
        <v>6165001</v>
      </c>
      <c r="B231" s="2" t="s">
        <v>9</v>
      </c>
      <c r="C231" s="2" t="s">
        <v>659</v>
      </c>
      <c r="D231" s="3">
        <v>45292</v>
      </c>
      <c r="E231" s="3">
        <v>45657</v>
      </c>
      <c r="F231" s="4" t="s">
        <v>414</v>
      </c>
      <c r="G231" s="2" t="s">
        <v>415</v>
      </c>
      <c r="H231" s="2">
        <v>56934985</v>
      </c>
      <c r="I231" s="2" t="s">
        <v>13</v>
      </c>
    </row>
    <row r="232" spans="1:9" ht="15" customHeight="1" x14ac:dyDescent="0.3">
      <c r="A232" s="2">
        <v>6165002</v>
      </c>
      <c r="B232" s="2" t="s">
        <v>9</v>
      </c>
      <c r="C232" s="2" t="s">
        <v>659</v>
      </c>
      <c r="D232" s="3">
        <v>45292</v>
      </c>
      <c r="E232" s="3">
        <v>45657</v>
      </c>
      <c r="F232" s="4" t="s">
        <v>416</v>
      </c>
      <c r="G232" s="2" t="s">
        <v>417</v>
      </c>
      <c r="H232" s="2">
        <v>-114282149</v>
      </c>
      <c r="I232" s="2" t="s">
        <v>13</v>
      </c>
    </row>
    <row r="233" spans="1:9" ht="15" customHeight="1" x14ac:dyDescent="0.3">
      <c r="A233" s="2">
        <v>6165003</v>
      </c>
      <c r="B233" s="2" t="s">
        <v>9</v>
      </c>
      <c r="C233" s="2" t="s">
        <v>659</v>
      </c>
      <c r="D233" s="3">
        <v>45292</v>
      </c>
      <c r="E233" s="3">
        <v>45657</v>
      </c>
      <c r="F233" s="4" t="s">
        <v>418</v>
      </c>
      <c r="G233" s="2" t="s">
        <v>419</v>
      </c>
      <c r="H233" s="2">
        <v>-114282149</v>
      </c>
      <c r="I233" s="2" t="s">
        <v>13</v>
      </c>
    </row>
    <row r="234" spans="1:9" ht="15" customHeight="1" x14ac:dyDescent="0.3">
      <c r="A234" s="2">
        <v>6165004</v>
      </c>
      <c r="B234" s="2" t="s">
        <v>9</v>
      </c>
      <c r="C234" s="2" t="s">
        <v>659</v>
      </c>
      <c r="D234" s="3">
        <v>45292</v>
      </c>
      <c r="E234" s="3">
        <v>45657</v>
      </c>
      <c r="F234" s="4" t="s">
        <v>420</v>
      </c>
      <c r="G234" s="2" t="s">
        <v>421</v>
      </c>
      <c r="H234" s="2">
        <v>626238141</v>
      </c>
      <c r="I234" s="2" t="s">
        <v>13</v>
      </c>
    </row>
    <row r="235" spans="1:9" ht="15" customHeight="1" x14ac:dyDescent="0.3">
      <c r="A235" s="2">
        <v>6165005</v>
      </c>
      <c r="B235" s="2" t="s">
        <v>9</v>
      </c>
      <c r="C235" s="2" t="s">
        <v>659</v>
      </c>
      <c r="D235" s="3">
        <v>45292</v>
      </c>
      <c r="E235" s="3">
        <v>45657</v>
      </c>
      <c r="F235" s="4" t="s">
        <v>422</v>
      </c>
      <c r="G235" s="2" t="s">
        <v>423</v>
      </c>
      <c r="H235" s="2">
        <v>27155805</v>
      </c>
      <c r="I235" s="2" t="s">
        <v>13</v>
      </c>
    </row>
    <row r="236" spans="1:9" ht="15" customHeight="1" x14ac:dyDescent="0.3">
      <c r="A236" s="2">
        <v>6165006</v>
      </c>
      <c r="B236" s="2" t="s">
        <v>9</v>
      </c>
      <c r="C236" s="2" t="s">
        <v>659</v>
      </c>
      <c r="D236" s="3">
        <v>45292</v>
      </c>
      <c r="E236" s="3">
        <v>45657</v>
      </c>
      <c r="F236" s="4" t="s">
        <v>424</v>
      </c>
      <c r="G236" s="2" t="s">
        <v>425</v>
      </c>
      <c r="H236" s="2">
        <v>-108150131</v>
      </c>
      <c r="I236" s="2" t="s">
        <v>13</v>
      </c>
    </row>
    <row r="237" spans="1:9" ht="15" customHeight="1" x14ac:dyDescent="0.3">
      <c r="A237" s="2">
        <v>6165007</v>
      </c>
      <c r="B237" s="2" t="s">
        <v>9</v>
      </c>
      <c r="C237" s="2" t="s">
        <v>659</v>
      </c>
      <c r="D237" s="3">
        <v>45292</v>
      </c>
      <c r="E237" s="3">
        <v>45657</v>
      </c>
      <c r="F237" s="4" t="s">
        <v>426</v>
      </c>
      <c r="G237" s="2" t="s">
        <v>427</v>
      </c>
      <c r="H237" s="2">
        <v>135305936</v>
      </c>
      <c r="I237" s="2" t="s">
        <v>13</v>
      </c>
    </row>
    <row r="238" spans="1:9" ht="15" customHeight="1" x14ac:dyDescent="0.3">
      <c r="A238" s="2">
        <v>6165008</v>
      </c>
      <c r="B238" s="2" t="s">
        <v>9</v>
      </c>
      <c r="C238" s="2" t="s">
        <v>659</v>
      </c>
      <c r="D238" s="3">
        <v>45292</v>
      </c>
      <c r="E238" s="3">
        <v>45657</v>
      </c>
      <c r="F238" s="4" t="s">
        <v>428</v>
      </c>
      <c r="G238" s="2" t="s">
        <v>429</v>
      </c>
      <c r="H238" s="2">
        <v>653393946</v>
      </c>
      <c r="I238" s="2" t="s">
        <v>13</v>
      </c>
    </row>
    <row r="239" spans="1:9" ht="15" customHeight="1" x14ac:dyDescent="0.3">
      <c r="A239" s="2">
        <v>6165009</v>
      </c>
      <c r="B239" s="2" t="s">
        <v>9</v>
      </c>
      <c r="C239" s="2" t="s">
        <v>659</v>
      </c>
      <c r="D239" s="3">
        <v>45292</v>
      </c>
      <c r="E239" s="3">
        <v>45657</v>
      </c>
      <c r="F239" s="4" t="s">
        <v>430</v>
      </c>
      <c r="G239" s="2" t="s">
        <v>431</v>
      </c>
      <c r="H239" s="2">
        <v>0</v>
      </c>
      <c r="I239" s="2" t="s">
        <v>13</v>
      </c>
    </row>
    <row r="240" spans="1:9" ht="15" customHeight="1" x14ac:dyDescent="0.3">
      <c r="A240" s="2">
        <v>6165010</v>
      </c>
      <c r="B240" s="2" t="s">
        <v>9</v>
      </c>
      <c r="C240" s="2" t="s">
        <v>659</v>
      </c>
      <c r="D240" s="3">
        <v>45292</v>
      </c>
      <c r="E240" s="3">
        <v>45657</v>
      </c>
      <c r="F240" s="4" t="s">
        <v>432</v>
      </c>
      <c r="G240" s="2" t="s">
        <v>433</v>
      </c>
      <c r="H240" s="2">
        <v>0</v>
      </c>
      <c r="I240" s="2" t="s">
        <v>13</v>
      </c>
    </row>
    <row r="241" spans="1:9" ht="15" customHeight="1" x14ac:dyDescent="0.3">
      <c r="A241" s="2">
        <v>6165011</v>
      </c>
      <c r="B241" s="2" t="s">
        <v>9</v>
      </c>
      <c r="C241" s="2" t="s">
        <v>659</v>
      </c>
      <c r="D241" s="3">
        <v>45292</v>
      </c>
      <c r="E241" s="3">
        <v>45657</v>
      </c>
      <c r="F241" s="4" t="s">
        <v>434</v>
      </c>
      <c r="G241" s="2" t="s">
        <v>435</v>
      </c>
      <c r="H241" s="2">
        <v>0</v>
      </c>
      <c r="I241" s="2" t="s">
        <v>13</v>
      </c>
    </row>
    <row r="242" spans="1:9" ht="15" customHeight="1" x14ac:dyDescent="0.3">
      <c r="A242" s="2">
        <v>6165012</v>
      </c>
      <c r="B242" s="2" t="s">
        <v>9</v>
      </c>
      <c r="C242" s="2" t="s">
        <v>659</v>
      </c>
      <c r="D242" s="3">
        <v>45292</v>
      </c>
      <c r="E242" s="3">
        <v>45657</v>
      </c>
      <c r="F242" s="4" t="s">
        <v>436</v>
      </c>
      <c r="G242" s="2" t="s">
        <v>437</v>
      </c>
      <c r="H242" s="2">
        <v>653393946</v>
      </c>
      <c r="I242" s="2" t="s">
        <v>13</v>
      </c>
    </row>
    <row r="243" spans="1:9" ht="15" customHeight="1" x14ac:dyDescent="0.3">
      <c r="A243" s="2">
        <v>6165013</v>
      </c>
      <c r="B243" s="2" t="s">
        <v>9</v>
      </c>
      <c r="C243" s="2" t="s">
        <v>659</v>
      </c>
      <c r="D243" s="3">
        <v>45292</v>
      </c>
      <c r="E243" s="3">
        <v>45657</v>
      </c>
      <c r="F243" s="4" t="s">
        <v>438</v>
      </c>
      <c r="G243" s="2" t="s">
        <v>439</v>
      </c>
      <c r="H243" s="2">
        <v>653393946</v>
      </c>
      <c r="I243" s="2" t="s">
        <v>13</v>
      </c>
    </row>
    <row r="244" spans="1:9" ht="15" customHeight="1" x14ac:dyDescent="0.3">
      <c r="A244" s="2">
        <v>6165014</v>
      </c>
      <c r="B244" s="2" t="s">
        <v>9</v>
      </c>
      <c r="C244" s="2" t="s">
        <v>659</v>
      </c>
      <c r="D244" s="3">
        <v>45292</v>
      </c>
      <c r="E244" s="3">
        <v>45657</v>
      </c>
      <c r="F244" s="4" t="s">
        <v>440</v>
      </c>
      <c r="G244" s="2" t="s">
        <v>441</v>
      </c>
      <c r="H244" s="2">
        <v>0</v>
      </c>
      <c r="I244" s="2" t="s">
        <v>13</v>
      </c>
    </row>
    <row r="245" spans="1:9" ht="15" customHeight="1" x14ac:dyDescent="0.3">
      <c r="A245" s="2">
        <v>6165015</v>
      </c>
      <c r="B245" s="2" t="s">
        <v>9</v>
      </c>
      <c r="C245" s="2" t="s">
        <v>659</v>
      </c>
      <c r="D245" s="3">
        <v>45292</v>
      </c>
      <c r="E245" s="3">
        <v>45657</v>
      </c>
      <c r="F245" s="4" t="s">
        <v>442</v>
      </c>
      <c r="G245" s="2" t="s">
        <v>443</v>
      </c>
      <c r="H245" s="2">
        <v>0</v>
      </c>
      <c r="I245" s="2" t="s">
        <v>13</v>
      </c>
    </row>
    <row r="246" spans="1:9" ht="15" customHeight="1" x14ac:dyDescent="0.3">
      <c r="A246" s="2">
        <v>6165016</v>
      </c>
      <c r="B246" s="2" t="s">
        <v>9</v>
      </c>
      <c r="C246" s="2" t="s">
        <v>659</v>
      </c>
      <c r="D246" s="3">
        <v>45292</v>
      </c>
      <c r="E246" s="3">
        <v>45657</v>
      </c>
      <c r="F246" s="4" t="s">
        <v>444</v>
      </c>
      <c r="G246" s="2" t="s">
        <v>445</v>
      </c>
      <c r="H246" s="2">
        <v>0</v>
      </c>
      <c r="I246" s="2" t="s">
        <v>13</v>
      </c>
    </row>
    <row r="247" spans="1:9" ht="15" customHeight="1" x14ac:dyDescent="0.3">
      <c r="A247" s="2">
        <v>6165017</v>
      </c>
      <c r="B247" s="2" t="s">
        <v>9</v>
      </c>
      <c r="C247" s="2" t="s">
        <v>659</v>
      </c>
      <c r="D247" s="3">
        <v>45292</v>
      </c>
      <c r="E247" s="3">
        <v>45657</v>
      </c>
      <c r="F247" s="4" t="s">
        <v>446</v>
      </c>
      <c r="G247" s="2" t="s">
        <v>447</v>
      </c>
      <c r="H247" s="2">
        <v>2</v>
      </c>
      <c r="I247" s="2" t="s">
        <v>13</v>
      </c>
    </row>
    <row r="248" spans="1:9" ht="15" customHeight="1" x14ac:dyDescent="0.3">
      <c r="A248" s="2">
        <v>6165018</v>
      </c>
      <c r="B248" s="2" t="s">
        <v>9</v>
      </c>
      <c r="C248" s="2" t="s">
        <v>659</v>
      </c>
      <c r="D248" s="3">
        <v>45292</v>
      </c>
      <c r="E248" s="3">
        <v>45657</v>
      </c>
      <c r="F248" s="4" t="s">
        <v>448</v>
      </c>
      <c r="G248" s="2" t="s">
        <v>449</v>
      </c>
      <c r="H248" s="2">
        <v>0</v>
      </c>
      <c r="I248" s="2" t="s">
        <v>13</v>
      </c>
    </row>
    <row r="249" spans="1:9" ht="15" customHeight="1" x14ac:dyDescent="0.3">
      <c r="A249" s="2">
        <v>6165019</v>
      </c>
      <c r="B249" s="2" t="s">
        <v>9</v>
      </c>
      <c r="C249" s="2" t="s">
        <v>659</v>
      </c>
      <c r="D249" s="3">
        <v>45292</v>
      </c>
      <c r="E249" s="3">
        <v>45657</v>
      </c>
      <c r="F249" s="4" t="s">
        <v>450</v>
      </c>
      <c r="G249" s="2" t="s">
        <v>447</v>
      </c>
      <c r="H249" s="2">
        <v>2</v>
      </c>
      <c r="I249" s="2" t="s">
        <v>13</v>
      </c>
    </row>
    <row r="250" spans="1:9" ht="15" customHeight="1" x14ac:dyDescent="0.3">
      <c r="A250" s="2">
        <v>6165020</v>
      </c>
      <c r="B250" s="2" t="s">
        <v>9</v>
      </c>
      <c r="C250" s="2" t="s">
        <v>659</v>
      </c>
      <c r="D250" s="3">
        <v>45292</v>
      </c>
      <c r="E250" s="3">
        <v>45657</v>
      </c>
      <c r="F250" s="4" t="s">
        <v>451</v>
      </c>
      <c r="G250" s="2" t="s">
        <v>452</v>
      </c>
      <c r="H250" s="2">
        <v>150681232</v>
      </c>
      <c r="I250" s="2" t="s">
        <v>13</v>
      </c>
    </row>
    <row r="251" spans="1:9" ht="15" customHeight="1" x14ac:dyDescent="0.3">
      <c r="A251" s="2">
        <v>6165021</v>
      </c>
      <c r="B251" s="2" t="s">
        <v>9</v>
      </c>
      <c r="C251" s="2" t="s">
        <v>659</v>
      </c>
      <c r="D251" s="3">
        <v>45292</v>
      </c>
      <c r="E251" s="3">
        <v>45657</v>
      </c>
      <c r="F251" s="4" t="s">
        <v>453</v>
      </c>
      <c r="G251" s="2" t="s">
        <v>454</v>
      </c>
      <c r="H251" s="2">
        <v>863970085</v>
      </c>
      <c r="I251" s="2" t="s">
        <v>13</v>
      </c>
    </row>
    <row r="252" spans="1:9" ht="15" customHeight="1" x14ac:dyDescent="0.3">
      <c r="A252" s="2">
        <v>6165022</v>
      </c>
      <c r="B252" s="2" t="s">
        <v>9</v>
      </c>
      <c r="C252" s="2" t="s">
        <v>659</v>
      </c>
      <c r="D252" s="3">
        <v>45292</v>
      </c>
      <c r="E252" s="3">
        <v>45657</v>
      </c>
      <c r="F252" s="4" t="s">
        <v>455</v>
      </c>
      <c r="G252" s="2" t="s">
        <v>456</v>
      </c>
      <c r="H252" s="2">
        <v>653393946</v>
      </c>
      <c r="I252" s="2" t="s">
        <v>13</v>
      </c>
    </row>
    <row r="253" spans="1:9" ht="15" customHeight="1" x14ac:dyDescent="0.3">
      <c r="A253" s="2">
        <v>6165023</v>
      </c>
      <c r="B253" s="2" t="s">
        <v>9</v>
      </c>
      <c r="C253" s="2" t="s">
        <v>659</v>
      </c>
      <c r="D253" s="3">
        <v>45292</v>
      </c>
      <c r="E253" s="3">
        <v>45657</v>
      </c>
      <c r="F253" s="4" t="s">
        <v>457</v>
      </c>
      <c r="G253" s="2" t="s">
        <v>458</v>
      </c>
      <c r="H253" s="2">
        <v>154530015</v>
      </c>
      <c r="I253" s="2" t="s">
        <v>13</v>
      </c>
    </row>
    <row r="254" spans="1:9" ht="15" customHeight="1" x14ac:dyDescent="0.3">
      <c r="A254" s="2">
        <v>6165024</v>
      </c>
      <c r="B254" s="2" t="s">
        <v>9</v>
      </c>
      <c r="C254" s="2" t="s">
        <v>659</v>
      </c>
      <c r="D254" s="3">
        <v>45292</v>
      </c>
      <c r="E254" s="3">
        <v>45657</v>
      </c>
      <c r="F254" s="4" t="s">
        <v>459</v>
      </c>
      <c r="G254" s="2" t="s">
        <v>460</v>
      </c>
      <c r="H254" s="2">
        <v>33202938</v>
      </c>
      <c r="I254" s="2" t="s">
        <v>13</v>
      </c>
    </row>
    <row r="255" spans="1:9" ht="15" customHeight="1" x14ac:dyDescent="0.3">
      <c r="A255" s="2">
        <v>6165025</v>
      </c>
      <c r="B255" s="2" t="s">
        <v>9</v>
      </c>
      <c r="C255" s="2" t="s">
        <v>659</v>
      </c>
      <c r="D255" s="3">
        <v>45292</v>
      </c>
      <c r="E255" s="3">
        <v>45657</v>
      </c>
      <c r="F255" s="4" t="s">
        <v>461</v>
      </c>
      <c r="G255" s="2" t="s">
        <v>462</v>
      </c>
      <c r="H255" s="2">
        <v>60051288</v>
      </c>
      <c r="I255" s="2" t="s">
        <v>13</v>
      </c>
    </row>
    <row r="256" spans="1:9" ht="15" customHeight="1" x14ac:dyDescent="0.3">
      <c r="A256" s="2">
        <v>6165026</v>
      </c>
      <c r="B256" s="2" t="s">
        <v>9</v>
      </c>
      <c r="C256" s="2" t="s">
        <v>659</v>
      </c>
      <c r="D256" s="3">
        <v>45292</v>
      </c>
      <c r="E256" s="3">
        <v>45657</v>
      </c>
      <c r="F256" s="4" t="s">
        <v>463</v>
      </c>
      <c r="G256" s="2" t="s">
        <v>464</v>
      </c>
      <c r="H256" s="2">
        <v>-27155806</v>
      </c>
      <c r="I256" s="2" t="s">
        <v>13</v>
      </c>
    </row>
    <row r="257" spans="1:9" ht="15" customHeight="1" x14ac:dyDescent="0.3">
      <c r="A257" s="2">
        <v>6165027</v>
      </c>
      <c r="B257" s="2" t="s">
        <v>9</v>
      </c>
      <c r="C257" s="2" t="s">
        <v>659</v>
      </c>
      <c r="D257" s="3">
        <v>45292</v>
      </c>
      <c r="E257" s="3">
        <v>45657</v>
      </c>
      <c r="F257" s="4" t="s">
        <v>465</v>
      </c>
      <c r="G257" s="2" t="s">
        <v>466</v>
      </c>
      <c r="H257" s="2">
        <v>760547</v>
      </c>
      <c r="I257" s="2" t="s">
        <v>13</v>
      </c>
    </row>
    <row r="258" spans="1:9" ht="15" customHeight="1" x14ac:dyDescent="0.3">
      <c r="A258" s="2">
        <v>6165028</v>
      </c>
      <c r="B258" s="2" t="s">
        <v>9</v>
      </c>
      <c r="C258" s="2" t="s">
        <v>659</v>
      </c>
      <c r="D258" s="3">
        <v>45292</v>
      </c>
      <c r="E258" s="3">
        <v>45657</v>
      </c>
      <c r="F258" s="4" t="s">
        <v>467</v>
      </c>
      <c r="G258" s="2" t="s">
        <v>468</v>
      </c>
      <c r="H258" s="2">
        <v>16918829</v>
      </c>
      <c r="I258" s="2" t="s">
        <v>13</v>
      </c>
    </row>
    <row r="259" spans="1:9" ht="15" customHeight="1" x14ac:dyDescent="0.3">
      <c r="A259" s="2">
        <v>6165029</v>
      </c>
      <c r="B259" s="2" t="s">
        <v>9</v>
      </c>
      <c r="C259" s="2" t="s">
        <v>659</v>
      </c>
      <c r="D259" s="3">
        <v>45292</v>
      </c>
      <c r="E259" s="3">
        <v>45657</v>
      </c>
      <c r="F259" s="4" t="s">
        <v>469</v>
      </c>
      <c r="G259" s="2" t="s">
        <v>407</v>
      </c>
      <c r="H259" s="2">
        <v>0</v>
      </c>
      <c r="I259" s="2" t="s">
        <v>13</v>
      </c>
    </row>
    <row r="260" spans="1:9" ht="15" customHeight="1" x14ac:dyDescent="0.3">
      <c r="A260" s="2">
        <v>6165030</v>
      </c>
      <c r="B260" s="2" t="s">
        <v>9</v>
      </c>
      <c r="C260" s="2" t="s">
        <v>659</v>
      </c>
      <c r="D260" s="3">
        <v>45292</v>
      </c>
      <c r="E260" s="3">
        <v>45657</v>
      </c>
      <c r="F260" s="4" t="s">
        <v>470</v>
      </c>
      <c r="G260" s="2" t="s">
        <v>471</v>
      </c>
      <c r="H260" s="2">
        <v>0</v>
      </c>
      <c r="I260" s="2" t="s">
        <v>13</v>
      </c>
    </row>
    <row r="261" spans="1:9" ht="15" customHeight="1" x14ac:dyDescent="0.3">
      <c r="A261" s="2">
        <v>6165031</v>
      </c>
      <c r="B261" s="2" t="s">
        <v>9</v>
      </c>
      <c r="C261" s="2" t="s">
        <v>659</v>
      </c>
      <c r="D261" s="3">
        <v>45292</v>
      </c>
      <c r="E261" s="3">
        <v>45657</v>
      </c>
      <c r="F261" s="4" t="s">
        <v>472</v>
      </c>
      <c r="G261" s="2" t="s">
        <v>473</v>
      </c>
      <c r="H261" s="2">
        <v>1036054</v>
      </c>
      <c r="I261" s="2" t="s">
        <v>13</v>
      </c>
    </row>
    <row r="262" spans="1:9" ht="15" customHeight="1" x14ac:dyDescent="0.3">
      <c r="A262" s="2">
        <v>6165032</v>
      </c>
      <c r="B262" s="2" t="s">
        <v>9</v>
      </c>
      <c r="C262" s="2" t="s">
        <v>659</v>
      </c>
      <c r="D262" s="3">
        <v>45292</v>
      </c>
      <c r="E262" s="3">
        <v>45657</v>
      </c>
      <c r="F262" s="4" t="s">
        <v>474</v>
      </c>
      <c r="G262" s="2" t="s">
        <v>475</v>
      </c>
      <c r="H262" s="2">
        <v>0</v>
      </c>
      <c r="I262" s="2" t="s">
        <v>13</v>
      </c>
    </row>
    <row r="263" spans="1:9" ht="15" customHeight="1" x14ac:dyDescent="0.3">
      <c r="A263" s="2">
        <v>6165033</v>
      </c>
      <c r="B263" s="2" t="s">
        <v>9</v>
      </c>
      <c r="C263" s="2" t="s">
        <v>659</v>
      </c>
      <c r="D263" s="3">
        <v>45292</v>
      </c>
      <c r="E263" s="3">
        <v>45657</v>
      </c>
      <c r="F263" s="4" t="s">
        <v>476</v>
      </c>
      <c r="G263" s="2" t="s">
        <v>477</v>
      </c>
      <c r="H263" s="2">
        <v>-28944710</v>
      </c>
      <c r="I263" s="2" t="s">
        <v>13</v>
      </c>
    </row>
    <row r="264" spans="1:9" ht="15" customHeight="1" x14ac:dyDescent="0.3">
      <c r="A264" s="2">
        <v>6165034</v>
      </c>
      <c r="B264" s="2" t="s">
        <v>9</v>
      </c>
      <c r="C264" s="2" t="s">
        <v>659</v>
      </c>
      <c r="D264" s="3">
        <v>45292</v>
      </c>
      <c r="E264" s="3">
        <v>45657</v>
      </c>
      <c r="F264" s="4" t="s">
        <v>478</v>
      </c>
      <c r="G264" s="2" t="s">
        <v>479</v>
      </c>
      <c r="H264" s="2">
        <v>-232506</v>
      </c>
      <c r="I264" s="2" t="s">
        <v>13</v>
      </c>
    </row>
    <row r="265" spans="1:9" ht="15" customHeight="1" x14ac:dyDescent="0.3">
      <c r="A265" s="2">
        <v>6165035</v>
      </c>
      <c r="B265" s="2" t="s">
        <v>9</v>
      </c>
      <c r="C265" s="2" t="s">
        <v>659</v>
      </c>
      <c r="D265" s="3">
        <v>45292</v>
      </c>
      <c r="E265" s="3">
        <v>45657</v>
      </c>
      <c r="F265" s="4" t="s">
        <v>480</v>
      </c>
      <c r="G265" s="2" t="s">
        <v>481</v>
      </c>
      <c r="H265" s="2">
        <v>0</v>
      </c>
      <c r="I265" s="2" t="s">
        <v>13</v>
      </c>
    </row>
    <row r="266" spans="1:9" ht="15" customHeight="1" x14ac:dyDescent="0.3">
      <c r="A266" s="2">
        <v>6165036</v>
      </c>
      <c r="B266" s="2" t="s">
        <v>9</v>
      </c>
      <c r="C266" s="2" t="s">
        <v>659</v>
      </c>
      <c r="D266" s="3">
        <v>45292</v>
      </c>
      <c r="E266" s="3">
        <v>45657</v>
      </c>
      <c r="F266" s="4" t="s">
        <v>482</v>
      </c>
      <c r="G266" s="2" t="s">
        <v>483</v>
      </c>
      <c r="H266" s="2">
        <v>0</v>
      </c>
      <c r="I266" s="2" t="s">
        <v>13</v>
      </c>
    </row>
    <row r="267" spans="1:9" ht="15" customHeight="1" x14ac:dyDescent="0.3">
      <c r="A267" s="2">
        <v>6165037</v>
      </c>
      <c r="B267" s="2" t="s">
        <v>9</v>
      </c>
      <c r="C267" s="2" t="s">
        <v>659</v>
      </c>
      <c r="D267" s="3">
        <v>45292</v>
      </c>
      <c r="E267" s="3">
        <v>45657</v>
      </c>
      <c r="F267" s="4" t="s">
        <v>484</v>
      </c>
      <c r="G267" s="2" t="s">
        <v>485</v>
      </c>
      <c r="H267" s="2">
        <v>-1292198</v>
      </c>
      <c r="I267" s="2" t="s">
        <v>13</v>
      </c>
    </row>
    <row r="268" spans="1:9" ht="15" customHeight="1" x14ac:dyDescent="0.3">
      <c r="A268" s="2">
        <v>6165038</v>
      </c>
      <c r="B268" s="2" t="s">
        <v>9</v>
      </c>
      <c r="C268" s="2" t="s">
        <v>659</v>
      </c>
      <c r="D268" s="3">
        <v>45292</v>
      </c>
      <c r="E268" s="3">
        <v>45657</v>
      </c>
      <c r="F268" s="4" t="s">
        <v>486</v>
      </c>
      <c r="G268" s="2" t="s">
        <v>487</v>
      </c>
      <c r="H268" s="2">
        <v>1701688</v>
      </c>
      <c r="I268" s="2" t="s">
        <v>13</v>
      </c>
    </row>
    <row r="269" spans="1:9" ht="15" customHeight="1" x14ac:dyDescent="0.3">
      <c r="A269" s="2">
        <v>6165039</v>
      </c>
      <c r="B269" s="2" t="s">
        <v>9</v>
      </c>
      <c r="C269" s="2" t="s">
        <v>659</v>
      </c>
      <c r="D269" s="3">
        <v>45292</v>
      </c>
      <c r="E269" s="3">
        <v>45657</v>
      </c>
      <c r="F269" s="4" t="s">
        <v>492</v>
      </c>
      <c r="G269" s="2" t="s">
        <v>493</v>
      </c>
      <c r="H269" s="2">
        <v>-557130422</v>
      </c>
      <c r="I269" s="2" t="s">
        <v>13</v>
      </c>
    </row>
    <row r="270" spans="1:9" ht="15" customHeight="1" x14ac:dyDescent="0.3">
      <c r="A270" s="2">
        <v>6165040</v>
      </c>
      <c r="B270" s="2" t="s">
        <v>9</v>
      </c>
      <c r="C270" s="2" t="s">
        <v>659</v>
      </c>
      <c r="D270" s="3">
        <v>45292</v>
      </c>
      <c r="E270" s="3">
        <v>45657</v>
      </c>
      <c r="F270" s="4" t="s">
        <v>494</v>
      </c>
      <c r="G270" s="2" t="s">
        <v>39</v>
      </c>
      <c r="H270" s="2">
        <v>-124143261</v>
      </c>
      <c r="I270" s="2" t="s">
        <v>13</v>
      </c>
    </row>
    <row r="271" spans="1:9" ht="15" customHeight="1" x14ac:dyDescent="0.3">
      <c r="A271" s="2">
        <v>6165041</v>
      </c>
      <c r="B271" s="2" t="s">
        <v>9</v>
      </c>
      <c r="C271" s="2" t="s">
        <v>659</v>
      </c>
      <c r="D271" s="3">
        <v>45292</v>
      </c>
      <c r="E271" s="3">
        <v>45657</v>
      </c>
      <c r="F271" s="4" t="s">
        <v>495</v>
      </c>
      <c r="G271" s="2" t="s">
        <v>496</v>
      </c>
      <c r="H271" s="2">
        <v>0</v>
      </c>
      <c r="I271" s="2" t="s">
        <v>13</v>
      </c>
    </row>
    <row r="272" spans="1:9" ht="15" customHeight="1" x14ac:dyDescent="0.3">
      <c r="A272" s="2">
        <v>6165042</v>
      </c>
      <c r="B272" s="2" t="s">
        <v>9</v>
      </c>
      <c r="C272" s="2" t="s">
        <v>659</v>
      </c>
      <c r="D272" s="3">
        <v>45292</v>
      </c>
      <c r="E272" s="3">
        <v>45657</v>
      </c>
      <c r="F272" s="4" t="s">
        <v>497</v>
      </c>
      <c r="G272" s="2" t="s">
        <v>47</v>
      </c>
      <c r="H272" s="2">
        <v>-550631861</v>
      </c>
      <c r="I272" s="2" t="s">
        <v>13</v>
      </c>
    </row>
    <row r="273" spans="1:9" ht="15" customHeight="1" x14ac:dyDescent="0.3">
      <c r="A273" s="2">
        <v>6165043</v>
      </c>
      <c r="B273" s="2" t="s">
        <v>9</v>
      </c>
      <c r="C273" s="2" t="s">
        <v>659</v>
      </c>
      <c r="D273" s="3">
        <v>45292</v>
      </c>
      <c r="E273" s="3">
        <v>45657</v>
      </c>
      <c r="F273" s="4" t="s">
        <v>498</v>
      </c>
      <c r="G273" s="2" t="s">
        <v>56</v>
      </c>
      <c r="H273" s="2">
        <v>-48371761</v>
      </c>
      <c r="I273" s="2" t="s">
        <v>13</v>
      </c>
    </row>
    <row r="274" spans="1:9" ht="15" customHeight="1" x14ac:dyDescent="0.3">
      <c r="A274" s="2">
        <v>6165044</v>
      </c>
      <c r="B274" s="2" t="s">
        <v>9</v>
      </c>
      <c r="C274" s="2" t="s">
        <v>659</v>
      </c>
      <c r="D274" s="3">
        <v>45292</v>
      </c>
      <c r="E274" s="3">
        <v>45657</v>
      </c>
      <c r="F274" s="4" t="s">
        <v>499</v>
      </c>
      <c r="G274" s="2" t="s">
        <v>106</v>
      </c>
      <c r="H274" s="2">
        <v>363767</v>
      </c>
      <c r="I274" s="2" t="s">
        <v>13</v>
      </c>
    </row>
    <row r="275" spans="1:9" ht="15" customHeight="1" x14ac:dyDescent="0.3">
      <c r="A275" s="2">
        <v>6165045</v>
      </c>
      <c r="B275" s="2" t="s">
        <v>9</v>
      </c>
      <c r="C275" s="2" t="s">
        <v>659</v>
      </c>
      <c r="D275" s="3">
        <v>45292</v>
      </c>
      <c r="E275" s="3">
        <v>45657</v>
      </c>
      <c r="F275" s="4" t="s">
        <v>500</v>
      </c>
      <c r="G275" s="2" t="s">
        <v>501</v>
      </c>
      <c r="H275" s="2">
        <v>-4195992</v>
      </c>
      <c r="I275" s="2" t="s">
        <v>13</v>
      </c>
    </row>
    <row r="276" spans="1:9" ht="15" customHeight="1" x14ac:dyDescent="0.3">
      <c r="A276" s="2">
        <v>6165046</v>
      </c>
      <c r="B276" s="2" t="s">
        <v>9</v>
      </c>
      <c r="C276" s="2" t="s">
        <v>659</v>
      </c>
      <c r="D276" s="3">
        <v>45292</v>
      </c>
      <c r="E276" s="3">
        <v>45657</v>
      </c>
      <c r="F276" s="4" t="s">
        <v>502</v>
      </c>
      <c r="G276" s="2" t="s">
        <v>162</v>
      </c>
      <c r="H276" s="2">
        <v>201167790</v>
      </c>
      <c r="I276" s="2" t="s">
        <v>13</v>
      </c>
    </row>
    <row r="277" spans="1:9" ht="15" customHeight="1" x14ac:dyDescent="0.3">
      <c r="A277" s="2">
        <v>6165047</v>
      </c>
      <c r="B277" s="2" t="s">
        <v>9</v>
      </c>
      <c r="C277" s="2" t="s">
        <v>659</v>
      </c>
      <c r="D277" s="3">
        <v>45292</v>
      </c>
      <c r="E277" s="3">
        <v>45657</v>
      </c>
      <c r="F277" s="4" t="s">
        <v>503</v>
      </c>
      <c r="G277" s="2" t="s">
        <v>504</v>
      </c>
      <c r="H277" s="2">
        <v>7433985</v>
      </c>
      <c r="I277" s="2" t="s">
        <v>13</v>
      </c>
    </row>
    <row r="278" spans="1:9" ht="15" customHeight="1" x14ac:dyDescent="0.3">
      <c r="A278" s="2">
        <v>6165048</v>
      </c>
      <c r="B278" s="2" t="s">
        <v>9</v>
      </c>
      <c r="C278" s="2" t="s">
        <v>659</v>
      </c>
      <c r="D278" s="3">
        <v>45292</v>
      </c>
      <c r="E278" s="3">
        <v>45657</v>
      </c>
      <c r="F278" s="4" t="s">
        <v>505</v>
      </c>
      <c r="G278" s="2" t="s">
        <v>506</v>
      </c>
      <c r="H278" s="2">
        <v>-13700127</v>
      </c>
      <c r="I278" s="2" t="s">
        <v>13</v>
      </c>
    </row>
    <row r="279" spans="1:9" ht="15" customHeight="1" x14ac:dyDescent="0.3">
      <c r="A279" s="2">
        <v>6165049</v>
      </c>
      <c r="B279" s="2" t="s">
        <v>9</v>
      </c>
      <c r="C279" s="2" t="s">
        <v>659</v>
      </c>
      <c r="D279" s="3">
        <v>45292</v>
      </c>
      <c r="E279" s="3">
        <v>45657</v>
      </c>
      <c r="F279" s="4" t="s">
        <v>507</v>
      </c>
      <c r="G279" s="2" t="s">
        <v>508</v>
      </c>
      <c r="H279" s="2">
        <v>-2729079</v>
      </c>
      <c r="I279" s="2" t="s">
        <v>13</v>
      </c>
    </row>
    <row r="280" spans="1:9" ht="15" customHeight="1" x14ac:dyDescent="0.3">
      <c r="A280" s="2">
        <v>6165050</v>
      </c>
      <c r="B280" s="2" t="s">
        <v>9</v>
      </c>
      <c r="C280" s="2" t="s">
        <v>659</v>
      </c>
      <c r="D280" s="3">
        <v>45292</v>
      </c>
      <c r="E280" s="3">
        <v>45657</v>
      </c>
      <c r="F280" s="4" t="s">
        <v>509</v>
      </c>
      <c r="G280" s="2" t="s">
        <v>188</v>
      </c>
      <c r="H280" s="2">
        <v>0</v>
      </c>
      <c r="I280" s="2" t="s">
        <v>13</v>
      </c>
    </row>
    <row r="281" spans="1:9" ht="15" customHeight="1" x14ac:dyDescent="0.3">
      <c r="A281" s="2">
        <v>6165051</v>
      </c>
      <c r="B281" s="2" t="s">
        <v>9</v>
      </c>
      <c r="C281" s="2" t="s">
        <v>659</v>
      </c>
      <c r="D281" s="3">
        <v>45292</v>
      </c>
      <c r="E281" s="3">
        <v>45657</v>
      </c>
      <c r="F281" s="4" t="s">
        <v>510</v>
      </c>
      <c r="G281" s="2" t="s">
        <v>511</v>
      </c>
      <c r="H281" s="2">
        <v>-13175163</v>
      </c>
      <c r="I281" s="2" t="s">
        <v>13</v>
      </c>
    </row>
    <row r="282" spans="1:9" ht="15" customHeight="1" x14ac:dyDescent="0.3">
      <c r="A282" s="2">
        <v>6165052</v>
      </c>
      <c r="B282" s="2" t="s">
        <v>9</v>
      </c>
      <c r="C282" s="2" t="s">
        <v>659</v>
      </c>
      <c r="D282" s="3">
        <v>45292</v>
      </c>
      <c r="E282" s="3">
        <v>45657</v>
      </c>
      <c r="F282" s="4" t="s">
        <v>512</v>
      </c>
      <c r="G282" s="2" t="s">
        <v>238</v>
      </c>
      <c r="H282" s="2">
        <v>-7151392</v>
      </c>
      <c r="I282" s="2" t="s">
        <v>13</v>
      </c>
    </row>
    <row r="283" spans="1:9" ht="15" customHeight="1" x14ac:dyDescent="0.3">
      <c r="A283" s="2">
        <v>6165053</v>
      </c>
      <c r="B283" s="2" t="s">
        <v>9</v>
      </c>
      <c r="C283" s="2" t="s">
        <v>659</v>
      </c>
      <c r="D283" s="3">
        <v>45292</v>
      </c>
      <c r="E283" s="3">
        <v>45657</v>
      </c>
      <c r="F283" s="4" t="s">
        <v>513</v>
      </c>
      <c r="G283" s="2" t="s">
        <v>241</v>
      </c>
      <c r="H283" s="2">
        <v>0</v>
      </c>
      <c r="I283" s="2" t="s">
        <v>13</v>
      </c>
    </row>
    <row r="284" spans="1:9" ht="15" customHeight="1" x14ac:dyDescent="0.3">
      <c r="A284" s="2">
        <v>6165054</v>
      </c>
      <c r="B284" s="2" t="s">
        <v>9</v>
      </c>
      <c r="C284" s="2" t="s">
        <v>659</v>
      </c>
      <c r="D284" s="3">
        <v>45292</v>
      </c>
      <c r="E284" s="3">
        <v>45657</v>
      </c>
      <c r="F284" s="4" t="s">
        <v>514</v>
      </c>
      <c r="G284" s="2" t="s">
        <v>515</v>
      </c>
      <c r="H284" s="2">
        <v>-1997328</v>
      </c>
      <c r="I284" s="2" t="s">
        <v>13</v>
      </c>
    </row>
    <row r="285" spans="1:9" ht="15" customHeight="1" x14ac:dyDescent="0.3">
      <c r="A285" s="2">
        <v>6165055</v>
      </c>
      <c r="B285" s="2" t="s">
        <v>9</v>
      </c>
      <c r="C285" s="2" t="s">
        <v>659</v>
      </c>
      <c r="D285" s="3">
        <v>45292</v>
      </c>
      <c r="E285" s="3">
        <v>45657</v>
      </c>
      <c r="F285" s="4" t="s">
        <v>516</v>
      </c>
      <c r="G285" s="2" t="s">
        <v>517</v>
      </c>
      <c r="H285" s="2">
        <v>0</v>
      </c>
      <c r="I285" s="2" t="s">
        <v>13</v>
      </c>
    </row>
    <row r="286" spans="1:9" ht="15" customHeight="1" x14ac:dyDescent="0.3">
      <c r="A286" s="2">
        <v>6165056</v>
      </c>
      <c r="B286" s="2" t="s">
        <v>9</v>
      </c>
      <c r="C286" s="2" t="s">
        <v>659</v>
      </c>
      <c r="D286" s="3">
        <v>45292</v>
      </c>
      <c r="E286" s="3">
        <v>45657</v>
      </c>
      <c r="F286" s="4" t="s">
        <v>518</v>
      </c>
      <c r="G286" s="2" t="s">
        <v>70</v>
      </c>
      <c r="H286" s="2">
        <v>-156158431</v>
      </c>
      <c r="I286" s="2" t="s">
        <v>13</v>
      </c>
    </row>
    <row r="287" spans="1:9" ht="15" customHeight="1" x14ac:dyDescent="0.3">
      <c r="A287" s="2">
        <v>6165057</v>
      </c>
      <c r="B287" s="2" t="s">
        <v>9</v>
      </c>
      <c r="C287" s="2" t="s">
        <v>659</v>
      </c>
      <c r="D287" s="3">
        <v>45292</v>
      </c>
      <c r="E287" s="3">
        <v>45657</v>
      </c>
      <c r="F287" s="4" t="s">
        <v>519</v>
      </c>
      <c r="G287" s="2" t="s">
        <v>520</v>
      </c>
      <c r="H287" s="2">
        <v>-72614313</v>
      </c>
      <c r="I287" s="2" t="s">
        <v>13</v>
      </c>
    </row>
    <row r="288" spans="1:9" ht="15" customHeight="1" x14ac:dyDescent="0.3">
      <c r="A288" s="2">
        <v>6165058</v>
      </c>
      <c r="B288" s="2" t="s">
        <v>9</v>
      </c>
      <c r="C288" s="2" t="s">
        <v>659</v>
      </c>
      <c r="D288" s="3">
        <v>45292</v>
      </c>
      <c r="E288" s="3">
        <v>45657</v>
      </c>
      <c r="F288" s="4" t="s">
        <v>521</v>
      </c>
      <c r="G288" s="2" t="s">
        <v>522</v>
      </c>
      <c r="H288" s="2">
        <v>-25110545</v>
      </c>
      <c r="I288" s="2" t="s">
        <v>13</v>
      </c>
    </row>
    <row r="289" spans="1:9" ht="15" customHeight="1" x14ac:dyDescent="0.3">
      <c r="A289" s="2">
        <v>6165059</v>
      </c>
      <c r="B289" s="2" t="s">
        <v>9</v>
      </c>
      <c r="C289" s="2" t="s">
        <v>659</v>
      </c>
      <c r="D289" s="3">
        <v>45292</v>
      </c>
      <c r="E289" s="3">
        <v>45657</v>
      </c>
      <c r="F289" s="4" t="s">
        <v>523</v>
      </c>
      <c r="G289" s="2" t="s">
        <v>524</v>
      </c>
      <c r="H289" s="2">
        <v>-58433573</v>
      </c>
      <c r="I289" s="2" t="s">
        <v>13</v>
      </c>
    </row>
    <row r="290" spans="1:9" ht="15" customHeight="1" x14ac:dyDescent="0.3">
      <c r="A290" s="2">
        <v>6165060</v>
      </c>
      <c r="B290" s="2" t="s">
        <v>9</v>
      </c>
      <c r="C290" s="2" t="s">
        <v>659</v>
      </c>
      <c r="D290" s="3">
        <v>45292</v>
      </c>
      <c r="E290" s="3">
        <v>45657</v>
      </c>
      <c r="F290" s="4" t="s">
        <v>525</v>
      </c>
      <c r="G290" s="2" t="s">
        <v>526</v>
      </c>
      <c r="H290" s="2">
        <v>-45153533</v>
      </c>
      <c r="I290" s="2" t="s">
        <v>13</v>
      </c>
    </row>
    <row r="291" spans="1:9" ht="15" customHeight="1" x14ac:dyDescent="0.3">
      <c r="A291" s="2">
        <v>6165061</v>
      </c>
      <c r="B291" s="2" t="s">
        <v>9</v>
      </c>
      <c r="C291" s="2" t="s">
        <v>659</v>
      </c>
      <c r="D291" s="3">
        <v>45292</v>
      </c>
      <c r="E291" s="3">
        <v>45657</v>
      </c>
      <c r="F291" s="4" t="s">
        <v>527</v>
      </c>
      <c r="G291" s="2" t="s">
        <v>528</v>
      </c>
      <c r="H291" s="2">
        <v>83866084</v>
      </c>
      <c r="I291" s="2" t="s">
        <v>13</v>
      </c>
    </row>
    <row r="292" spans="1:9" ht="15" customHeight="1" x14ac:dyDescent="0.3">
      <c r="A292" s="2">
        <v>6165062</v>
      </c>
      <c r="B292" s="2" t="s">
        <v>9</v>
      </c>
      <c r="C292" s="2" t="s">
        <v>659</v>
      </c>
      <c r="D292" s="3">
        <v>45292</v>
      </c>
      <c r="E292" s="3">
        <v>45657</v>
      </c>
      <c r="F292" s="4" t="s">
        <v>529</v>
      </c>
      <c r="G292" s="2" t="s">
        <v>530</v>
      </c>
      <c r="H292" s="2">
        <v>-107440875</v>
      </c>
      <c r="I292" s="2" t="s">
        <v>13</v>
      </c>
    </row>
    <row r="293" spans="1:9" ht="15" customHeight="1" x14ac:dyDescent="0.3">
      <c r="A293" s="2">
        <v>6165063</v>
      </c>
      <c r="B293" s="2" t="s">
        <v>9</v>
      </c>
      <c r="C293" s="2" t="s">
        <v>659</v>
      </c>
      <c r="D293" s="3">
        <v>45292</v>
      </c>
      <c r="E293" s="3">
        <v>45657</v>
      </c>
      <c r="F293" s="4" t="s">
        <v>531</v>
      </c>
      <c r="G293" s="2" t="s">
        <v>532</v>
      </c>
      <c r="H293" s="2">
        <v>-21578742</v>
      </c>
      <c r="I293" s="2" t="s">
        <v>13</v>
      </c>
    </row>
    <row r="294" spans="1:9" ht="15" customHeight="1" x14ac:dyDescent="0.3">
      <c r="A294" s="2">
        <v>6165064</v>
      </c>
      <c r="B294" s="2" t="s">
        <v>9</v>
      </c>
      <c r="C294" s="2" t="s">
        <v>659</v>
      </c>
      <c r="D294" s="3">
        <v>45292</v>
      </c>
      <c r="E294" s="3">
        <v>45657</v>
      </c>
      <c r="F294" s="4" t="s">
        <v>533</v>
      </c>
      <c r="G294" s="2" t="s">
        <v>534</v>
      </c>
      <c r="H294" s="2">
        <v>0</v>
      </c>
      <c r="I294" s="2" t="s">
        <v>13</v>
      </c>
    </row>
    <row r="295" spans="1:9" ht="15" customHeight="1" x14ac:dyDescent="0.3">
      <c r="A295" s="2">
        <v>6165065</v>
      </c>
      <c r="B295" s="2" t="s">
        <v>9</v>
      </c>
      <c r="C295" s="2" t="s">
        <v>659</v>
      </c>
      <c r="D295" s="3">
        <v>45292</v>
      </c>
      <c r="E295" s="3">
        <v>45657</v>
      </c>
      <c r="F295" s="4" t="s">
        <v>535</v>
      </c>
      <c r="G295" s="2" t="s">
        <v>536</v>
      </c>
      <c r="H295" s="2">
        <v>0</v>
      </c>
      <c r="I295" s="2" t="s">
        <v>13</v>
      </c>
    </row>
    <row r="296" spans="1:9" ht="15" customHeight="1" x14ac:dyDescent="0.3">
      <c r="A296" s="2">
        <v>6165066</v>
      </c>
      <c r="B296" s="2" t="s">
        <v>9</v>
      </c>
      <c r="C296" s="2" t="s">
        <v>659</v>
      </c>
      <c r="D296" s="3">
        <v>45292</v>
      </c>
      <c r="E296" s="3">
        <v>45657</v>
      </c>
      <c r="F296" s="4" t="s">
        <v>537</v>
      </c>
      <c r="G296" s="2" t="s">
        <v>538</v>
      </c>
      <c r="H296" s="2">
        <v>0</v>
      </c>
      <c r="I296" s="2" t="s">
        <v>13</v>
      </c>
    </row>
    <row r="297" spans="1:9" ht="15" customHeight="1" x14ac:dyDescent="0.3">
      <c r="A297" s="2">
        <v>6165067</v>
      </c>
      <c r="B297" s="2" t="s">
        <v>9</v>
      </c>
      <c r="C297" s="2" t="s">
        <v>659</v>
      </c>
      <c r="D297" s="3">
        <v>45292</v>
      </c>
      <c r="E297" s="3">
        <v>45657</v>
      </c>
      <c r="F297" s="4" t="s">
        <v>539</v>
      </c>
      <c r="G297" s="2" t="s">
        <v>540</v>
      </c>
      <c r="H297" s="2">
        <v>0</v>
      </c>
      <c r="I297" s="2" t="s">
        <v>13</v>
      </c>
    </row>
    <row r="298" spans="1:9" ht="15" customHeight="1" x14ac:dyDescent="0.3">
      <c r="A298" s="2">
        <v>6165068</v>
      </c>
      <c r="B298" s="2" t="s">
        <v>9</v>
      </c>
      <c r="C298" s="2" t="s">
        <v>659</v>
      </c>
      <c r="D298" s="3">
        <v>45292</v>
      </c>
      <c r="E298" s="3">
        <v>45657</v>
      </c>
      <c r="F298" s="4" t="s">
        <v>541</v>
      </c>
      <c r="G298" s="2" t="s">
        <v>542</v>
      </c>
      <c r="H298" s="2">
        <v>0</v>
      </c>
      <c r="I298" s="2" t="s">
        <v>13</v>
      </c>
    </row>
    <row r="299" spans="1:9" ht="15" customHeight="1" x14ac:dyDescent="0.3">
      <c r="A299" s="2">
        <v>6165069</v>
      </c>
      <c r="B299" s="2" t="s">
        <v>9</v>
      </c>
      <c r="C299" s="2" t="s">
        <v>659</v>
      </c>
      <c r="D299" s="3">
        <v>45292</v>
      </c>
      <c r="E299" s="3">
        <v>45657</v>
      </c>
      <c r="F299" s="4" t="s">
        <v>543</v>
      </c>
      <c r="G299" s="2" t="s">
        <v>544</v>
      </c>
      <c r="H299" s="2">
        <v>0</v>
      </c>
      <c r="I299" s="2" t="s">
        <v>13</v>
      </c>
    </row>
    <row r="300" spans="1:9" ht="15" customHeight="1" x14ac:dyDescent="0.3">
      <c r="A300" s="2">
        <v>6165070</v>
      </c>
      <c r="B300" s="2" t="s">
        <v>9</v>
      </c>
      <c r="C300" s="2" t="s">
        <v>659</v>
      </c>
      <c r="D300" s="3">
        <v>45292</v>
      </c>
      <c r="E300" s="3">
        <v>45657</v>
      </c>
      <c r="F300" s="4" t="s">
        <v>545</v>
      </c>
      <c r="G300" s="2" t="s">
        <v>546</v>
      </c>
      <c r="H300" s="2">
        <v>-48869476</v>
      </c>
      <c r="I300" s="2" t="s">
        <v>13</v>
      </c>
    </row>
    <row r="301" spans="1:9" ht="15" customHeight="1" x14ac:dyDescent="0.3">
      <c r="A301" s="2">
        <v>6165071</v>
      </c>
      <c r="B301" s="2" t="s">
        <v>9</v>
      </c>
      <c r="C301" s="2" t="s">
        <v>659</v>
      </c>
      <c r="D301" s="3">
        <v>45292</v>
      </c>
      <c r="E301" s="3">
        <v>45657</v>
      </c>
      <c r="F301" s="4" t="s">
        <v>547</v>
      </c>
      <c r="G301" s="2" t="s">
        <v>548</v>
      </c>
      <c r="H301" s="2">
        <v>-6972955</v>
      </c>
      <c r="I301" s="2" t="s">
        <v>13</v>
      </c>
    </row>
    <row r="302" spans="1:9" ht="15" customHeight="1" x14ac:dyDescent="0.3">
      <c r="A302" s="2">
        <v>6165072</v>
      </c>
      <c r="B302" s="2" t="s">
        <v>9</v>
      </c>
      <c r="C302" s="2" t="s">
        <v>659</v>
      </c>
      <c r="D302" s="3">
        <v>45292</v>
      </c>
      <c r="E302" s="3">
        <v>45657</v>
      </c>
      <c r="F302" s="4" t="s">
        <v>549</v>
      </c>
      <c r="G302" s="2" t="s">
        <v>544</v>
      </c>
      <c r="H302" s="2">
        <v>0</v>
      </c>
      <c r="I302" s="2" t="s">
        <v>13</v>
      </c>
    </row>
    <row r="303" spans="1:9" ht="15" customHeight="1" x14ac:dyDescent="0.3">
      <c r="A303" s="2">
        <v>6165073</v>
      </c>
      <c r="B303" s="2" t="s">
        <v>9</v>
      </c>
      <c r="C303" s="2" t="s">
        <v>659</v>
      </c>
      <c r="D303" s="3">
        <v>45292</v>
      </c>
      <c r="E303" s="3">
        <v>45657</v>
      </c>
      <c r="F303" s="4" t="s">
        <v>550</v>
      </c>
      <c r="G303" s="2" t="s">
        <v>551</v>
      </c>
      <c r="H303" s="2">
        <v>-87693115</v>
      </c>
      <c r="I303" s="2" t="s">
        <v>13</v>
      </c>
    </row>
    <row r="304" spans="1:9" ht="15" customHeight="1" x14ac:dyDescent="0.3">
      <c r="A304" s="2">
        <v>6165074</v>
      </c>
      <c r="B304" s="2" t="s">
        <v>9</v>
      </c>
      <c r="C304" s="2" t="s">
        <v>659</v>
      </c>
      <c r="D304" s="3">
        <v>45292</v>
      </c>
      <c r="E304" s="3">
        <v>45657</v>
      </c>
      <c r="F304" s="4" t="s">
        <v>552</v>
      </c>
      <c r="G304" s="2" t="s">
        <v>553</v>
      </c>
      <c r="H304" s="2">
        <v>190000000</v>
      </c>
      <c r="I304" s="2" t="s">
        <v>13</v>
      </c>
    </row>
    <row r="305" spans="1:9" ht="15" customHeight="1" x14ac:dyDescent="0.3">
      <c r="A305" s="2">
        <v>6165075</v>
      </c>
      <c r="B305" s="2" t="s">
        <v>9</v>
      </c>
      <c r="C305" s="2" t="s">
        <v>659</v>
      </c>
      <c r="D305" s="3">
        <v>45292</v>
      </c>
      <c r="E305" s="3">
        <v>45657</v>
      </c>
      <c r="F305" s="4" t="s">
        <v>554</v>
      </c>
      <c r="G305" s="2" t="s">
        <v>555</v>
      </c>
      <c r="H305" s="2">
        <v>-122413546</v>
      </c>
      <c r="I305" s="2" t="s">
        <v>13</v>
      </c>
    </row>
    <row r="306" spans="1:9" ht="15" customHeight="1" x14ac:dyDescent="0.3">
      <c r="A306" s="2">
        <v>6165076</v>
      </c>
      <c r="B306" s="2" t="s">
        <v>9</v>
      </c>
      <c r="C306" s="2" t="s">
        <v>659</v>
      </c>
      <c r="D306" s="3">
        <v>45292</v>
      </c>
      <c r="E306" s="3">
        <v>45657</v>
      </c>
      <c r="F306" s="4" t="s">
        <v>556</v>
      </c>
      <c r="G306" s="2" t="s">
        <v>557</v>
      </c>
      <c r="H306" s="2">
        <v>-5255501</v>
      </c>
      <c r="I306" s="2" t="s">
        <v>13</v>
      </c>
    </row>
    <row r="307" spans="1:9" ht="15" customHeight="1" x14ac:dyDescent="0.3">
      <c r="A307" s="2">
        <v>6165077</v>
      </c>
      <c r="B307" s="2" t="s">
        <v>9</v>
      </c>
      <c r="C307" s="2" t="s">
        <v>659</v>
      </c>
      <c r="D307" s="3">
        <v>45292</v>
      </c>
      <c r="E307" s="3">
        <v>45657</v>
      </c>
      <c r="F307" s="4" t="s">
        <v>558</v>
      </c>
      <c r="G307" s="2" t="s">
        <v>559</v>
      </c>
      <c r="H307" s="2">
        <v>-64716162</v>
      </c>
      <c r="I307" s="2" t="s">
        <v>13</v>
      </c>
    </row>
    <row r="308" spans="1:9" ht="15" customHeight="1" x14ac:dyDescent="0.3">
      <c r="A308" s="2">
        <v>6165078</v>
      </c>
      <c r="B308" s="2" t="s">
        <v>9</v>
      </c>
      <c r="C308" s="2" t="s">
        <v>659</v>
      </c>
      <c r="D308" s="3">
        <v>45292</v>
      </c>
      <c r="E308" s="3">
        <v>45657</v>
      </c>
      <c r="F308" s="4" t="s">
        <v>560</v>
      </c>
      <c r="G308" s="2" t="s">
        <v>561</v>
      </c>
      <c r="H308" s="2">
        <v>48181803</v>
      </c>
      <c r="I308" s="2" t="s">
        <v>13</v>
      </c>
    </row>
    <row r="309" spans="1:9" ht="15" customHeight="1" x14ac:dyDescent="0.3">
      <c r="A309" s="2">
        <v>6165079</v>
      </c>
      <c r="B309" s="2" t="s">
        <v>9</v>
      </c>
      <c r="C309" s="2" t="s">
        <v>659</v>
      </c>
      <c r="D309" s="3">
        <v>45292</v>
      </c>
      <c r="E309" s="3">
        <v>45657</v>
      </c>
      <c r="F309" s="4" t="s">
        <v>562</v>
      </c>
      <c r="G309" s="2" t="s">
        <v>563</v>
      </c>
      <c r="H309" s="2">
        <v>0</v>
      </c>
      <c r="I309" s="2" t="s">
        <v>13</v>
      </c>
    </row>
    <row r="310" spans="1:9" ht="15" customHeight="1" x14ac:dyDescent="0.3">
      <c r="A310" s="2">
        <v>6165080</v>
      </c>
      <c r="B310" s="2" t="s">
        <v>9</v>
      </c>
      <c r="C310" s="2" t="s">
        <v>659</v>
      </c>
      <c r="D310" s="3">
        <v>45292</v>
      </c>
      <c r="E310" s="3">
        <v>45657</v>
      </c>
      <c r="F310" s="4" t="s">
        <v>568</v>
      </c>
      <c r="G310" s="2" t="s">
        <v>569</v>
      </c>
      <c r="H310" s="2">
        <v>0</v>
      </c>
      <c r="I310" s="2" t="s">
        <v>13</v>
      </c>
    </row>
    <row r="311" spans="1:9" ht="15" customHeight="1" x14ac:dyDescent="0.3">
      <c r="A311" s="2">
        <v>6165081</v>
      </c>
      <c r="B311" s="2" t="s">
        <v>9</v>
      </c>
      <c r="C311" s="2" t="s">
        <v>659</v>
      </c>
      <c r="D311" s="3">
        <v>45292</v>
      </c>
      <c r="E311" s="3">
        <v>45657</v>
      </c>
      <c r="F311" s="4" t="s">
        <v>570</v>
      </c>
      <c r="G311" s="2" t="s">
        <v>571</v>
      </c>
      <c r="H311" s="2">
        <v>56658223</v>
      </c>
      <c r="I311" s="2" t="s">
        <v>13</v>
      </c>
    </row>
    <row r="312" spans="1:9" ht="15" customHeight="1" x14ac:dyDescent="0.3">
      <c r="A312" s="2">
        <v>6165082</v>
      </c>
      <c r="B312" s="2" t="s">
        <v>9</v>
      </c>
      <c r="C312" s="2" t="s">
        <v>659</v>
      </c>
      <c r="D312" s="3">
        <v>45292</v>
      </c>
      <c r="E312" s="3">
        <v>45657</v>
      </c>
      <c r="F312" s="4" t="s">
        <v>572</v>
      </c>
      <c r="G312" s="2" t="s">
        <v>573</v>
      </c>
      <c r="H312" s="2">
        <v>221495208</v>
      </c>
      <c r="I312" s="2" t="s">
        <v>13</v>
      </c>
    </row>
    <row r="313" spans="1:9" ht="15" customHeight="1" x14ac:dyDescent="0.3">
      <c r="A313" s="2">
        <v>6165083</v>
      </c>
      <c r="B313" s="2" t="s">
        <v>9</v>
      </c>
      <c r="C313" s="2" t="s">
        <v>659</v>
      </c>
      <c r="D313" s="3">
        <v>45292</v>
      </c>
      <c r="E313" s="3">
        <v>45657</v>
      </c>
      <c r="F313" s="4" t="s">
        <v>574</v>
      </c>
      <c r="G313" s="2" t="s">
        <v>575</v>
      </c>
      <c r="H313" s="2">
        <v>278153431</v>
      </c>
      <c r="I313" s="2" t="s">
        <v>13</v>
      </c>
    </row>
    <row r="314" spans="1:9" ht="15" customHeight="1" x14ac:dyDescent="0.3">
      <c r="A314" s="2">
        <v>6165084</v>
      </c>
      <c r="B314" s="2" t="s">
        <v>9</v>
      </c>
      <c r="C314" s="2" t="s">
        <v>659</v>
      </c>
      <c r="D314" s="3">
        <v>45292</v>
      </c>
      <c r="E314" s="3">
        <v>45657</v>
      </c>
      <c r="F314" s="4" t="s">
        <v>576</v>
      </c>
      <c r="G314" s="2" t="s">
        <v>577</v>
      </c>
      <c r="H314" s="2">
        <v>3446752886</v>
      </c>
      <c r="I314" s="2" t="s">
        <v>13</v>
      </c>
    </row>
    <row r="315" spans="1:9" ht="15" customHeight="1" x14ac:dyDescent="0.3">
      <c r="A315" s="2">
        <v>6165085</v>
      </c>
      <c r="B315" s="2" t="s">
        <v>9</v>
      </c>
      <c r="C315" s="2" t="s">
        <v>659</v>
      </c>
      <c r="D315" s="3">
        <v>45292</v>
      </c>
      <c r="E315" s="3">
        <v>45657</v>
      </c>
      <c r="F315" s="4" t="s">
        <v>578</v>
      </c>
      <c r="G315" s="2" t="s">
        <v>579</v>
      </c>
      <c r="H315" s="2">
        <v>3271246699</v>
      </c>
      <c r="I315" s="2" t="s">
        <v>13</v>
      </c>
    </row>
    <row r="316" spans="1:9" ht="15" customHeight="1" x14ac:dyDescent="0.3">
      <c r="A316" s="2">
        <v>6165086</v>
      </c>
      <c r="B316" s="2" t="s">
        <v>9</v>
      </c>
      <c r="C316" s="2" t="s">
        <v>659</v>
      </c>
      <c r="D316" s="3">
        <v>45292</v>
      </c>
      <c r="E316" s="3">
        <v>45657</v>
      </c>
      <c r="F316" s="4" t="s">
        <v>580</v>
      </c>
      <c r="G316" s="2" t="s">
        <v>581</v>
      </c>
      <c r="H316" s="2">
        <v>94895810</v>
      </c>
      <c r="I316" s="2" t="s">
        <v>13</v>
      </c>
    </row>
    <row r="317" spans="1:9" ht="15" customHeight="1" x14ac:dyDescent="0.3">
      <c r="A317" s="2">
        <v>6165087</v>
      </c>
      <c r="B317" s="2" t="s">
        <v>9</v>
      </c>
      <c r="C317" s="2" t="s">
        <v>659</v>
      </c>
      <c r="D317" s="3">
        <v>45292</v>
      </c>
      <c r="E317" s="3">
        <v>45657</v>
      </c>
      <c r="F317" s="4" t="s">
        <v>582</v>
      </c>
      <c r="G317" s="2" t="s">
        <v>583</v>
      </c>
      <c r="H317" s="2">
        <v>94895810</v>
      </c>
      <c r="I317" s="2" t="s">
        <v>13</v>
      </c>
    </row>
    <row r="318" spans="1:9" ht="15" customHeight="1" x14ac:dyDescent="0.3">
      <c r="A318" s="2">
        <v>6165088</v>
      </c>
      <c r="B318" s="2" t="s">
        <v>9</v>
      </c>
      <c r="C318" s="2" t="s">
        <v>659</v>
      </c>
      <c r="D318" s="3">
        <v>45292</v>
      </c>
      <c r="E318" s="3">
        <v>45657</v>
      </c>
      <c r="F318" s="4" t="s">
        <v>584</v>
      </c>
      <c r="G318" s="2" t="s">
        <v>585</v>
      </c>
      <c r="H318" s="2">
        <v>0</v>
      </c>
      <c r="I318" s="2" t="s">
        <v>13</v>
      </c>
    </row>
    <row r="319" spans="1:9" ht="15" customHeight="1" x14ac:dyDescent="0.3">
      <c r="A319" s="2">
        <v>6165089</v>
      </c>
      <c r="B319" s="2" t="s">
        <v>9</v>
      </c>
      <c r="C319" s="2" t="s">
        <v>659</v>
      </c>
      <c r="D319" s="3">
        <v>45292</v>
      </c>
      <c r="E319" s="3">
        <v>45657</v>
      </c>
      <c r="F319" s="4" t="s">
        <v>586</v>
      </c>
      <c r="G319" s="2" t="s">
        <v>587</v>
      </c>
      <c r="H319" s="2">
        <v>80632628</v>
      </c>
      <c r="I319" s="2" t="s">
        <v>13</v>
      </c>
    </row>
    <row r="320" spans="1:9" ht="15" customHeight="1" x14ac:dyDescent="0.3">
      <c r="A320" s="2">
        <v>6165090</v>
      </c>
      <c r="B320" s="2" t="s">
        <v>9</v>
      </c>
      <c r="C320" s="2" t="s">
        <v>659</v>
      </c>
      <c r="D320" s="3">
        <v>45292</v>
      </c>
      <c r="E320" s="3">
        <v>45657</v>
      </c>
      <c r="F320" s="4" t="s">
        <v>588</v>
      </c>
      <c r="G320" s="2" t="s">
        <v>589</v>
      </c>
      <c r="H320" s="2">
        <v>-22251</v>
      </c>
      <c r="I320" s="2" t="s">
        <v>13</v>
      </c>
    </row>
    <row r="321" spans="1:9" ht="15" customHeight="1" x14ac:dyDescent="0.3">
      <c r="A321" s="2">
        <v>6165091</v>
      </c>
      <c r="B321" s="2" t="s">
        <v>9</v>
      </c>
      <c r="C321" s="2" t="s">
        <v>659</v>
      </c>
      <c r="D321" s="3">
        <v>45292</v>
      </c>
      <c r="E321" s="3">
        <v>45657</v>
      </c>
      <c r="F321" s="4" t="s">
        <v>590</v>
      </c>
      <c r="G321" s="2" t="s">
        <v>591</v>
      </c>
      <c r="H321" s="2">
        <v>-1257654063</v>
      </c>
      <c r="I321" s="2" t="s">
        <v>13</v>
      </c>
    </row>
    <row r="322" spans="1:9" ht="15" customHeight="1" x14ac:dyDescent="0.3">
      <c r="A322" s="2">
        <v>6165092</v>
      </c>
      <c r="B322" s="2" t="s">
        <v>9</v>
      </c>
      <c r="C322" s="2" t="s">
        <v>659</v>
      </c>
      <c r="D322" s="3">
        <v>45292</v>
      </c>
      <c r="E322" s="3">
        <v>45657</v>
      </c>
      <c r="F322" s="4" t="s">
        <v>592</v>
      </c>
      <c r="G322" s="2" t="s">
        <v>593</v>
      </c>
      <c r="H322" s="2">
        <v>-655423153</v>
      </c>
      <c r="I322" s="2" t="s">
        <v>13</v>
      </c>
    </row>
    <row r="323" spans="1:9" ht="15" customHeight="1" x14ac:dyDescent="0.3">
      <c r="A323" s="2">
        <v>6165093</v>
      </c>
      <c r="B323" s="2" t="s">
        <v>9</v>
      </c>
      <c r="C323" s="2" t="s">
        <v>659</v>
      </c>
      <c r="D323" s="3">
        <v>45292</v>
      </c>
      <c r="E323" s="3">
        <v>45657</v>
      </c>
      <c r="F323" s="4" t="s">
        <v>594</v>
      </c>
      <c r="G323" s="2" t="s">
        <v>595</v>
      </c>
      <c r="H323" s="2">
        <v>-523452469</v>
      </c>
      <c r="I323" s="2" t="s">
        <v>13</v>
      </c>
    </row>
    <row r="324" spans="1:9" ht="15" customHeight="1" x14ac:dyDescent="0.3">
      <c r="A324" s="2">
        <v>6165094</v>
      </c>
      <c r="B324" s="2" t="s">
        <v>9</v>
      </c>
      <c r="C324" s="2" t="s">
        <v>659</v>
      </c>
      <c r="D324" s="3">
        <v>45292</v>
      </c>
      <c r="E324" s="3">
        <v>45657</v>
      </c>
      <c r="F324" s="4" t="s">
        <v>596</v>
      </c>
      <c r="G324" s="2" t="s">
        <v>597</v>
      </c>
      <c r="H324" s="2">
        <v>-78778441</v>
      </c>
      <c r="I324" s="2" t="s">
        <v>13</v>
      </c>
    </row>
    <row r="325" spans="1:9" ht="15" customHeight="1" x14ac:dyDescent="0.3">
      <c r="A325" s="2">
        <v>6165095</v>
      </c>
      <c r="B325" s="2" t="s">
        <v>9</v>
      </c>
      <c r="C325" s="2" t="s">
        <v>659</v>
      </c>
      <c r="D325" s="3">
        <v>45292</v>
      </c>
      <c r="E325" s="3">
        <v>45657</v>
      </c>
      <c r="F325" s="4" t="s">
        <v>598</v>
      </c>
      <c r="G325" s="2" t="s">
        <v>70</v>
      </c>
      <c r="H325" s="2">
        <v>0</v>
      </c>
      <c r="I325" s="2" t="s">
        <v>13</v>
      </c>
    </row>
    <row r="326" spans="1:9" ht="15" customHeight="1" x14ac:dyDescent="0.3">
      <c r="A326" s="2">
        <v>6165096</v>
      </c>
      <c r="B326" s="2" t="s">
        <v>9</v>
      </c>
      <c r="C326" s="2" t="s">
        <v>659</v>
      </c>
      <c r="D326" s="3">
        <v>45292</v>
      </c>
      <c r="E326" s="3">
        <v>45657</v>
      </c>
      <c r="F326" s="4" t="s">
        <v>599</v>
      </c>
      <c r="G326" s="2" t="s">
        <v>600</v>
      </c>
      <c r="H326" s="2">
        <v>0</v>
      </c>
      <c r="I326" s="2" t="s">
        <v>13</v>
      </c>
    </row>
    <row r="327" spans="1:9" ht="15" customHeight="1" x14ac:dyDescent="0.3">
      <c r="A327" s="2">
        <v>6165097</v>
      </c>
      <c r="B327" s="2" t="s">
        <v>9</v>
      </c>
      <c r="C327" s="2" t="s">
        <v>659</v>
      </c>
      <c r="D327" s="3">
        <v>45292</v>
      </c>
      <c r="E327" s="3">
        <v>45657</v>
      </c>
      <c r="F327" s="4" t="s">
        <v>601</v>
      </c>
      <c r="G327" s="2" t="s">
        <v>602</v>
      </c>
      <c r="H327" s="2">
        <v>2189098823</v>
      </c>
      <c r="I327" s="2" t="s">
        <v>13</v>
      </c>
    </row>
    <row r="328" spans="1:9" ht="15" customHeight="1" x14ac:dyDescent="0.3">
      <c r="A328" s="2">
        <v>6165098</v>
      </c>
      <c r="B328" s="2" t="s">
        <v>9</v>
      </c>
      <c r="C328" s="2" t="s">
        <v>659</v>
      </c>
      <c r="D328" s="3">
        <v>45292</v>
      </c>
      <c r="E328" s="3">
        <v>45657</v>
      </c>
      <c r="F328" s="4" t="s">
        <v>603</v>
      </c>
      <c r="G328" s="2" t="s">
        <v>604</v>
      </c>
      <c r="H328" s="2">
        <v>-154530015</v>
      </c>
      <c r="I328" s="2" t="s">
        <v>13</v>
      </c>
    </row>
    <row r="329" spans="1:9" ht="15" customHeight="1" x14ac:dyDescent="0.3">
      <c r="A329" s="2">
        <v>6165099</v>
      </c>
      <c r="B329" s="2" t="s">
        <v>9</v>
      </c>
      <c r="C329" s="2" t="s">
        <v>659</v>
      </c>
      <c r="D329" s="3">
        <v>45292</v>
      </c>
      <c r="E329" s="3">
        <v>45657</v>
      </c>
      <c r="F329" s="4" t="s">
        <v>605</v>
      </c>
      <c r="G329" s="2" t="s">
        <v>606</v>
      </c>
      <c r="H329" s="2">
        <v>-154530015</v>
      </c>
      <c r="I329" s="2" t="s">
        <v>13</v>
      </c>
    </row>
    <row r="330" spans="1:9" ht="15" customHeight="1" x14ac:dyDescent="0.3">
      <c r="A330" s="2">
        <v>6165100</v>
      </c>
      <c r="B330" s="2" t="s">
        <v>9</v>
      </c>
      <c r="C330" s="2" t="s">
        <v>659</v>
      </c>
      <c r="D330" s="3">
        <v>45292</v>
      </c>
      <c r="E330" s="3">
        <v>45657</v>
      </c>
      <c r="F330" s="4" t="s">
        <v>607</v>
      </c>
      <c r="G330" s="2" t="s">
        <v>608</v>
      </c>
      <c r="H330" s="2">
        <v>0</v>
      </c>
      <c r="I330" s="2" t="s">
        <v>13</v>
      </c>
    </row>
    <row r="331" spans="1:9" ht="15" customHeight="1" x14ac:dyDescent="0.3">
      <c r="A331" s="2">
        <v>6165101</v>
      </c>
      <c r="B331" s="2" t="s">
        <v>9</v>
      </c>
      <c r="C331" s="2" t="s">
        <v>659</v>
      </c>
      <c r="D331" s="3">
        <v>45292</v>
      </c>
      <c r="E331" s="3">
        <v>45657</v>
      </c>
      <c r="F331" s="4" t="s">
        <v>609</v>
      </c>
      <c r="G331" s="2" t="s">
        <v>610</v>
      </c>
      <c r="H331" s="2">
        <v>2034568808</v>
      </c>
      <c r="I331" s="2" t="s">
        <v>13</v>
      </c>
    </row>
    <row r="332" spans="1:9" ht="15" customHeight="1" x14ac:dyDescent="0.3">
      <c r="A332" s="2">
        <v>6165102</v>
      </c>
      <c r="B332" s="2" t="s">
        <v>9</v>
      </c>
      <c r="C332" s="2" t="s">
        <v>659</v>
      </c>
      <c r="D332" s="3">
        <v>45292</v>
      </c>
      <c r="E332" s="3">
        <v>45657</v>
      </c>
      <c r="F332" s="4" t="s">
        <v>611</v>
      </c>
      <c r="G332" s="2" t="s">
        <v>612</v>
      </c>
      <c r="H332" s="2">
        <v>56934985</v>
      </c>
      <c r="I332" s="2" t="s">
        <v>13</v>
      </c>
    </row>
    <row r="333" spans="1:9" ht="15" customHeight="1" x14ac:dyDescent="0.3">
      <c r="A333" s="2">
        <v>6165103</v>
      </c>
      <c r="B333" s="2" t="s">
        <v>9</v>
      </c>
      <c r="C333" s="2" t="s">
        <v>659</v>
      </c>
      <c r="D333" s="3">
        <v>45292</v>
      </c>
      <c r="E333" s="3">
        <v>45657</v>
      </c>
      <c r="F333" s="4" t="s">
        <v>613</v>
      </c>
      <c r="G333" s="2" t="s">
        <v>405</v>
      </c>
      <c r="H333" s="2">
        <v>0</v>
      </c>
      <c r="I333" s="2" t="s">
        <v>13</v>
      </c>
    </row>
    <row r="334" spans="1:9" ht="15" customHeight="1" x14ac:dyDescent="0.3">
      <c r="A334" s="2">
        <v>6165104</v>
      </c>
      <c r="B334" s="2" t="s">
        <v>9</v>
      </c>
      <c r="C334" s="2" t="s">
        <v>659</v>
      </c>
      <c r="D334" s="3">
        <v>45292</v>
      </c>
      <c r="E334" s="3">
        <v>45657</v>
      </c>
      <c r="F334" s="4" t="s">
        <v>614</v>
      </c>
      <c r="G334" s="2" t="s">
        <v>413</v>
      </c>
      <c r="H334" s="2">
        <v>56934985</v>
      </c>
      <c r="I334" s="2" t="s">
        <v>13</v>
      </c>
    </row>
    <row r="335" spans="1:9" ht="15" customHeight="1" x14ac:dyDescent="0.3">
      <c r="A335" s="2">
        <v>6165105</v>
      </c>
      <c r="B335" s="2" t="s">
        <v>9</v>
      </c>
      <c r="C335" s="2" t="s">
        <v>659</v>
      </c>
      <c r="D335" s="3">
        <v>45292</v>
      </c>
      <c r="E335" s="3">
        <v>45657</v>
      </c>
      <c r="F335" s="4" t="s">
        <v>615</v>
      </c>
      <c r="G335" s="2" t="s">
        <v>70</v>
      </c>
      <c r="H335" s="2">
        <v>0</v>
      </c>
      <c r="I335" s="2" t="s">
        <v>13</v>
      </c>
    </row>
    <row r="336" spans="1:9" ht="15" customHeight="1" x14ac:dyDescent="0.3">
      <c r="A336" s="2">
        <v>6165106</v>
      </c>
      <c r="B336" s="2" t="s">
        <v>9</v>
      </c>
      <c r="C336" s="2" t="s">
        <v>659</v>
      </c>
      <c r="D336" s="3">
        <v>45292</v>
      </c>
      <c r="E336" s="3">
        <v>45657</v>
      </c>
      <c r="F336" s="4" t="s">
        <v>616</v>
      </c>
      <c r="G336" s="2" t="s">
        <v>617</v>
      </c>
      <c r="H336" s="2">
        <v>0</v>
      </c>
      <c r="I336" s="2" t="s">
        <v>13</v>
      </c>
    </row>
    <row r="337" spans="1:9" ht="15" customHeight="1" x14ac:dyDescent="0.3">
      <c r="A337" s="2">
        <v>6165107</v>
      </c>
      <c r="B337" s="2" t="s">
        <v>9</v>
      </c>
      <c r="C337" s="2" t="s">
        <v>659</v>
      </c>
      <c r="D337" s="3">
        <v>45292</v>
      </c>
      <c r="E337" s="3">
        <v>45657</v>
      </c>
      <c r="F337" s="4" t="s">
        <v>618</v>
      </c>
      <c r="G337" s="2" t="s">
        <v>619</v>
      </c>
      <c r="H337" s="2">
        <v>2091503793</v>
      </c>
      <c r="I337" s="2" t="s">
        <v>13</v>
      </c>
    </row>
    <row r="338" spans="1:9" ht="15" customHeight="1" x14ac:dyDescent="0.3">
      <c r="A338" s="2">
        <v>6165108</v>
      </c>
      <c r="B338" s="2" t="s">
        <v>9</v>
      </c>
      <c r="C338" s="2" t="s">
        <v>659</v>
      </c>
      <c r="D338" s="3">
        <v>45292</v>
      </c>
      <c r="E338" s="3">
        <v>45657</v>
      </c>
      <c r="F338" s="4" t="s">
        <v>620</v>
      </c>
      <c r="G338" s="2" t="s">
        <v>621</v>
      </c>
      <c r="H338" s="2">
        <v>2091503793</v>
      </c>
      <c r="I338" s="2" t="s">
        <v>13</v>
      </c>
    </row>
    <row r="339" spans="1:9" ht="15" customHeight="1" x14ac:dyDescent="0.3">
      <c r="A339" s="2">
        <v>6165109</v>
      </c>
      <c r="B339" s="2" t="s">
        <v>9</v>
      </c>
      <c r="C339" s="2" t="s">
        <v>659</v>
      </c>
      <c r="D339" s="3">
        <v>45292</v>
      </c>
      <c r="E339" s="3">
        <v>45657</v>
      </c>
      <c r="F339" s="4" t="s">
        <v>622</v>
      </c>
      <c r="G339" s="2" t="s">
        <v>623</v>
      </c>
      <c r="H339" s="2">
        <v>547101596</v>
      </c>
      <c r="I339" s="2" t="s">
        <v>13</v>
      </c>
    </row>
    <row r="340" spans="1:9" ht="15" customHeight="1" x14ac:dyDescent="0.3">
      <c r="A340" s="2">
        <v>6165110</v>
      </c>
      <c r="B340" s="2" t="s">
        <v>9</v>
      </c>
      <c r="C340" s="2" t="s">
        <v>659</v>
      </c>
      <c r="D340" s="3">
        <v>45292</v>
      </c>
      <c r="E340" s="3">
        <v>45657</v>
      </c>
      <c r="F340" s="4" t="s">
        <v>624</v>
      </c>
      <c r="G340" s="2" t="s">
        <v>625</v>
      </c>
      <c r="H340" s="2">
        <v>430619170</v>
      </c>
      <c r="I340" s="2" t="s">
        <v>13</v>
      </c>
    </row>
    <row r="341" spans="1:9" ht="15" customHeight="1" x14ac:dyDescent="0.3">
      <c r="A341" s="2">
        <v>6165111</v>
      </c>
      <c r="B341" s="2" t="s">
        <v>9</v>
      </c>
      <c r="C341" s="2" t="s">
        <v>659</v>
      </c>
      <c r="D341" s="3">
        <v>45292</v>
      </c>
      <c r="E341" s="3">
        <v>45657</v>
      </c>
      <c r="F341" s="4" t="s">
        <v>626</v>
      </c>
      <c r="G341" s="2" t="s">
        <v>627</v>
      </c>
      <c r="H341" s="2">
        <v>75743842</v>
      </c>
      <c r="I341" s="2" t="s">
        <v>13</v>
      </c>
    </row>
    <row r="342" spans="1:9" ht="15" customHeight="1" x14ac:dyDescent="0.3">
      <c r="A342" s="2">
        <v>6165112</v>
      </c>
      <c r="B342" s="2" t="s">
        <v>9</v>
      </c>
      <c r="C342" s="2" t="s">
        <v>659</v>
      </c>
      <c r="D342" s="3">
        <v>45292</v>
      </c>
      <c r="E342" s="3">
        <v>45657</v>
      </c>
      <c r="F342" s="4" t="s">
        <v>628</v>
      </c>
      <c r="G342" s="2" t="s">
        <v>629</v>
      </c>
      <c r="H342" s="2">
        <v>40738584</v>
      </c>
      <c r="I342" s="2" t="s">
        <v>13</v>
      </c>
    </row>
    <row r="343" spans="1:9" ht="15" customHeight="1" x14ac:dyDescent="0.3">
      <c r="A343" s="2">
        <v>6165113</v>
      </c>
      <c r="B343" s="2" t="s">
        <v>9</v>
      </c>
      <c r="C343" s="2" t="s">
        <v>659</v>
      </c>
      <c r="D343" s="3">
        <v>45292</v>
      </c>
      <c r="E343" s="3">
        <v>45657</v>
      </c>
      <c r="F343" s="4" t="s">
        <v>630</v>
      </c>
      <c r="G343" s="2" t="s">
        <v>70</v>
      </c>
      <c r="H343" s="2">
        <v>0</v>
      </c>
      <c r="I343" s="2" t="s">
        <v>13</v>
      </c>
    </row>
    <row r="344" spans="1:9" ht="15" customHeight="1" x14ac:dyDescent="0.3">
      <c r="A344" s="2">
        <v>6165114</v>
      </c>
      <c r="B344" s="2" t="s">
        <v>9</v>
      </c>
      <c r="C344" s="2" t="s">
        <v>659</v>
      </c>
      <c r="D344" s="3">
        <v>45292</v>
      </c>
      <c r="E344" s="3">
        <v>45657</v>
      </c>
      <c r="F344" s="4" t="s">
        <v>631</v>
      </c>
      <c r="G344" s="2" t="s">
        <v>632</v>
      </c>
      <c r="H344" s="2">
        <v>750440590</v>
      </c>
      <c r="I344" s="2" t="s">
        <v>13</v>
      </c>
    </row>
    <row r="345" spans="1:9" ht="15" customHeight="1" x14ac:dyDescent="0.3">
      <c r="A345" s="2">
        <v>6165115</v>
      </c>
      <c r="B345" s="2" t="s">
        <v>9</v>
      </c>
      <c r="C345" s="2" t="s">
        <v>659</v>
      </c>
      <c r="D345" s="3">
        <v>45292</v>
      </c>
      <c r="E345" s="3">
        <v>45657</v>
      </c>
      <c r="F345" s="4" t="s">
        <v>633</v>
      </c>
      <c r="G345" s="2" t="s">
        <v>634</v>
      </c>
      <c r="H345" s="2">
        <v>306508261</v>
      </c>
      <c r="I345" s="2" t="s">
        <v>13</v>
      </c>
    </row>
    <row r="346" spans="1:9" ht="15" customHeight="1" x14ac:dyDescent="0.3">
      <c r="A346" s="2">
        <v>6165116</v>
      </c>
      <c r="B346" s="2" t="s">
        <v>9</v>
      </c>
      <c r="C346" s="2" t="s">
        <v>659</v>
      </c>
      <c r="D346" s="3">
        <v>45292</v>
      </c>
      <c r="E346" s="3">
        <v>45657</v>
      </c>
      <c r="F346" s="4" t="s">
        <v>635</v>
      </c>
      <c r="G346" s="2" t="s">
        <v>636</v>
      </c>
      <c r="H346" s="2">
        <v>439310313</v>
      </c>
      <c r="I346" s="2" t="s">
        <v>13</v>
      </c>
    </row>
    <row r="347" spans="1:9" ht="15" customHeight="1" x14ac:dyDescent="0.3">
      <c r="A347" s="2">
        <v>6165117</v>
      </c>
      <c r="B347" s="2" t="s">
        <v>9</v>
      </c>
      <c r="C347" s="2" t="s">
        <v>659</v>
      </c>
      <c r="D347" s="3">
        <v>45292</v>
      </c>
      <c r="E347" s="3">
        <v>45657</v>
      </c>
      <c r="F347" s="4" t="s">
        <v>637</v>
      </c>
      <c r="G347" s="2" t="s">
        <v>638</v>
      </c>
      <c r="H347" s="2">
        <v>4622016</v>
      </c>
      <c r="I347" s="2" t="s">
        <v>13</v>
      </c>
    </row>
    <row r="348" spans="1:9" ht="15" customHeight="1" x14ac:dyDescent="0.3">
      <c r="A348" s="2">
        <v>6165118</v>
      </c>
      <c r="B348" s="2" t="s">
        <v>9</v>
      </c>
      <c r="C348" s="2" t="s">
        <v>659</v>
      </c>
      <c r="D348" s="3">
        <v>45292</v>
      </c>
      <c r="E348" s="3">
        <v>45657</v>
      </c>
      <c r="F348" s="4" t="s">
        <v>639</v>
      </c>
      <c r="G348" s="2" t="s">
        <v>640</v>
      </c>
      <c r="H348" s="2">
        <v>140567661</v>
      </c>
      <c r="I348" s="2" t="s">
        <v>13</v>
      </c>
    </row>
    <row r="349" spans="1:9" ht="15" customHeight="1" x14ac:dyDescent="0.3">
      <c r="A349" s="2">
        <v>6165119</v>
      </c>
      <c r="B349" s="2" t="s">
        <v>9</v>
      </c>
      <c r="C349" s="2" t="s">
        <v>659</v>
      </c>
      <c r="D349" s="3">
        <v>45292</v>
      </c>
      <c r="E349" s="3">
        <v>45657</v>
      </c>
      <c r="F349" s="4" t="s">
        <v>641</v>
      </c>
      <c r="G349" s="2" t="s">
        <v>642</v>
      </c>
      <c r="H349" s="2">
        <v>111399799</v>
      </c>
      <c r="I349" s="2" t="s">
        <v>13</v>
      </c>
    </row>
    <row r="350" spans="1:9" ht="15" customHeight="1" x14ac:dyDescent="0.3">
      <c r="A350" s="2">
        <v>6165120</v>
      </c>
      <c r="B350" s="2" t="s">
        <v>9</v>
      </c>
      <c r="C350" s="2" t="s">
        <v>659</v>
      </c>
      <c r="D350" s="3">
        <v>45292</v>
      </c>
      <c r="E350" s="3">
        <v>45657</v>
      </c>
      <c r="F350" s="4" t="s">
        <v>643</v>
      </c>
      <c r="G350" s="2" t="s">
        <v>644</v>
      </c>
      <c r="H350" s="2">
        <v>27028078</v>
      </c>
      <c r="I350" s="2" t="s">
        <v>13</v>
      </c>
    </row>
    <row r="351" spans="1:9" ht="15" customHeight="1" x14ac:dyDescent="0.3">
      <c r="A351" s="2">
        <v>6165121</v>
      </c>
      <c r="B351" s="2" t="s">
        <v>9</v>
      </c>
      <c r="C351" s="2" t="s">
        <v>659</v>
      </c>
      <c r="D351" s="3">
        <v>45292</v>
      </c>
      <c r="E351" s="3">
        <v>45657</v>
      </c>
      <c r="F351" s="4" t="s">
        <v>645</v>
      </c>
      <c r="G351" s="2" t="s">
        <v>608</v>
      </c>
      <c r="H351" s="2">
        <v>2139784</v>
      </c>
      <c r="I351" s="2" t="s">
        <v>13</v>
      </c>
    </row>
    <row r="352" spans="1:9" ht="15" customHeight="1" x14ac:dyDescent="0.3">
      <c r="A352" s="2">
        <v>6165122</v>
      </c>
      <c r="B352" s="2" t="s">
        <v>9</v>
      </c>
      <c r="C352" s="2" t="s">
        <v>659</v>
      </c>
      <c r="D352" s="3">
        <v>45292</v>
      </c>
      <c r="E352" s="3">
        <v>45657</v>
      </c>
      <c r="F352" s="4" t="s">
        <v>646</v>
      </c>
      <c r="G352" s="2" t="s">
        <v>647</v>
      </c>
      <c r="H352" s="2">
        <v>2139784</v>
      </c>
      <c r="I352" s="2" t="s">
        <v>13</v>
      </c>
    </row>
    <row r="353" spans="1:9" ht="15" customHeight="1" x14ac:dyDescent="0.3">
      <c r="A353" s="2">
        <v>6165123</v>
      </c>
      <c r="B353" s="2" t="s">
        <v>9</v>
      </c>
      <c r="C353" s="2" t="s">
        <v>659</v>
      </c>
      <c r="D353" s="3">
        <v>45292</v>
      </c>
      <c r="E353" s="3">
        <v>45657</v>
      </c>
      <c r="F353" s="4" t="s">
        <v>648</v>
      </c>
      <c r="G353" s="2" t="s">
        <v>649</v>
      </c>
      <c r="H353" s="2">
        <v>653393946</v>
      </c>
      <c r="I353" s="2" t="s">
        <v>13</v>
      </c>
    </row>
    <row r="354" spans="1:9" ht="15" customHeight="1" x14ac:dyDescent="0.3">
      <c r="A354" s="2">
        <v>6165124</v>
      </c>
      <c r="B354" s="2" t="s">
        <v>9</v>
      </c>
      <c r="C354" s="2" t="s">
        <v>659</v>
      </c>
      <c r="D354" s="3">
        <v>45292</v>
      </c>
      <c r="E354" s="3">
        <v>45657</v>
      </c>
      <c r="F354" s="4" t="s">
        <v>650</v>
      </c>
      <c r="G354" s="2" t="s">
        <v>651</v>
      </c>
      <c r="H354" s="2">
        <v>0</v>
      </c>
      <c r="I354" s="2" t="s">
        <v>13</v>
      </c>
    </row>
    <row r="355" spans="1:9" ht="15" customHeight="1" x14ac:dyDescent="0.3">
      <c r="A355" s="2">
        <v>6165125</v>
      </c>
      <c r="B355" s="2" t="s">
        <v>9</v>
      </c>
      <c r="C355" s="2" t="s">
        <v>659</v>
      </c>
      <c r="D355" s="3">
        <v>45292</v>
      </c>
      <c r="E355" s="3">
        <v>45657</v>
      </c>
      <c r="F355" s="4" t="s">
        <v>652</v>
      </c>
      <c r="G355" s="2" t="s">
        <v>653</v>
      </c>
      <c r="H355" s="2">
        <v>155181062</v>
      </c>
      <c r="I355" s="2" t="s">
        <v>13</v>
      </c>
    </row>
    <row r="356" spans="1:9" ht="15" customHeight="1" x14ac:dyDescent="0.3">
      <c r="A356" s="2">
        <v>6165126</v>
      </c>
      <c r="B356" s="2" t="s">
        <v>9</v>
      </c>
      <c r="C356" s="2" t="s">
        <v>659</v>
      </c>
      <c r="D356" s="3">
        <v>45292</v>
      </c>
      <c r="E356" s="3">
        <v>45657</v>
      </c>
      <c r="F356" s="4" t="s">
        <v>654</v>
      </c>
      <c r="G356" s="2" t="s">
        <v>655</v>
      </c>
      <c r="H356" s="2">
        <v>498212884</v>
      </c>
      <c r="I356" s="2" t="s">
        <v>13</v>
      </c>
    </row>
    <row r="357" spans="1:9" ht="15" customHeight="1" x14ac:dyDescent="0.3">
      <c r="A357" s="2">
        <v>6165127</v>
      </c>
      <c r="B357" s="2" t="s">
        <v>9</v>
      </c>
      <c r="C357" s="2" t="s">
        <v>659</v>
      </c>
      <c r="D357" s="3">
        <v>45292</v>
      </c>
      <c r="E357" s="3">
        <v>45657</v>
      </c>
      <c r="F357" s="4" t="s">
        <v>656</v>
      </c>
      <c r="G357" s="2" t="s">
        <v>657</v>
      </c>
      <c r="H357" s="2">
        <v>0</v>
      </c>
      <c r="I357" s="2" t="s">
        <v>13</v>
      </c>
    </row>
    <row r="358" spans="1:9" ht="15" customHeight="1" x14ac:dyDescent="0.3">
      <c r="A358" s="2">
        <v>6165128</v>
      </c>
      <c r="B358" s="2" t="s">
        <v>9</v>
      </c>
      <c r="C358" s="2" t="s">
        <v>659</v>
      </c>
      <c r="D358" s="3">
        <v>45292</v>
      </c>
      <c r="E358" s="3">
        <v>45657</v>
      </c>
      <c r="F358" s="4" t="s">
        <v>658</v>
      </c>
      <c r="G358" s="2" t="s">
        <v>70</v>
      </c>
      <c r="H358" s="2">
        <v>0</v>
      </c>
      <c r="I358" s="2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3"/>
  <sheetViews>
    <sheetView topLeftCell="A73" workbookViewId="0">
      <selection activeCell="A82" sqref="A82:XFD82"/>
    </sheetView>
  </sheetViews>
  <sheetFormatPr defaultColWidth="15.6640625" defaultRowHeight="15" customHeight="1" x14ac:dyDescent="0.3"/>
  <sheetData>
    <row r="1" spans="1:9" ht="1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s="2">
        <v>5666405</v>
      </c>
      <c r="B2" s="2" t="s">
        <v>9</v>
      </c>
      <c r="C2" s="2" t="s">
        <v>661</v>
      </c>
      <c r="D2" s="3">
        <v>45291</v>
      </c>
      <c r="E2" s="3">
        <v>45291</v>
      </c>
      <c r="F2" s="4" t="s">
        <v>11</v>
      </c>
      <c r="G2" s="2" t="s">
        <v>12</v>
      </c>
      <c r="H2" s="2">
        <v>3241590055</v>
      </c>
      <c r="I2" s="2" t="s">
        <v>13</v>
      </c>
    </row>
    <row r="3" spans="1:9" ht="15" customHeight="1" x14ac:dyDescent="0.3">
      <c r="A3" s="5">
        <v>5666406</v>
      </c>
      <c r="B3" s="5" t="s">
        <v>9</v>
      </c>
      <c r="C3" s="5" t="s">
        <v>661</v>
      </c>
      <c r="D3" s="6">
        <v>45291</v>
      </c>
      <c r="E3" s="6">
        <v>45291</v>
      </c>
      <c r="F3" s="7" t="s">
        <v>14</v>
      </c>
      <c r="G3" s="5" t="s">
        <v>15</v>
      </c>
      <c r="H3" s="5">
        <v>2056580123</v>
      </c>
      <c r="I3" s="5" t="s">
        <v>13</v>
      </c>
    </row>
    <row r="4" spans="1:9" ht="15" customHeight="1" x14ac:dyDescent="0.3">
      <c r="A4" s="2">
        <v>5666407</v>
      </c>
      <c r="B4" s="2" t="s">
        <v>9</v>
      </c>
      <c r="C4" s="2" t="s">
        <v>661</v>
      </c>
      <c r="D4" s="3">
        <v>45291</v>
      </c>
      <c r="E4" s="3">
        <v>45291</v>
      </c>
      <c r="F4" s="4" t="s">
        <v>16</v>
      </c>
      <c r="G4" s="2" t="s">
        <v>17</v>
      </c>
      <c r="H4" s="2">
        <v>221495208</v>
      </c>
      <c r="I4" s="2" t="s">
        <v>13</v>
      </c>
    </row>
    <row r="5" spans="1:9" ht="15" customHeight="1" x14ac:dyDescent="0.3">
      <c r="A5" s="2">
        <v>5666408</v>
      </c>
      <c r="B5" s="2" t="s">
        <v>9</v>
      </c>
      <c r="C5" s="2" t="s">
        <v>661</v>
      </c>
      <c r="D5" s="3">
        <v>45291</v>
      </c>
      <c r="E5" s="3">
        <v>45291</v>
      </c>
      <c r="F5" s="4" t="s">
        <v>18</v>
      </c>
      <c r="G5" s="2" t="s">
        <v>19</v>
      </c>
      <c r="H5" s="2">
        <v>221495208</v>
      </c>
      <c r="I5" s="2" t="s">
        <v>13</v>
      </c>
    </row>
    <row r="6" spans="1:9" ht="15" customHeight="1" x14ac:dyDescent="0.3">
      <c r="A6" s="2">
        <v>5666409</v>
      </c>
      <c r="B6" s="2" t="s">
        <v>9</v>
      </c>
      <c r="C6" s="2" t="s">
        <v>661</v>
      </c>
      <c r="D6" s="3">
        <v>45291</v>
      </c>
      <c r="E6" s="3">
        <v>45291</v>
      </c>
      <c r="F6" s="4" t="s">
        <v>20</v>
      </c>
      <c r="G6" s="2" t="s">
        <v>21</v>
      </c>
      <c r="H6" s="2">
        <v>82994526</v>
      </c>
      <c r="I6" s="2" t="s">
        <v>13</v>
      </c>
    </row>
    <row r="7" spans="1:9" ht="15" customHeight="1" x14ac:dyDescent="0.3">
      <c r="A7" s="2">
        <v>5666410</v>
      </c>
      <c r="B7" s="2" t="s">
        <v>9</v>
      </c>
      <c r="C7" s="2" t="s">
        <v>661</v>
      </c>
      <c r="D7" s="3">
        <v>45291</v>
      </c>
      <c r="E7" s="3">
        <v>45291</v>
      </c>
      <c r="F7" s="4" t="s">
        <v>22</v>
      </c>
      <c r="G7" s="2" t="s">
        <v>23</v>
      </c>
      <c r="H7" s="2">
        <v>0</v>
      </c>
      <c r="I7" s="2" t="s">
        <v>13</v>
      </c>
    </row>
    <row r="8" spans="1:9" ht="15" customHeight="1" x14ac:dyDescent="0.3">
      <c r="A8" s="2">
        <v>5666411</v>
      </c>
      <c r="B8" s="2" t="s">
        <v>9</v>
      </c>
      <c r="C8" s="2" t="s">
        <v>661</v>
      </c>
      <c r="D8" s="3">
        <v>45291</v>
      </c>
      <c r="E8" s="3">
        <v>45291</v>
      </c>
      <c r="F8" s="4" t="s">
        <v>24</v>
      </c>
      <c r="G8" s="2" t="s">
        <v>25</v>
      </c>
      <c r="H8" s="2">
        <v>0</v>
      </c>
      <c r="I8" s="2" t="s">
        <v>13</v>
      </c>
    </row>
    <row r="9" spans="1:9" ht="15" customHeight="1" x14ac:dyDescent="0.3">
      <c r="A9" s="2">
        <v>5666412</v>
      </c>
      <c r="B9" s="2" t="s">
        <v>9</v>
      </c>
      <c r="C9" s="2" t="s">
        <v>661</v>
      </c>
      <c r="D9" s="3">
        <v>45291</v>
      </c>
      <c r="E9" s="3">
        <v>45291</v>
      </c>
      <c r="F9" s="4" t="s">
        <v>26</v>
      </c>
      <c r="G9" s="2" t="s">
        <v>27</v>
      </c>
      <c r="H9" s="2">
        <v>0</v>
      </c>
      <c r="I9" s="2" t="s">
        <v>13</v>
      </c>
    </row>
    <row r="10" spans="1:9" ht="15" customHeight="1" x14ac:dyDescent="0.3">
      <c r="A10" s="2">
        <v>5666413</v>
      </c>
      <c r="B10" s="2" t="s">
        <v>9</v>
      </c>
      <c r="C10" s="2" t="s">
        <v>661</v>
      </c>
      <c r="D10" s="3">
        <v>45291</v>
      </c>
      <c r="E10" s="3">
        <v>45291</v>
      </c>
      <c r="F10" s="4" t="s">
        <v>28</v>
      </c>
      <c r="G10" s="2" t="s">
        <v>29</v>
      </c>
      <c r="H10" s="2">
        <v>0</v>
      </c>
      <c r="I10" s="2" t="s">
        <v>13</v>
      </c>
    </row>
    <row r="11" spans="1:9" ht="15" customHeight="1" x14ac:dyDescent="0.3">
      <c r="A11" s="2">
        <v>5666414</v>
      </c>
      <c r="B11" s="2" t="s">
        <v>9</v>
      </c>
      <c r="C11" s="2" t="s">
        <v>661</v>
      </c>
      <c r="D11" s="3">
        <v>45291</v>
      </c>
      <c r="E11" s="3">
        <v>45291</v>
      </c>
      <c r="F11" s="4" t="s">
        <v>30</v>
      </c>
      <c r="G11" s="2" t="s">
        <v>31</v>
      </c>
      <c r="H11" s="2">
        <v>0</v>
      </c>
      <c r="I11" s="2" t="s">
        <v>13</v>
      </c>
    </row>
    <row r="12" spans="1:9" ht="15" customHeight="1" x14ac:dyDescent="0.3">
      <c r="A12" s="2">
        <v>5666415</v>
      </c>
      <c r="B12" s="2" t="s">
        <v>9</v>
      </c>
      <c r="C12" s="2" t="s">
        <v>661</v>
      </c>
      <c r="D12" s="3">
        <v>45291</v>
      </c>
      <c r="E12" s="3">
        <v>45291</v>
      </c>
      <c r="F12" s="4" t="s">
        <v>32</v>
      </c>
      <c r="G12" s="2" t="s">
        <v>33</v>
      </c>
      <c r="H12" s="2">
        <v>82994526</v>
      </c>
      <c r="I12" s="2" t="s">
        <v>13</v>
      </c>
    </row>
    <row r="13" spans="1:9" ht="15" customHeight="1" x14ac:dyDescent="0.3">
      <c r="A13" s="2">
        <v>5666416</v>
      </c>
      <c r="B13" s="2" t="s">
        <v>9</v>
      </c>
      <c r="C13" s="2" t="s">
        <v>661</v>
      </c>
      <c r="D13" s="3">
        <v>45291</v>
      </c>
      <c r="E13" s="3">
        <v>45291</v>
      </c>
      <c r="F13" s="4" t="s">
        <v>34</v>
      </c>
      <c r="G13" s="2" t="s">
        <v>35</v>
      </c>
      <c r="H13" s="2">
        <v>830832349</v>
      </c>
      <c r="I13" s="2" t="s">
        <v>13</v>
      </c>
    </row>
    <row r="14" spans="1:9" ht="15" customHeight="1" x14ac:dyDescent="0.3">
      <c r="A14" s="2">
        <v>5666417</v>
      </c>
      <c r="B14" s="2" t="s">
        <v>9</v>
      </c>
      <c r="C14" s="2" t="s">
        <v>661</v>
      </c>
      <c r="D14" s="3">
        <v>45291</v>
      </c>
      <c r="E14" s="3">
        <v>45291</v>
      </c>
      <c r="F14" s="4" t="s">
        <v>36</v>
      </c>
      <c r="G14" s="2" t="s">
        <v>37</v>
      </c>
      <c r="H14" s="2">
        <v>830832349</v>
      </c>
      <c r="I14" s="2" t="s">
        <v>13</v>
      </c>
    </row>
    <row r="15" spans="1:9" ht="15" customHeight="1" x14ac:dyDescent="0.3">
      <c r="A15" s="2">
        <v>5666418</v>
      </c>
      <c r="B15" s="2" t="s">
        <v>9</v>
      </c>
      <c r="C15" s="2" t="s">
        <v>661</v>
      </c>
      <c r="D15" s="3">
        <v>45291</v>
      </c>
      <c r="E15" s="3">
        <v>45291</v>
      </c>
      <c r="F15" s="4" t="s">
        <v>38</v>
      </c>
      <c r="G15" s="2" t="s">
        <v>39</v>
      </c>
      <c r="H15" s="2">
        <v>830832349</v>
      </c>
      <c r="I15" s="2" t="s">
        <v>13</v>
      </c>
    </row>
    <row r="16" spans="1:9" ht="15" customHeight="1" x14ac:dyDescent="0.3">
      <c r="A16" s="2">
        <v>5666419</v>
      </c>
      <c r="B16" s="2" t="s">
        <v>9</v>
      </c>
      <c r="C16" s="2" t="s">
        <v>661</v>
      </c>
      <c r="D16" s="3">
        <v>45291</v>
      </c>
      <c r="E16" s="3">
        <v>45291</v>
      </c>
      <c r="F16" s="4" t="s">
        <v>40</v>
      </c>
      <c r="G16" s="2" t="s">
        <v>41</v>
      </c>
      <c r="H16" s="2">
        <v>0</v>
      </c>
      <c r="I16" s="2" t="s">
        <v>13</v>
      </c>
    </row>
    <row r="17" spans="1:9" ht="15" customHeight="1" x14ac:dyDescent="0.3">
      <c r="A17" s="2">
        <v>5666420</v>
      </c>
      <c r="B17" s="2" t="s">
        <v>9</v>
      </c>
      <c r="C17" s="2" t="s">
        <v>661</v>
      </c>
      <c r="D17" s="3">
        <v>45291</v>
      </c>
      <c r="E17" s="3">
        <v>45291</v>
      </c>
      <c r="F17" s="4" t="s">
        <v>42</v>
      </c>
      <c r="G17" s="2" t="s">
        <v>43</v>
      </c>
      <c r="H17" s="2">
        <v>0</v>
      </c>
      <c r="I17" s="2" t="s">
        <v>13</v>
      </c>
    </row>
    <row r="18" spans="1:9" ht="15" customHeight="1" x14ac:dyDescent="0.3">
      <c r="A18" s="2">
        <v>5666421</v>
      </c>
      <c r="B18" s="2" t="s">
        <v>9</v>
      </c>
      <c r="C18" s="2" t="s">
        <v>661</v>
      </c>
      <c r="D18" s="3">
        <v>45291</v>
      </c>
      <c r="E18" s="3">
        <v>45291</v>
      </c>
      <c r="F18" s="4" t="s">
        <v>44</v>
      </c>
      <c r="G18" s="2" t="s">
        <v>45</v>
      </c>
      <c r="H18" s="2">
        <v>0</v>
      </c>
      <c r="I18" s="2" t="s">
        <v>13</v>
      </c>
    </row>
    <row r="19" spans="1:9" ht="15" customHeight="1" x14ac:dyDescent="0.3">
      <c r="A19" s="2">
        <v>5666422</v>
      </c>
      <c r="B19" s="2" t="s">
        <v>9</v>
      </c>
      <c r="C19" s="2" t="s">
        <v>661</v>
      </c>
      <c r="D19" s="3">
        <v>45291</v>
      </c>
      <c r="E19" s="3">
        <v>45291</v>
      </c>
      <c r="F19" s="4" t="s">
        <v>46</v>
      </c>
      <c r="G19" s="2" t="s">
        <v>47</v>
      </c>
      <c r="H19" s="2">
        <v>782706418</v>
      </c>
      <c r="I19" s="2" t="s">
        <v>13</v>
      </c>
    </row>
    <row r="20" spans="1:9" ht="15" customHeight="1" x14ac:dyDescent="0.3">
      <c r="A20" s="2">
        <v>5666423</v>
      </c>
      <c r="B20" s="2" t="s">
        <v>9</v>
      </c>
      <c r="C20" s="2" t="s">
        <v>661</v>
      </c>
      <c r="D20" s="3">
        <v>45291</v>
      </c>
      <c r="E20" s="3">
        <v>45291</v>
      </c>
      <c r="F20" s="4" t="s">
        <v>48</v>
      </c>
      <c r="G20" s="2" t="s">
        <v>47</v>
      </c>
      <c r="H20" s="2">
        <v>782706418</v>
      </c>
      <c r="I20" s="2" t="s">
        <v>13</v>
      </c>
    </row>
    <row r="21" spans="1:9" ht="15" customHeight="1" x14ac:dyDescent="0.3">
      <c r="A21" s="2">
        <v>5666424</v>
      </c>
      <c r="B21" s="2" t="s">
        <v>9</v>
      </c>
      <c r="C21" s="2" t="s">
        <v>661</v>
      </c>
      <c r="D21" s="3">
        <v>45291</v>
      </c>
      <c r="E21" s="3">
        <v>45291</v>
      </c>
      <c r="F21" s="4" t="s">
        <v>49</v>
      </c>
      <c r="G21" s="2" t="s">
        <v>50</v>
      </c>
      <c r="H21" s="2">
        <v>0</v>
      </c>
      <c r="I21" s="2" t="s">
        <v>13</v>
      </c>
    </row>
    <row r="22" spans="1:9" ht="15" customHeight="1" x14ac:dyDescent="0.3">
      <c r="A22" s="2">
        <v>5666425</v>
      </c>
      <c r="B22" s="2" t="s">
        <v>9</v>
      </c>
      <c r="C22" s="2" t="s">
        <v>661</v>
      </c>
      <c r="D22" s="3">
        <v>45291</v>
      </c>
      <c r="E22" s="3">
        <v>45291</v>
      </c>
      <c r="F22" s="4" t="s">
        <v>51</v>
      </c>
      <c r="G22" s="2" t="s">
        <v>52</v>
      </c>
      <c r="H22" s="2">
        <v>118353469</v>
      </c>
      <c r="I22" s="2" t="s">
        <v>13</v>
      </c>
    </row>
    <row r="23" spans="1:9" ht="15" customHeight="1" x14ac:dyDescent="0.3">
      <c r="A23" s="2">
        <v>5666426</v>
      </c>
      <c r="B23" s="2" t="s">
        <v>9</v>
      </c>
      <c r="C23" s="2" t="s">
        <v>661</v>
      </c>
      <c r="D23" s="3">
        <v>45291</v>
      </c>
      <c r="E23" s="3">
        <v>45291</v>
      </c>
      <c r="F23" s="4" t="s">
        <v>53</v>
      </c>
      <c r="G23" s="2" t="s">
        <v>54</v>
      </c>
      <c r="H23" s="2">
        <v>118353469</v>
      </c>
      <c r="I23" s="2" t="s">
        <v>13</v>
      </c>
    </row>
    <row r="24" spans="1:9" ht="15" customHeight="1" x14ac:dyDescent="0.3">
      <c r="A24" s="2">
        <v>5666427</v>
      </c>
      <c r="B24" s="2" t="s">
        <v>9</v>
      </c>
      <c r="C24" s="2" t="s">
        <v>661</v>
      </c>
      <c r="D24" s="3">
        <v>45291</v>
      </c>
      <c r="E24" s="3">
        <v>45291</v>
      </c>
      <c r="F24" s="4" t="s">
        <v>55</v>
      </c>
      <c r="G24" s="2" t="s">
        <v>56</v>
      </c>
      <c r="H24" s="2">
        <v>118353469</v>
      </c>
      <c r="I24" s="2" t="s">
        <v>13</v>
      </c>
    </row>
    <row r="25" spans="1:9" ht="15" customHeight="1" x14ac:dyDescent="0.3">
      <c r="A25" s="2">
        <v>5666428</v>
      </c>
      <c r="B25" s="2" t="s">
        <v>9</v>
      </c>
      <c r="C25" s="2" t="s">
        <v>661</v>
      </c>
      <c r="D25" s="3">
        <v>45291</v>
      </c>
      <c r="E25" s="3">
        <v>45291</v>
      </c>
      <c r="F25" s="4" t="s">
        <v>59</v>
      </c>
      <c r="G25" s="2" t="s">
        <v>60</v>
      </c>
      <c r="H25" s="2">
        <v>20198153</v>
      </c>
      <c r="I25" s="2" t="s">
        <v>13</v>
      </c>
    </row>
    <row r="26" spans="1:9" ht="15" customHeight="1" x14ac:dyDescent="0.3">
      <c r="A26" s="2">
        <v>5666429</v>
      </c>
      <c r="B26" s="2" t="s">
        <v>9</v>
      </c>
      <c r="C26" s="2" t="s">
        <v>661</v>
      </c>
      <c r="D26" s="3">
        <v>45291</v>
      </c>
      <c r="E26" s="3">
        <v>45291</v>
      </c>
      <c r="F26" s="4" t="s">
        <v>61</v>
      </c>
      <c r="G26" s="2" t="s">
        <v>62</v>
      </c>
      <c r="H26" s="2">
        <v>20198153</v>
      </c>
      <c r="I26" s="2" t="s">
        <v>13</v>
      </c>
    </row>
    <row r="27" spans="1:9" ht="15" customHeight="1" x14ac:dyDescent="0.3">
      <c r="A27" s="2">
        <v>5666430</v>
      </c>
      <c r="B27" s="2" t="s">
        <v>9</v>
      </c>
      <c r="C27" s="2" t="s">
        <v>661</v>
      </c>
      <c r="D27" s="3">
        <v>45291</v>
      </c>
      <c r="E27" s="3">
        <v>45291</v>
      </c>
      <c r="F27" s="4" t="s">
        <v>63</v>
      </c>
      <c r="G27" s="2" t="s">
        <v>64</v>
      </c>
      <c r="H27" s="2">
        <v>0</v>
      </c>
      <c r="I27" s="2" t="s">
        <v>13</v>
      </c>
    </row>
    <row r="28" spans="1:9" ht="15" customHeight="1" x14ac:dyDescent="0.3">
      <c r="A28" s="2">
        <v>5666431</v>
      </c>
      <c r="B28" s="2" t="s">
        <v>9</v>
      </c>
      <c r="C28" s="2" t="s">
        <v>661</v>
      </c>
      <c r="D28" s="3">
        <v>45291</v>
      </c>
      <c r="E28" s="3">
        <v>45291</v>
      </c>
      <c r="F28" s="4" t="s">
        <v>65</v>
      </c>
      <c r="G28" s="2" t="s">
        <v>66</v>
      </c>
      <c r="H28" s="2">
        <v>0</v>
      </c>
      <c r="I28" s="2" t="s">
        <v>13</v>
      </c>
    </row>
    <row r="29" spans="1:9" ht="15" customHeight="1" x14ac:dyDescent="0.3">
      <c r="A29" s="2">
        <v>5666432</v>
      </c>
      <c r="B29" s="2" t="s">
        <v>9</v>
      </c>
      <c r="C29" s="2" t="s">
        <v>661</v>
      </c>
      <c r="D29" s="3">
        <v>45291</v>
      </c>
      <c r="E29" s="3">
        <v>45291</v>
      </c>
      <c r="F29" s="4" t="s">
        <v>67</v>
      </c>
      <c r="G29" s="2" t="s">
        <v>68</v>
      </c>
      <c r="H29" s="2">
        <v>0</v>
      </c>
      <c r="I29" s="2" t="s">
        <v>13</v>
      </c>
    </row>
    <row r="30" spans="1:9" ht="15" customHeight="1" x14ac:dyDescent="0.3">
      <c r="A30" s="2">
        <v>5666433</v>
      </c>
      <c r="B30" s="2" t="s">
        <v>9</v>
      </c>
      <c r="C30" s="2" t="s">
        <v>661</v>
      </c>
      <c r="D30" s="3">
        <v>45291</v>
      </c>
      <c r="E30" s="3">
        <v>45291</v>
      </c>
      <c r="F30" s="4" t="s">
        <v>69</v>
      </c>
      <c r="G30" s="2" t="s">
        <v>70</v>
      </c>
      <c r="H30" s="2">
        <v>0</v>
      </c>
      <c r="I30" s="2" t="s">
        <v>13</v>
      </c>
    </row>
    <row r="31" spans="1:9" ht="15" customHeight="1" x14ac:dyDescent="0.3">
      <c r="A31" s="2">
        <v>5666434</v>
      </c>
      <c r="B31" s="2" t="s">
        <v>9</v>
      </c>
      <c r="C31" s="2" t="s">
        <v>661</v>
      </c>
      <c r="D31" s="3">
        <v>45291</v>
      </c>
      <c r="E31" s="3">
        <v>45291</v>
      </c>
      <c r="F31" s="4" t="s">
        <v>71</v>
      </c>
      <c r="G31" s="2" t="s">
        <v>72</v>
      </c>
      <c r="H31" s="2">
        <v>0</v>
      </c>
      <c r="I31" s="2" t="s">
        <v>13</v>
      </c>
    </row>
    <row r="32" spans="1:9" ht="15" customHeight="1" x14ac:dyDescent="0.3">
      <c r="A32" s="2">
        <v>5666435</v>
      </c>
      <c r="B32" s="2" t="s">
        <v>9</v>
      </c>
      <c r="C32" s="2" t="s">
        <v>661</v>
      </c>
      <c r="D32" s="3">
        <v>45291</v>
      </c>
      <c r="E32" s="3">
        <v>45291</v>
      </c>
      <c r="F32" s="4" t="s">
        <v>73</v>
      </c>
      <c r="G32" s="2" t="s">
        <v>74</v>
      </c>
      <c r="H32" s="2">
        <v>1185009932</v>
      </c>
      <c r="I32" s="2" t="s">
        <v>13</v>
      </c>
    </row>
    <row r="33" spans="1:9" ht="15" customHeight="1" x14ac:dyDescent="0.3">
      <c r="A33" s="2">
        <v>5666436</v>
      </c>
      <c r="B33" s="2" t="s">
        <v>9</v>
      </c>
      <c r="C33" s="2" t="s">
        <v>661</v>
      </c>
      <c r="D33" s="3">
        <v>45291</v>
      </c>
      <c r="E33" s="3">
        <v>45291</v>
      </c>
      <c r="F33" s="4" t="s">
        <v>75</v>
      </c>
      <c r="G33" s="2" t="s">
        <v>76</v>
      </c>
      <c r="H33" s="2">
        <v>360073084</v>
      </c>
      <c r="I33" s="2" t="s">
        <v>13</v>
      </c>
    </row>
    <row r="34" spans="1:9" ht="15" customHeight="1" x14ac:dyDescent="0.3">
      <c r="A34" s="2">
        <v>5666437</v>
      </c>
      <c r="B34" s="2" t="s">
        <v>9</v>
      </c>
      <c r="C34" s="2" t="s">
        <v>661</v>
      </c>
      <c r="D34" s="3">
        <v>45291</v>
      </c>
      <c r="E34" s="3">
        <v>45291</v>
      </c>
      <c r="F34" s="4" t="s">
        <v>77</v>
      </c>
      <c r="G34" s="2" t="s">
        <v>23</v>
      </c>
      <c r="H34" s="2">
        <v>0</v>
      </c>
      <c r="I34" s="2" t="s">
        <v>13</v>
      </c>
    </row>
    <row r="35" spans="1:9" ht="15" customHeight="1" x14ac:dyDescent="0.3">
      <c r="A35" s="2">
        <v>5666438</v>
      </c>
      <c r="B35" s="2" t="s">
        <v>9</v>
      </c>
      <c r="C35" s="2" t="s">
        <v>661</v>
      </c>
      <c r="D35" s="3">
        <v>45291</v>
      </c>
      <c r="E35" s="3">
        <v>45291</v>
      </c>
      <c r="F35" s="4" t="s">
        <v>78</v>
      </c>
      <c r="G35" s="2" t="s">
        <v>27</v>
      </c>
      <c r="H35" s="2">
        <v>0</v>
      </c>
      <c r="I35" s="2" t="s">
        <v>13</v>
      </c>
    </row>
    <row r="36" spans="1:9" ht="15" customHeight="1" x14ac:dyDescent="0.3">
      <c r="A36" s="2">
        <v>5666439</v>
      </c>
      <c r="B36" s="2" t="s">
        <v>9</v>
      </c>
      <c r="C36" s="2" t="s">
        <v>661</v>
      </c>
      <c r="D36" s="3">
        <v>45291</v>
      </c>
      <c r="E36" s="3">
        <v>45291</v>
      </c>
      <c r="F36" s="4" t="s">
        <v>79</v>
      </c>
      <c r="G36" s="2" t="s">
        <v>31</v>
      </c>
      <c r="H36" s="2">
        <v>0</v>
      </c>
      <c r="I36" s="2" t="s">
        <v>13</v>
      </c>
    </row>
    <row r="37" spans="1:9" ht="15" customHeight="1" x14ac:dyDescent="0.3">
      <c r="A37" s="2">
        <v>5666440</v>
      </c>
      <c r="B37" s="2" t="s">
        <v>9</v>
      </c>
      <c r="C37" s="2" t="s">
        <v>661</v>
      </c>
      <c r="D37" s="3">
        <v>45291</v>
      </c>
      <c r="E37" s="3">
        <v>45291</v>
      </c>
      <c r="F37" s="4" t="s">
        <v>80</v>
      </c>
      <c r="G37" s="2" t="s">
        <v>33</v>
      </c>
      <c r="H37" s="2">
        <v>0</v>
      </c>
      <c r="I37" s="2" t="s">
        <v>13</v>
      </c>
    </row>
    <row r="38" spans="1:9" ht="15" customHeight="1" x14ac:dyDescent="0.3">
      <c r="A38" s="2">
        <v>5666441</v>
      </c>
      <c r="B38" s="2" t="s">
        <v>9</v>
      </c>
      <c r="C38" s="2" t="s">
        <v>661</v>
      </c>
      <c r="D38" s="3">
        <v>45291</v>
      </c>
      <c r="E38" s="3">
        <v>45291</v>
      </c>
      <c r="F38" s="4" t="s">
        <v>81</v>
      </c>
      <c r="G38" s="2" t="s">
        <v>35</v>
      </c>
      <c r="H38" s="2">
        <v>0</v>
      </c>
      <c r="I38" s="2" t="s">
        <v>13</v>
      </c>
    </row>
    <row r="39" spans="1:9" ht="15" customHeight="1" x14ac:dyDescent="0.3">
      <c r="A39" s="2">
        <v>5666442</v>
      </c>
      <c r="B39" s="2" t="s">
        <v>9</v>
      </c>
      <c r="C39" s="2" t="s">
        <v>661</v>
      </c>
      <c r="D39" s="3">
        <v>45291</v>
      </c>
      <c r="E39" s="3">
        <v>45291</v>
      </c>
      <c r="F39" s="4" t="s">
        <v>82</v>
      </c>
      <c r="G39" s="2" t="s">
        <v>37</v>
      </c>
      <c r="H39" s="2">
        <v>0</v>
      </c>
      <c r="I39" s="2" t="s">
        <v>13</v>
      </c>
    </row>
    <row r="40" spans="1:9" ht="15" customHeight="1" x14ac:dyDescent="0.3">
      <c r="A40" s="2">
        <v>5666443</v>
      </c>
      <c r="B40" s="2" t="s">
        <v>9</v>
      </c>
      <c r="C40" s="2" t="s">
        <v>661</v>
      </c>
      <c r="D40" s="3">
        <v>45291</v>
      </c>
      <c r="E40" s="3">
        <v>45291</v>
      </c>
      <c r="F40" s="4" t="s">
        <v>83</v>
      </c>
      <c r="G40" s="2" t="s">
        <v>43</v>
      </c>
      <c r="H40" s="2">
        <v>0</v>
      </c>
      <c r="I40" s="2" t="s">
        <v>13</v>
      </c>
    </row>
    <row r="41" spans="1:9" ht="15" customHeight="1" x14ac:dyDescent="0.3">
      <c r="A41" s="2">
        <v>5666444</v>
      </c>
      <c r="B41" s="2" t="s">
        <v>9</v>
      </c>
      <c r="C41" s="2" t="s">
        <v>661</v>
      </c>
      <c r="D41" s="3">
        <v>45291</v>
      </c>
      <c r="E41" s="3">
        <v>45291</v>
      </c>
      <c r="F41" s="4" t="s">
        <v>84</v>
      </c>
      <c r="G41" s="2" t="s">
        <v>85</v>
      </c>
      <c r="H41" s="2">
        <v>0</v>
      </c>
      <c r="I41" s="2" t="s">
        <v>13</v>
      </c>
    </row>
    <row r="42" spans="1:9" ht="15" customHeight="1" x14ac:dyDescent="0.3">
      <c r="A42" s="2">
        <v>5666445</v>
      </c>
      <c r="B42" s="2" t="s">
        <v>9</v>
      </c>
      <c r="C42" s="2" t="s">
        <v>661</v>
      </c>
      <c r="D42" s="3">
        <v>45291</v>
      </c>
      <c r="E42" s="3">
        <v>45291</v>
      </c>
      <c r="F42" s="4" t="s">
        <v>86</v>
      </c>
      <c r="G42" s="2" t="s">
        <v>47</v>
      </c>
      <c r="H42" s="2">
        <v>0</v>
      </c>
      <c r="I42" s="2" t="s">
        <v>13</v>
      </c>
    </row>
    <row r="43" spans="1:9" ht="15" customHeight="1" x14ac:dyDescent="0.3">
      <c r="A43" s="2">
        <v>5666446</v>
      </c>
      <c r="B43" s="2" t="s">
        <v>9</v>
      </c>
      <c r="C43" s="2" t="s">
        <v>661</v>
      </c>
      <c r="D43" s="3">
        <v>45291</v>
      </c>
      <c r="E43" s="3">
        <v>45291</v>
      </c>
      <c r="F43" s="4" t="s">
        <v>87</v>
      </c>
      <c r="G43" s="2" t="s">
        <v>50</v>
      </c>
      <c r="H43" s="2">
        <v>0</v>
      </c>
      <c r="I43" s="2" t="s">
        <v>13</v>
      </c>
    </row>
    <row r="44" spans="1:9" ht="15" customHeight="1" x14ac:dyDescent="0.3">
      <c r="A44" s="2">
        <v>5666447</v>
      </c>
      <c r="B44" s="2" t="s">
        <v>9</v>
      </c>
      <c r="C44" s="2" t="s">
        <v>661</v>
      </c>
      <c r="D44" s="3">
        <v>45291</v>
      </c>
      <c r="E44" s="3">
        <v>45291</v>
      </c>
      <c r="F44" s="4" t="s">
        <v>88</v>
      </c>
      <c r="G44" s="2" t="s">
        <v>89</v>
      </c>
      <c r="H44" s="2">
        <v>222152146</v>
      </c>
      <c r="I44" s="2" t="s">
        <v>13</v>
      </c>
    </row>
    <row r="45" spans="1:9" ht="15" customHeight="1" x14ac:dyDescent="0.3">
      <c r="A45" s="2">
        <v>5666448</v>
      </c>
      <c r="B45" s="2" t="s">
        <v>9</v>
      </c>
      <c r="C45" s="2" t="s">
        <v>661</v>
      </c>
      <c r="D45" s="3">
        <v>45291</v>
      </c>
      <c r="E45" s="3">
        <v>45291</v>
      </c>
      <c r="F45" s="4" t="s">
        <v>90</v>
      </c>
      <c r="G45" s="2" t="s">
        <v>91</v>
      </c>
      <c r="H45" s="2">
        <v>222152146</v>
      </c>
      <c r="I45" s="2" t="s">
        <v>13</v>
      </c>
    </row>
    <row r="46" spans="1:9" ht="15" customHeight="1" x14ac:dyDescent="0.3">
      <c r="A46" s="2">
        <v>5666449</v>
      </c>
      <c r="B46" s="2" t="s">
        <v>9</v>
      </c>
      <c r="C46" s="2" t="s">
        <v>661</v>
      </c>
      <c r="D46" s="3">
        <v>45291</v>
      </c>
      <c r="E46" s="3">
        <v>45291</v>
      </c>
      <c r="F46" s="4" t="s">
        <v>92</v>
      </c>
      <c r="G46" s="2" t="s">
        <v>60</v>
      </c>
      <c r="H46" s="2">
        <v>0</v>
      </c>
      <c r="I46" s="2" t="s">
        <v>13</v>
      </c>
    </row>
    <row r="47" spans="1:9" ht="15" customHeight="1" x14ac:dyDescent="0.3">
      <c r="A47" s="2">
        <v>5666450</v>
      </c>
      <c r="B47" s="2" t="s">
        <v>9</v>
      </c>
      <c r="C47" s="2" t="s">
        <v>661</v>
      </c>
      <c r="D47" s="3">
        <v>45291</v>
      </c>
      <c r="E47" s="3">
        <v>45291</v>
      </c>
      <c r="F47" s="4" t="s">
        <v>93</v>
      </c>
      <c r="G47" s="2" t="s">
        <v>94</v>
      </c>
      <c r="H47" s="2">
        <v>0</v>
      </c>
      <c r="I47" s="2" t="s">
        <v>13</v>
      </c>
    </row>
    <row r="48" spans="1:9" ht="15" customHeight="1" x14ac:dyDescent="0.3">
      <c r="A48" s="2">
        <v>5666451</v>
      </c>
      <c r="B48" s="2" t="s">
        <v>9</v>
      </c>
      <c r="C48" s="2" t="s">
        <v>661</v>
      </c>
      <c r="D48" s="3">
        <v>45291</v>
      </c>
      <c r="E48" s="3">
        <v>45291</v>
      </c>
      <c r="F48" s="4" t="s">
        <v>95</v>
      </c>
      <c r="G48" s="2" t="s">
        <v>96</v>
      </c>
      <c r="H48" s="2">
        <v>0</v>
      </c>
      <c r="I48" s="2" t="s">
        <v>13</v>
      </c>
    </row>
    <row r="49" spans="1:9" ht="15" customHeight="1" x14ac:dyDescent="0.3">
      <c r="A49" s="2">
        <v>5666452</v>
      </c>
      <c r="B49" s="2" t="s">
        <v>9</v>
      </c>
      <c r="C49" s="2" t="s">
        <v>661</v>
      </c>
      <c r="D49" s="3">
        <v>45291</v>
      </c>
      <c r="E49" s="3">
        <v>45291</v>
      </c>
      <c r="F49" s="4" t="s">
        <v>97</v>
      </c>
      <c r="G49" s="2" t="s">
        <v>98</v>
      </c>
      <c r="H49" s="2">
        <v>0</v>
      </c>
      <c r="I49" s="2" t="s">
        <v>13</v>
      </c>
    </row>
    <row r="50" spans="1:9" ht="15" customHeight="1" x14ac:dyDescent="0.3">
      <c r="A50" s="2">
        <v>5666453</v>
      </c>
      <c r="B50" s="2" t="s">
        <v>9</v>
      </c>
      <c r="C50" s="2" t="s">
        <v>661</v>
      </c>
      <c r="D50" s="3">
        <v>45291</v>
      </c>
      <c r="E50" s="3">
        <v>45291</v>
      </c>
      <c r="F50" s="4" t="s">
        <v>99</v>
      </c>
      <c r="G50" s="2" t="s">
        <v>100</v>
      </c>
      <c r="H50" s="2">
        <v>0</v>
      </c>
      <c r="I50" s="2" t="s">
        <v>13</v>
      </c>
    </row>
    <row r="51" spans="1:9" ht="15" customHeight="1" x14ac:dyDescent="0.3">
      <c r="A51" s="2">
        <v>5666454</v>
      </c>
      <c r="B51" s="2" t="s">
        <v>9</v>
      </c>
      <c r="C51" s="2" t="s">
        <v>661</v>
      </c>
      <c r="D51" s="3">
        <v>45291</v>
      </c>
      <c r="E51" s="3">
        <v>45291</v>
      </c>
      <c r="F51" s="4" t="s">
        <v>101</v>
      </c>
      <c r="G51" s="2" t="s">
        <v>102</v>
      </c>
      <c r="H51" s="2">
        <v>137920938</v>
      </c>
      <c r="I51" s="2" t="s">
        <v>13</v>
      </c>
    </row>
    <row r="52" spans="1:9" ht="15" customHeight="1" x14ac:dyDescent="0.3">
      <c r="A52" s="2">
        <v>5666455</v>
      </c>
      <c r="B52" s="2" t="s">
        <v>9</v>
      </c>
      <c r="C52" s="2" t="s">
        <v>661</v>
      </c>
      <c r="D52" s="3">
        <v>45291</v>
      </c>
      <c r="E52" s="3">
        <v>45291</v>
      </c>
      <c r="F52" s="4" t="s">
        <v>103</v>
      </c>
      <c r="G52" s="2" t="s">
        <v>66</v>
      </c>
      <c r="H52" s="2">
        <v>0</v>
      </c>
      <c r="I52" s="2" t="s">
        <v>13</v>
      </c>
    </row>
    <row r="53" spans="1:9" ht="15" customHeight="1" x14ac:dyDescent="0.3">
      <c r="A53" s="2">
        <v>5666456</v>
      </c>
      <c r="B53" s="2" t="s">
        <v>9</v>
      </c>
      <c r="C53" s="2" t="s">
        <v>661</v>
      </c>
      <c r="D53" s="3">
        <v>45291</v>
      </c>
      <c r="E53" s="3">
        <v>45291</v>
      </c>
      <c r="F53" s="4" t="s">
        <v>104</v>
      </c>
      <c r="G53" s="2" t="s">
        <v>68</v>
      </c>
      <c r="H53" s="2">
        <v>0</v>
      </c>
      <c r="I53" s="2" t="s">
        <v>13</v>
      </c>
    </row>
    <row r="54" spans="1:9" ht="15" customHeight="1" x14ac:dyDescent="0.3">
      <c r="A54" s="2">
        <v>5666457</v>
      </c>
      <c r="B54" s="2" t="s">
        <v>9</v>
      </c>
      <c r="C54" s="2" t="s">
        <v>661</v>
      </c>
      <c r="D54" s="3">
        <v>45291</v>
      </c>
      <c r="E54" s="3">
        <v>45291</v>
      </c>
      <c r="F54" s="4" t="s">
        <v>105</v>
      </c>
      <c r="G54" s="2" t="s">
        <v>106</v>
      </c>
      <c r="H54" s="2">
        <v>23898987</v>
      </c>
      <c r="I54" s="2" t="s">
        <v>13</v>
      </c>
    </row>
    <row r="55" spans="1:9" ht="15" customHeight="1" x14ac:dyDescent="0.3">
      <c r="A55" s="2">
        <v>5666458</v>
      </c>
      <c r="B55" s="2" t="s">
        <v>9</v>
      </c>
      <c r="C55" s="2" t="s">
        <v>661</v>
      </c>
      <c r="D55" s="3">
        <v>45291</v>
      </c>
      <c r="E55" s="3">
        <v>45291</v>
      </c>
      <c r="F55" s="4" t="s">
        <v>107</v>
      </c>
      <c r="G55" s="2" t="s">
        <v>108</v>
      </c>
      <c r="H55" s="2">
        <v>0</v>
      </c>
      <c r="I55" s="2" t="s">
        <v>13</v>
      </c>
    </row>
    <row r="56" spans="1:9" ht="15" customHeight="1" x14ac:dyDescent="0.3">
      <c r="A56" s="2">
        <v>5666459</v>
      </c>
      <c r="B56" s="2" t="s">
        <v>9</v>
      </c>
      <c r="C56" s="2" t="s">
        <v>661</v>
      </c>
      <c r="D56" s="3">
        <v>45291</v>
      </c>
      <c r="E56" s="3">
        <v>45291</v>
      </c>
      <c r="F56" s="4" t="s">
        <v>109</v>
      </c>
      <c r="G56" s="2" t="s">
        <v>110</v>
      </c>
      <c r="H56" s="2">
        <v>114021951</v>
      </c>
      <c r="I56" s="2" t="s">
        <v>13</v>
      </c>
    </row>
    <row r="57" spans="1:9" ht="15" customHeight="1" x14ac:dyDescent="0.3">
      <c r="A57" s="2">
        <v>5666460</v>
      </c>
      <c r="B57" s="2" t="s">
        <v>9</v>
      </c>
      <c r="C57" s="2" t="s">
        <v>661</v>
      </c>
      <c r="D57" s="3">
        <v>45291</v>
      </c>
      <c r="E57" s="3">
        <v>45291</v>
      </c>
      <c r="F57" s="4" t="s">
        <v>111</v>
      </c>
      <c r="G57" s="2" t="s">
        <v>62</v>
      </c>
      <c r="H57" s="2">
        <v>0</v>
      </c>
      <c r="I57" s="2" t="s">
        <v>13</v>
      </c>
    </row>
    <row r="58" spans="1:9" ht="15" customHeight="1" x14ac:dyDescent="0.3">
      <c r="A58" s="2">
        <v>5666461</v>
      </c>
      <c r="B58" s="2" t="s">
        <v>9</v>
      </c>
      <c r="C58" s="2" t="s">
        <v>661</v>
      </c>
      <c r="D58" s="3">
        <v>45291</v>
      </c>
      <c r="E58" s="3">
        <v>45291</v>
      </c>
      <c r="F58" s="4" t="s">
        <v>114</v>
      </c>
      <c r="G58" s="2" t="s">
        <v>115</v>
      </c>
      <c r="H58" s="2">
        <v>0</v>
      </c>
      <c r="I58" s="2" t="s">
        <v>13</v>
      </c>
    </row>
    <row r="59" spans="1:9" ht="15" customHeight="1" x14ac:dyDescent="0.3">
      <c r="A59" s="2">
        <v>5666462</v>
      </c>
      <c r="B59" s="2" t="s">
        <v>9</v>
      </c>
      <c r="C59" s="2" t="s">
        <v>661</v>
      </c>
      <c r="D59" s="3">
        <v>45291</v>
      </c>
      <c r="E59" s="3">
        <v>45291</v>
      </c>
      <c r="F59" s="4" t="s">
        <v>116</v>
      </c>
      <c r="G59" s="2" t="s">
        <v>117</v>
      </c>
      <c r="H59" s="2">
        <v>0</v>
      </c>
      <c r="I59" s="2" t="s">
        <v>13</v>
      </c>
    </row>
    <row r="60" spans="1:9" ht="15" customHeight="1" x14ac:dyDescent="0.3">
      <c r="A60" s="2">
        <v>5666463</v>
      </c>
      <c r="B60" s="2" t="s">
        <v>9</v>
      </c>
      <c r="C60" s="2" t="s">
        <v>661</v>
      </c>
      <c r="D60" s="3">
        <v>45291</v>
      </c>
      <c r="E60" s="3">
        <v>45291</v>
      </c>
      <c r="F60" s="4" t="s">
        <v>118</v>
      </c>
      <c r="G60" s="2" t="s">
        <v>119</v>
      </c>
      <c r="H60" s="2">
        <v>0</v>
      </c>
      <c r="I60" s="2" t="s">
        <v>13</v>
      </c>
    </row>
    <row r="61" spans="1:9" ht="15" customHeight="1" x14ac:dyDescent="0.3">
      <c r="A61" s="2">
        <v>5666464</v>
      </c>
      <c r="B61" s="2" t="s">
        <v>9</v>
      </c>
      <c r="C61" s="2" t="s">
        <v>661</v>
      </c>
      <c r="D61" s="3">
        <v>45291</v>
      </c>
      <c r="E61" s="3">
        <v>45291</v>
      </c>
      <c r="F61" s="4" t="s">
        <v>120</v>
      </c>
      <c r="G61" s="2" t="s">
        <v>121</v>
      </c>
      <c r="H61" s="2">
        <v>0</v>
      </c>
      <c r="I61" s="2" t="s">
        <v>13</v>
      </c>
    </row>
    <row r="62" spans="1:9" ht="15" customHeight="1" x14ac:dyDescent="0.3">
      <c r="A62" s="2">
        <v>5666465</v>
      </c>
      <c r="B62" s="2" t="s">
        <v>9</v>
      </c>
      <c r="C62" s="2" t="s">
        <v>661</v>
      </c>
      <c r="D62" s="3">
        <v>45291</v>
      </c>
      <c r="E62" s="3">
        <v>45291</v>
      </c>
      <c r="F62" s="4" t="s">
        <v>122</v>
      </c>
      <c r="G62" s="2" t="s">
        <v>123</v>
      </c>
      <c r="H62" s="2">
        <v>0</v>
      </c>
      <c r="I62" s="2" t="s">
        <v>13</v>
      </c>
    </row>
    <row r="63" spans="1:9" ht="15" customHeight="1" x14ac:dyDescent="0.3">
      <c r="A63" s="2">
        <v>5666466</v>
      </c>
      <c r="B63" s="2" t="s">
        <v>9</v>
      </c>
      <c r="C63" s="2" t="s">
        <v>661</v>
      </c>
      <c r="D63" s="3">
        <v>45291</v>
      </c>
      <c r="E63" s="3">
        <v>45291</v>
      </c>
      <c r="F63" s="4" t="s">
        <v>124</v>
      </c>
      <c r="G63" s="2" t="s">
        <v>125</v>
      </c>
      <c r="H63" s="2">
        <v>0</v>
      </c>
      <c r="I63" s="2" t="s">
        <v>13</v>
      </c>
    </row>
    <row r="64" spans="1:9" ht="15" customHeight="1" x14ac:dyDescent="0.3">
      <c r="A64" s="2">
        <v>5666467</v>
      </c>
      <c r="B64" s="2" t="s">
        <v>9</v>
      </c>
      <c r="C64" s="2" t="s">
        <v>661</v>
      </c>
      <c r="D64" s="3">
        <v>45291</v>
      </c>
      <c r="E64" s="3">
        <v>45291</v>
      </c>
      <c r="F64" s="4" t="s">
        <v>126</v>
      </c>
      <c r="G64" s="2" t="s">
        <v>127</v>
      </c>
      <c r="H64" s="2">
        <v>765745983</v>
      </c>
      <c r="I64" s="2" t="s">
        <v>13</v>
      </c>
    </row>
    <row r="65" spans="1:9" ht="15" customHeight="1" x14ac:dyDescent="0.3">
      <c r="A65" s="2">
        <v>5666468</v>
      </c>
      <c r="B65" s="2" t="s">
        <v>9</v>
      </c>
      <c r="C65" s="2" t="s">
        <v>661</v>
      </c>
      <c r="D65" s="3">
        <v>45291</v>
      </c>
      <c r="E65" s="3">
        <v>45291</v>
      </c>
      <c r="F65" s="4" t="s">
        <v>128</v>
      </c>
      <c r="G65" s="2" t="s">
        <v>129</v>
      </c>
      <c r="H65" s="2">
        <v>765745983</v>
      </c>
      <c r="I65" s="2" t="s">
        <v>13</v>
      </c>
    </row>
    <row r="66" spans="1:9" ht="15" customHeight="1" x14ac:dyDescent="0.3">
      <c r="A66" s="2">
        <v>5666469</v>
      </c>
      <c r="B66" s="2" t="s">
        <v>9</v>
      </c>
      <c r="C66" s="2" t="s">
        <v>661</v>
      </c>
      <c r="D66" s="3">
        <v>45291</v>
      </c>
      <c r="E66" s="3">
        <v>45291</v>
      </c>
      <c r="F66" s="4" t="s">
        <v>130</v>
      </c>
      <c r="G66" s="2" t="s">
        <v>127</v>
      </c>
      <c r="H66" s="2">
        <v>765745983</v>
      </c>
      <c r="I66" s="2" t="s">
        <v>13</v>
      </c>
    </row>
    <row r="67" spans="1:9" ht="15" customHeight="1" x14ac:dyDescent="0.3">
      <c r="A67" s="2">
        <v>5666470</v>
      </c>
      <c r="B67" s="2" t="s">
        <v>9</v>
      </c>
      <c r="C67" s="2" t="s">
        <v>661</v>
      </c>
      <c r="D67" s="3">
        <v>45291</v>
      </c>
      <c r="E67" s="3">
        <v>45291</v>
      </c>
      <c r="F67" s="4" t="s">
        <v>131</v>
      </c>
      <c r="G67" s="2" t="s">
        <v>132</v>
      </c>
      <c r="H67" s="2">
        <v>0</v>
      </c>
      <c r="I67" s="2" t="s">
        <v>13</v>
      </c>
    </row>
    <row r="68" spans="1:9" ht="15" customHeight="1" x14ac:dyDescent="0.3">
      <c r="A68" s="2">
        <v>5666471</v>
      </c>
      <c r="B68" s="2" t="s">
        <v>9</v>
      </c>
      <c r="C68" s="2" t="s">
        <v>661</v>
      </c>
      <c r="D68" s="3">
        <v>45291</v>
      </c>
      <c r="E68" s="3">
        <v>45291</v>
      </c>
      <c r="F68" s="4" t="s">
        <v>133</v>
      </c>
      <c r="G68" s="2" t="s">
        <v>134</v>
      </c>
      <c r="H68" s="2">
        <v>0</v>
      </c>
      <c r="I68" s="2" t="s">
        <v>13</v>
      </c>
    </row>
    <row r="69" spans="1:9" ht="15" customHeight="1" x14ac:dyDescent="0.3">
      <c r="A69" s="2">
        <v>5666472</v>
      </c>
      <c r="B69" s="2" t="s">
        <v>9</v>
      </c>
      <c r="C69" s="2" t="s">
        <v>661</v>
      </c>
      <c r="D69" s="3">
        <v>45291</v>
      </c>
      <c r="E69" s="3">
        <v>45291</v>
      </c>
      <c r="F69" s="4" t="s">
        <v>135</v>
      </c>
      <c r="G69" s="2" t="s">
        <v>136</v>
      </c>
      <c r="H69" s="2">
        <v>59190865</v>
      </c>
      <c r="I69" s="2" t="s">
        <v>13</v>
      </c>
    </row>
    <row r="70" spans="1:9" ht="15" customHeight="1" x14ac:dyDescent="0.3">
      <c r="A70" s="2">
        <v>5666473</v>
      </c>
      <c r="B70" s="2" t="s">
        <v>9</v>
      </c>
      <c r="C70" s="2" t="s">
        <v>661</v>
      </c>
      <c r="D70" s="3">
        <v>45291</v>
      </c>
      <c r="E70" s="3">
        <v>45291</v>
      </c>
      <c r="F70" s="4" t="s">
        <v>137</v>
      </c>
      <c r="G70" s="2" t="s">
        <v>138</v>
      </c>
      <c r="H70" s="2">
        <v>59190865</v>
      </c>
      <c r="I70" s="2" t="s">
        <v>13</v>
      </c>
    </row>
    <row r="71" spans="1:9" ht="15" customHeight="1" x14ac:dyDescent="0.3">
      <c r="A71" s="2">
        <v>5666474</v>
      </c>
      <c r="B71" s="2" t="s">
        <v>9</v>
      </c>
      <c r="C71" s="2" t="s">
        <v>661</v>
      </c>
      <c r="D71" s="3">
        <v>45291</v>
      </c>
      <c r="E71" s="3">
        <v>45291</v>
      </c>
      <c r="F71" s="4" t="s">
        <v>139</v>
      </c>
      <c r="G71" s="2" t="s">
        <v>140</v>
      </c>
      <c r="H71" s="2">
        <v>0</v>
      </c>
      <c r="I71" s="2" t="s">
        <v>13</v>
      </c>
    </row>
    <row r="72" spans="1:9" ht="15" customHeight="1" x14ac:dyDescent="0.3">
      <c r="A72" s="2">
        <v>5666475</v>
      </c>
      <c r="B72" s="2" t="s">
        <v>9</v>
      </c>
      <c r="C72" s="2" t="s">
        <v>661</v>
      </c>
      <c r="D72" s="3">
        <v>45291</v>
      </c>
      <c r="E72" s="3">
        <v>45291</v>
      </c>
      <c r="F72" s="4" t="s">
        <v>141</v>
      </c>
      <c r="G72" s="2" t="s">
        <v>136</v>
      </c>
      <c r="H72" s="2">
        <v>59190865</v>
      </c>
      <c r="I72" s="2" t="s">
        <v>13</v>
      </c>
    </row>
    <row r="73" spans="1:9" ht="15" customHeight="1" x14ac:dyDescent="0.3">
      <c r="A73" s="2">
        <v>5666476</v>
      </c>
      <c r="B73" s="2" t="s">
        <v>9</v>
      </c>
      <c r="C73" s="2" t="s">
        <v>661</v>
      </c>
      <c r="D73" s="3">
        <v>45291</v>
      </c>
      <c r="E73" s="3">
        <v>45291</v>
      </c>
      <c r="F73" s="4" t="s">
        <v>142</v>
      </c>
      <c r="G73" s="2" t="s">
        <v>143</v>
      </c>
      <c r="H73" s="2">
        <v>0</v>
      </c>
      <c r="I73" s="2" t="s">
        <v>13</v>
      </c>
    </row>
    <row r="74" spans="1:9" ht="15" customHeight="1" x14ac:dyDescent="0.3">
      <c r="A74" s="2">
        <v>5666477</v>
      </c>
      <c r="B74" s="2" t="s">
        <v>9</v>
      </c>
      <c r="C74" s="2" t="s">
        <v>661</v>
      </c>
      <c r="D74" s="3">
        <v>45291</v>
      </c>
      <c r="E74" s="3">
        <v>45291</v>
      </c>
      <c r="F74" s="4" t="s">
        <v>144</v>
      </c>
      <c r="G74" s="2" t="s">
        <v>145</v>
      </c>
      <c r="H74" s="2">
        <v>3241590055</v>
      </c>
      <c r="I74" s="2" t="s">
        <v>13</v>
      </c>
    </row>
    <row r="75" spans="1:9" ht="15" customHeight="1" x14ac:dyDescent="0.3">
      <c r="A75" s="5">
        <v>5666478</v>
      </c>
      <c r="B75" s="5" t="s">
        <v>9</v>
      </c>
      <c r="C75" s="5" t="s">
        <v>661</v>
      </c>
      <c r="D75" s="6">
        <v>45291</v>
      </c>
      <c r="E75" s="6">
        <v>45291</v>
      </c>
      <c r="F75" s="7" t="s">
        <v>147</v>
      </c>
      <c r="G75" s="5" t="s">
        <v>148</v>
      </c>
      <c r="H75" s="5">
        <v>695587160</v>
      </c>
      <c r="I75" s="5" t="s">
        <v>13</v>
      </c>
    </row>
    <row r="76" spans="1:9" ht="15" customHeight="1" x14ac:dyDescent="0.3">
      <c r="A76" s="2">
        <v>5666479</v>
      </c>
      <c r="B76" s="2" t="s">
        <v>9</v>
      </c>
      <c r="C76" s="2" t="s">
        <v>661</v>
      </c>
      <c r="D76" s="3">
        <v>45291</v>
      </c>
      <c r="E76" s="3">
        <v>45291</v>
      </c>
      <c r="F76" s="4" t="s">
        <v>149</v>
      </c>
      <c r="G76" s="2" t="s">
        <v>150</v>
      </c>
      <c r="H76" s="2">
        <v>117858769</v>
      </c>
      <c r="I76" s="2" t="s">
        <v>13</v>
      </c>
    </row>
    <row r="77" spans="1:9" ht="15" customHeight="1" x14ac:dyDescent="0.3">
      <c r="A77" s="2">
        <v>5666480</v>
      </c>
      <c r="B77" s="2" t="s">
        <v>9</v>
      </c>
      <c r="C77" s="2" t="s">
        <v>661</v>
      </c>
      <c r="D77" s="3">
        <v>45291</v>
      </c>
      <c r="E77" s="3">
        <v>45291</v>
      </c>
      <c r="F77" s="4" t="s">
        <v>151</v>
      </c>
      <c r="G77" s="2" t="s">
        <v>152</v>
      </c>
      <c r="H77" s="2">
        <v>18909856</v>
      </c>
      <c r="I77" s="2" t="s">
        <v>13</v>
      </c>
    </row>
    <row r="78" spans="1:9" ht="15" customHeight="1" x14ac:dyDescent="0.3">
      <c r="A78" s="2">
        <v>5666481</v>
      </c>
      <c r="B78" s="2" t="s">
        <v>9</v>
      </c>
      <c r="C78" s="2" t="s">
        <v>661</v>
      </c>
      <c r="D78" s="3">
        <v>45291</v>
      </c>
      <c r="E78" s="3">
        <v>45291</v>
      </c>
      <c r="F78" s="4" t="s">
        <v>153</v>
      </c>
      <c r="G78" s="2" t="s">
        <v>154</v>
      </c>
      <c r="H78" s="2">
        <v>18909856</v>
      </c>
      <c r="I78" s="2" t="s">
        <v>13</v>
      </c>
    </row>
    <row r="79" spans="1:9" ht="15" customHeight="1" x14ac:dyDescent="0.3">
      <c r="A79" s="2">
        <v>5666482</v>
      </c>
      <c r="B79" s="2" t="s">
        <v>9</v>
      </c>
      <c r="C79" s="2" t="s">
        <v>661</v>
      </c>
      <c r="D79" s="3">
        <v>45291</v>
      </c>
      <c r="E79" s="3">
        <v>45291</v>
      </c>
      <c r="F79" s="4" t="s">
        <v>155</v>
      </c>
      <c r="G79" s="2" t="s">
        <v>156</v>
      </c>
      <c r="H79" s="2">
        <v>98948913</v>
      </c>
      <c r="I79" s="2" t="s">
        <v>13</v>
      </c>
    </row>
    <row r="80" spans="1:9" ht="15" customHeight="1" x14ac:dyDescent="0.3">
      <c r="A80" s="2">
        <v>5666483</v>
      </c>
      <c r="B80" s="2" t="s">
        <v>9</v>
      </c>
      <c r="C80" s="2" t="s">
        <v>661</v>
      </c>
      <c r="D80" s="3">
        <v>45291</v>
      </c>
      <c r="E80" s="3">
        <v>45291</v>
      </c>
      <c r="F80" s="4" t="s">
        <v>157</v>
      </c>
      <c r="G80" s="2" t="s">
        <v>158</v>
      </c>
      <c r="H80" s="2">
        <v>38292351</v>
      </c>
      <c r="I80" s="2" t="s">
        <v>13</v>
      </c>
    </row>
    <row r="81" spans="1:9" ht="15" customHeight="1" x14ac:dyDescent="0.3">
      <c r="A81" s="2">
        <v>5666484</v>
      </c>
      <c r="B81" s="2" t="s">
        <v>9</v>
      </c>
      <c r="C81" s="2" t="s">
        <v>661</v>
      </c>
      <c r="D81" s="3">
        <v>45291</v>
      </c>
      <c r="E81" s="3">
        <v>45291</v>
      </c>
      <c r="F81" s="4" t="s">
        <v>159</v>
      </c>
      <c r="G81" s="2" t="s">
        <v>160</v>
      </c>
      <c r="H81" s="2">
        <v>60656562</v>
      </c>
      <c r="I81" s="2" t="s">
        <v>13</v>
      </c>
    </row>
    <row r="82" spans="1:9" ht="15" customHeight="1" x14ac:dyDescent="0.3">
      <c r="A82" s="2">
        <v>5666485</v>
      </c>
      <c r="B82" s="2" t="s">
        <v>9</v>
      </c>
      <c r="C82" s="2" t="s">
        <v>661</v>
      </c>
      <c r="D82" s="3">
        <v>45291</v>
      </c>
      <c r="E82" s="3">
        <v>45291</v>
      </c>
      <c r="F82" s="4" t="s">
        <v>161</v>
      </c>
      <c r="G82" s="2" t="s">
        <v>162</v>
      </c>
      <c r="H82" s="2">
        <v>103148613</v>
      </c>
      <c r="I82" s="2" t="s">
        <v>13</v>
      </c>
    </row>
    <row r="83" spans="1:9" ht="15" customHeight="1" x14ac:dyDescent="0.3">
      <c r="A83" s="2">
        <v>5666486</v>
      </c>
      <c r="B83" s="2" t="s">
        <v>9</v>
      </c>
      <c r="C83" s="2" t="s">
        <v>661</v>
      </c>
      <c r="D83" s="3">
        <v>45291</v>
      </c>
      <c r="E83" s="3">
        <v>45291</v>
      </c>
      <c r="F83" s="4" t="s">
        <v>163</v>
      </c>
      <c r="G83" s="2" t="s">
        <v>164</v>
      </c>
      <c r="H83" s="2">
        <v>79618692</v>
      </c>
      <c r="I83" s="2" t="s">
        <v>13</v>
      </c>
    </row>
    <row r="84" spans="1:9" ht="15" customHeight="1" x14ac:dyDescent="0.3">
      <c r="A84" s="2">
        <v>5666487</v>
      </c>
      <c r="B84" s="2" t="s">
        <v>9</v>
      </c>
      <c r="C84" s="2" t="s">
        <v>661</v>
      </c>
      <c r="D84" s="3">
        <v>45291</v>
      </c>
      <c r="E84" s="3">
        <v>45291</v>
      </c>
      <c r="F84" s="4" t="s">
        <v>165</v>
      </c>
      <c r="G84" s="2" t="s">
        <v>166</v>
      </c>
      <c r="H84" s="2">
        <v>50099401</v>
      </c>
      <c r="I84" s="2" t="s">
        <v>13</v>
      </c>
    </row>
    <row r="85" spans="1:9" ht="15" customHeight="1" x14ac:dyDescent="0.3">
      <c r="A85" s="2">
        <v>5666488</v>
      </c>
      <c r="B85" s="2" t="s">
        <v>9</v>
      </c>
      <c r="C85" s="2" t="s">
        <v>661</v>
      </c>
      <c r="D85" s="3">
        <v>45291</v>
      </c>
      <c r="E85" s="3">
        <v>45291</v>
      </c>
      <c r="F85" s="4" t="s">
        <v>167</v>
      </c>
      <c r="G85" s="2" t="s">
        <v>168</v>
      </c>
      <c r="H85" s="2">
        <v>29519291</v>
      </c>
      <c r="I85" s="2" t="s">
        <v>13</v>
      </c>
    </row>
    <row r="86" spans="1:9" ht="15" customHeight="1" x14ac:dyDescent="0.3">
      <c r="A86" s="2">
        <v>5666489</v>
      </c>
      <c r="B86" s="2" t="s">
        <v>9</v>
      </c>
      <c r="C86" s="2" t="s">
        <v>661</v>
      </c>
      <c r="D86" s="3">
        <v>45291</v>
      </c>
      <c r="E86" s="3">
        <v>45291</v>
      </c>
      <c r="F86" s="4" t="s">
        <v>171</v>
      </c>
      <c r="G86" s="2" t="s">
        <v>172</v>
      </c>
      <c r="H86" s="2">
        <v>23529921</v>
      </c>
      <c r="I86" s="2" t="s">
        <v>13</v>
      </c>
    </row>
    <row r="87" spans="1:9" ht="15" customHeight="1" x14ac:dyDescent="0.3">
      <c r="A87" s="2">
        <v>5666490</v>
      </c>
      <c r="B87" s="2" t="s">
        <v>9</v>
      </c>
      <c r="C87" s="2" t="s">
        <v>661</v>
      </c>
      <c r="D87" s="3">
        <v>45291</v>
      </c>
      <c r="E87" s="3">
        <v>45291</v>
      </c>
      <c r="F87" s="4" t="s">
        <v>173</v>
      </c>
      <c r="G87" s="2" t="s">
        <v>174</v>
      </c>
      <c r="H87" s="2">
        <v>23529921</v>
      </c>
      <c r="I87" s="2" t="s">
        <v>13</v>
      </c>
    </row>
    <row r="88" spans="1:9" ht="15" customHeight="1" x14ac:dyDescent="0.3">
      <c r="A88" s="2">
        <v>5666491</v>
      </c>
      <c r="B88" s="2" t="s">
        <v>9</v>
      </c>
      <c r="C88" s="2" t="s">
        <v>661</v>
      </c>
      <c r="D88" s="3">
        <v>45291</v>
      </c>
      <c r="E88" s="3">
        <v>45291</v>
      </c>
      <c r="F88" s="4" t="s">
        <v>175</v>
      </c>
      <c r="G88" s="2" t="s">
        <v>176</v>
      </c>
      <c r="H88" s="2">
        <v>85080826</v>
      </c>
      <c r="I88" s="2" t="s">
        <v>13</v>
      </c>
    </row>
    <row r="89" spans="1:9" ht="15" customHeight="1" x14ac:dyDescent="0.3">
      <c r="A89" s="2">
        <v>5666492</v>
      </c>
      <c r="B89" s="2" t="s">
        <v>9</v>
      </c>
      <c r="C89" s="2" t="s">
        <v>661</v>
      </c>
      <c r="D89" s="3">
        <v>45291</v>
      </c>
      <c r="E89" s="3">
        <v>45291</v>
      </c>
      <c r="F89" s="4" t="s">
        <v>177</v>
      </c>
      <c r="G89" s="2" t="s">
        <v>178</v>
      </c>
      <c r="H89" s="2">
        <v>46799401</v>
      </c>
      <c r="I89" s="2" t="s">
        <v>13</v>
      </c>
    </row>
    <row r="90" spans="1:9" ht="15" customHeight="1" x14ac:dyDescent="0.3">
      <c r="A90" s="2">
        <v>5666493</v>
      </c>
      <c r="B90" s="2" t="s">
        <v>9</v>
      </c>
      <c r="C90" s="2" t="s">
        <v>661</v>
      </c>
      <c r="D90" s="3">
        <v>45291</v>
      </c>
      <c r="E90" s="3">
        <v>45291</v>
      </c>
      <c r="F90" s="4" t="s">
        <v>179</v>
      </c>
      <c r="G90" s="2" t="s">
        <v>180</v>
      </c>
      <c r="H90" s="2">
        <v>13887980</v>
      </c>
      <c r="I90" s="2" t="s">
        <v>13</v>
      </c>
    </row>
    <row r="91" spans="1:9" ht="15" customHeight="1" x14ac:dyDescent="0.3">
      <c r="A91" s="2">
        <v>5666494</v>
      </c>
      <c r="B91" s="2" t="s">
        <v>9</v>
      </c>
      <c r="C91" s="2" t="s">
        <v>661</v>
      </c>
      <c r="D91" s="3">
        <v>45291</v>
      </c>
      <c r="E91" s="3">
        <v>45291</v>
      </c>
      <c r="F91" s="4" t="s">
        <v>181</v>
      </c>
      <c r="G91" s="2" t="s">
        <v>182</v>
      </c>
      <c r="H91" s="2">
        <v>30637268</v>
      </c>
      <c r="I91" s="2" t="s">
        <v>13</v>
      </c>
    </row>
    <row r="92" spans="1:9" ht="15" customHeight="1" x14ac:dyDescent="0.3">
      <c r="A92" s="2">
        <v>5666495</v>
      </c>
      <c r="B92" s="2" t="s">
        <v>9</v>
      </c>
      <c r="C92" s="2" t="s">
        <v>661</v>
      </c>
      <c r="D92" s="3">
        <v>45291</v>
      </c>
      <c r="E92" s="3">
        <v>45291</v>
      </c>
      <c r="F92" s="4" t="s">
        <v>183</v>
      </c>
      <c r="G92" s="2" t="s">
        <v>184</v>
      </c>
      <c r="H92" s="2">
        <v>9375</v>
      </c>
      <c r="I92" s="2" t="s">
        <v>13</v>
      </c>
    </row>
    <row r="93" spans="1:9" ht="15" customHeight="1" x14ac:dyDescent="0.3">
      <c r="A93" s="2">
        <v>5666496</v>
      </c>
      <c r="B93" s="2" t="s">
        <v>9</v>
      </c>
      <c r="C93" s="2" t="s">
        <v>661</v>
      </c>
      <c r="D93" s="3">
        <v>45291</v>
      </c>
      <c r="E93" s="3">
        <v>45291</v>
      </c>
      <c r="F93" s="4" t="s">
        <v>185</v>
      </c>
      <c r="G93" s="2" t="s">
        <v>186</v>
      </c>
      <c r="H93" s="2">
        <v>2078802</v>
      </c>
      <c r="I93" s="2" t="s">
        <v>13</v>
      </c>
    </row>
    <row r="94" spans="1:9" ht="15" customHeight="1" x14ac:dyDescent="0.3">
      <c r="A94" s="2">
        <v>5666497</v>
      </c>
      <c r="B94" s="2" t="s">
        <v>9</v>
      </c>
      <c r="C94" s="2" t="s">
        <v>661</v>
      </c>
      <c r="D94" s="3">
        <v>45291</v>
      </c>
      <c r="E94" s="3">
        <v>45291</v>
      </c>
      <c r="F94" s="4" t="s">
        <v>187</v>
      </c>
      <c r="G94" s="2" t="s">
        <v>188</v>
      </c>
      <c r="H94" s="2">
        <v>185976</v>
      </c>
      <c r="I94" s="2" t="s">
        <v>13</v>
      </c>
    </row>
    <row r="95" spans="1:9" ht="15" customHeight="1" x14ac:dyDescent="0.3">
      <c r="A95" s="2">
        <v>5666498</v>
      </c>
      <c r="B95" s="2" t="s">
        <v>9</v>
      </c>
      <c r="C95" s="2" t="s">
        <v>661</v>
      </c>
      <c r="D95" s="3">
        <v>45291</v>
      </c>
      <c r="E95" s="3">
        <v>45291</v>
      </c>
      <c r="F95" s="4" t="s">
        <v>189</v>
      </c>
      <c r="G95" s="2" t="s">
        <v>190</v>
      </c>
      <c r="H95" s="2">
        <v>37163198</v>
      </c>
      <c r="I95" s="2" t="s">
        <v>13</v>
      </c>
    </row>
    <row r="96" spans="1:9" ht="15" customHeight="1" x14ac:dyDescent="0.3">
      <c r="A96" s="2">
        <v>5666499</v>
      </c>
      <c r="B96" s="2" t="s">
        <v>9</v>
      </c>
      <c r="C96" s="2" t="s">
        <v>661</v>
      </c>
      <c r="D96" s="3">
        <v>45291</v>
      </c>
      <c r="E96" s="3">
        <v>45291</v>
      </c>
      <c r="F96" s="4" t="s">
        <v>191</v>
      </c>
      <c r="G96" s="2" t="s">
        <v>192</v>
      </c>
      <c r="H96" s="2">
        <v>35726049</v>
      </c>
      <c r="I96" s="2" t="s">
        <v>13</v>
      </c>
    </row>
    <row r="97" spans="1:9" ht="15" customHeight="1" x14ac:dyDescent="0.3">
      <c r="A97" s="2">
        <v>5666500</v>
      </c>
      <c r="B97" s="2" t="s">
        <v>9</v>
      </c>
      <c r="C97" s="2" t="s">
        <v>661</v>
      </c>
      <c r="D97" s="3">
        <v>45291</v>
      </c>
      <c r="E97" s="3">
        <v>45291</v>
      </c>
      <c r="F97" s="4" t="s">
        <v>193</v>
      </c>
      <c r="G97" s="2" t="s">
        <v>188</v>
      </c>
      <c r="H97" s="2">
        <v>33331</v>
      </c>
      <c r="I97" s="2" t="s">
        <v>13</v>
      </c>
    </row>
    <row r="98" spans="1:9" ht="15" customHeight="1" x14ac:dyDescent="0.3">
      <c r="A98" s="2">
        <v>5666501</v>
      </c>
      <c r="B98" s="2" t="s">
        <v>9</v>
      </c>
      <c r="C98" s="2" t="s">
        <v>661</v>
      </c>
      <c r="D98" s="3">
        <v>45291</v>
      </c>
      <c r="E98" s="3">
        <v>45291</v>
      </c>
      <c r="F98" s="4" t="s">
        <v>194</v>
      </c>
      <c r="G98" s="2" t="s">
        <v>195</v>
      </c>
      <c r="H98" s="2">
        <v>1403818</v>
      </c>
      <c r="I98" s="2" t="s">
        <v>13</v>
      </c>
    </row>
    <row r="99" spans="1:9" ht="15" customHeight="1" x14ac:dyDescent="0.3">
      <c r="A99" s="2">
        <v>5666502</v>
      </c>
      <c r="B99" s="2" t="s">
        <v>9</v>
      </c>
      <c r="C99" s="2" t="s">
        <v>661</v>
      </c>
      <c r="D99" s="3">
        <v>45291</v>
      </c>
      <c r="E99" s="3">
        <v>45291</v>
      </c>
      <c r="F99" s="4" t="s">
        <v>196</v>
      </c>
      <c r="G99" s="2" t="s">
        <v>197</v>
      </c>
      <c r="H99" s="2">
        <v>1118227</v>
      </c>
      <c r="I99" s="2" t="s">
        <v>13</v>
      </c>
    </row>
    <row r="100" spans="1:9" ht="15" customHeight="1" x14ac:dyDescent="0.3">
      <c r="A100" s="2">
        <v>5666503</v>
      </c>
      <c r="B100" s="2" t="s">
        <v>9</v>
      </c>
      <c r="C100" s="2" t="s">
        <v>661</v>
      </c>
      <c r="D100" s="3">
        <v>45291</v>
      </c>
      <c r="E100" s="3">
        <v>45291</v>
      </c>
      <c r="F100" s="4" t="s">
        <v>198</v>
      </c>
      <c r="G100" s="2" t="s">
        <v>199</v>
      </c>
      <c r="H100" s="2">
        <v>34955</v>
      </c>
      <c r="I100" s="2" t="s">
        <v>13</v>
      </c>
    </row>
    <row r="101" spans="1:9" ht="15" customHeight="1" x14ac:dyDescent="0.3">
      <c r="A101" s="2">
        <v>5666504</v>
      </c>
      <c r="B101" s="2" t="s">
        <v>9</v>
      </c>
      <c r="C101" s="2" t="s">
        <v>661</v>
      </c>
      <c r="D101" s="3">
        <v>45291</v>
      </c>
      <c r="E101" s="3">
        <v>45291</v>
      </c>
      <c r="F101" s="4" t="s">
        <v>200</v>
      </c>
      <c r="G101" s="2" t="s">
        <v>201</v>
      </c>
      <c r="H101" s="2">
        <v>1083272</v>
      </c>
      <c r="I101" s="2" t="s">
        <v>13</v>
      </c>
    </row>
    <row r="102" spans="1:9" ht="15" customHeight="1" x14ac:dyDescent="0.3">
      <c r="A102" s="2">
        <v>5666505</v>
      </c>
      <c r="B102" s="2" t="s">
        <v>9</v>
      </c>
      <c r="C102" s="2" t="s">
        <v>661</v>
      </c>
      <c r="D102" s="3">
        <v>45291</v>
      </c>
      <c r="E102" s="3">
        <v>45291</v>
      </c>
      <c r="F102" s="4" t="s">
        <v>202</v>
      </c>
      <c r="G102" s="2" t="s">
        <v>203</v>
      </c>
      <c r="H102" s="2">
        <v>111463435</v>
      </c>
      <c r="I102" s="2" t="s">
        <v>13</v>
      </c>
    </row>
    <row r="103" spans="1:9" ht="15" customHeight="1" x14ac:dyDescent="0.3">
      <c r="A103" s="2">
        <v>5666506</v>
      </c>
      <c r="B103" s="2" t="s">
        <v>9</v>
      </c>
      <c r="C103" s="2" t="s">
        <v>661</v>
      </c>
      <c r="D103" s="3">
        <v>45291</v>
      </c>
      <c r="E103" s="3">
        <v>45291</v>
      </c>
      <c r="F103" s="4" t="s">
        <v>204</v>
      </c>
      <c r="G103" s="2" t="s">
        <v>203</v>
      </c>
      <c r="H103" s="2">
        <v>111463435</v>
      </c>
      <c r="I103" s="2" t="s">
        <v>13</v>
      </c>
    </row>
    <row r="104" spans="1:9" ht="15" customHeight="1" x14ac:dyDescent="0.3">
      <c r="A104" s="2">
        <v>5666507</v>
      </c>
      <c r="B104" s="2" t="s">
        <v>9</v>
      </c>
      <c r="C104" s="2" t="s">
        <v>661</v>
      </c>
      <c r="D104" s="3">
        <v>45291</v>
      </c>
      <c r="E104" s="3">
        <v>45291</v>
      </c>
      <c r="F104" s="4" t="s">
        <v>205</v>
      </c>
      <c r="G104" s="2" t="s">
        <v>206</v>
      </c>
      <c r="H104" s="2">
        <v>65157883</v>
      </c>
      <c r="I104" s="2" t="s">
        <v>13</v>
      </c>
    </row>
    <row r="105" spans="1:9" ht="15" customHeight="1" x14ac:dyDescent="0.3">
      <c r="A105" s="2">
        <v>5666508</v>
      </c>
      <c r="B105" s="2" t="s">
        <v>9</v>
      </c>
      <c r="C105" s="2" t="s">
        <v>661</v>
      </c>
      <c r="D105" s="3">
        <v>45291</v>
      </c>
      <c r="E105" s="3">
        <v>45291</v>
      </c>
      <c r="F105" s="4" t="s">
        <v>207</v>
      </c>
      <c r="G105" s="2" t="s">
        <v>208</v>
      </c>
      <c r="H105" s="2">
        <v>46305552</v>
      </c>
      <c r="I105" s="2" t="s">
        <v>13</v>
      </c>
    </row>
    <row r="106" spans="1:9" ht="15" customHeight="1" x14ac:dyDescent="0.3">
      <c r="A106" s="2">
        <v>5666509</v>
      </c>
      <c r="B106" s="2" t="s">
        <v>9</v>
      </c>
      <c r="C106" s="2" t="s">
        <v>661</v>
      </c>
      <c r="D106" s="3">
        <v>45291</v>
      </c>
      <c r="E106" s="3">
        <v>45291</v>
      </c>
      <c r="F106" s="4" t="s">
        <v>209</v>
      </c>
      <c r="G106" s="2" t="s">
        <v>210</v>
      </c>
      <c r="H106" s="2">
        <v>0</v>
      </c>
      <c r="I106" s="2" t="s">
        <v>13</v>
      </c>
    </row>
    <row r="107" spans="1:9" ht="15" customHeight="1" x14ac:dyDescent="0.3">
      <c r="A107" s="2">
        <v>5666510</v>
      </c>
      <c r="B107" s="2" t="s">
        <v>9</v>
      </c>
      <c r="C107" s="2" t="s">
        <v>661</v>
      </c>
      <c r="D107" s="3">
        <v>45291</v>
      </c>
      <c r="E107" s="3">
        <v>45291</v>
      </c>
      <c r="F107" s="4" t="s">
        <v>211</v>
      </c>
      <c r="G107" s="2" t="s">
        <v>212</v>
      </c>
      <c r="H107" s="2">
        <v>0</v>
      </c>
      <c r="I107" s="2" t="s">
        <v>13</v>
      </c>
    </row>
    <row r="108" spans="1:9" ht="15" customHeight="1" x14ac:dyDescent="0.3">
      <c r="A108" s="2">
        <v>5666511</v>
      </c>
      <c r="B108" s="2" t="s">
        <v>9</v>
      </c>
      <c r="C108" s="2" t="s">
        <v>661</v>
      </c>
      <c r="D108" s="3">
        <v>45291</v>
      </c>
      <c r="E108" s="3">
        <v>45291</v>
      </c>
      <c r="F108" s="4" t="s">
        <v>213</v>
      </c>
      <c r="G108" s="2" t="s">
        <v>214</v>
      </c>
      <c r="H108" s="2">
        <v>278035517</v>
      </c>
      <c r="I108" s="2" t="s">
        <v>13</v>
      </c>
    </row>
    <row r="109" spans="1:9" ht="15" customHeight="1" x14ac:dyDescent="0.3">
      <c r="A109" s="2">
        <v>5666512</v>
      </c>
      <c r="B109" s="2" t="s">
        <v>9</v>
      </c>
      <c r="C109" s="2" t="s">
        <v>661</v>
      </c>
      <c r="D109" s="3">
        <v>45291</v>
      </c>
      <c r="E109" s="3">
        <v>45291</v>
      </c>
      <c r="F109" s="4" t="s">
        <v>215</v>
      </c>
      <c r="G109" s="2" t="s">
        <v>216</v>
      </c>
      <c r="H109" s="2">
        <v>0</v>
      </c>
      <c r="I109" s="2" t="s">
        <v>13</v>
      </c>
    </row>
    <row r="110" spans="1:9" ht="15" customHeight="1" x14ac:dyDescent="0.3">
      <c r="A110" s="2">
        <v>5666513</v>
      </c>
      <c r="B110" s="2" t="s">
        <v>9</v>
      </c>
      <c r="C110" s="2" t="s">
        <v>661</v>
      </c>
      <c r="D110" s="3">
        <v>45291</v>
      </c>
      <c r="E110" s="3">
        <v>45291</v>
      </c>
      <c r="F110" s="4" t="s">
        <v>217</v>
      </c>
      <c r="G110" s="2" t="s">
        <v>218</v>
      </c>
      <c r="H110" s="2">
        <v>0</v>
      </c>
      <c r="I110" s="2" t="s">
        <v>13</v>
      </c>
    </row>
    <row r="111" spans="1:9" ht="15" customHeight="1" x14ac:dyDescent="0.3">
      <c r="A111" s="2">
        <v>5666514</v>
      </c>
      <c r="B111" s="2" t="s">
        <v>9</v>
      </c>
      <c r="C111" s="2" t="s">
        <v>661</v>
      </c>
      <c r="D111" s="3">
        <v>45291</v>
      </c>
      <c r="E111" s="3">
        <v>45291</v>
      </c>
      <c r="F111" s="4" t="s">
        <v>219</v>
      </c>
      <c r="G111" s="2" t="s">
        <v>220</v>
      </c>
      <c r="H111" s="2">
        <v>0</v>
      </c>
      <c r="I111" s="2" t="s">
        <v>13</v>
      </c>
    </row>
    <row r="112" spans="1:9" ht="15" customHeight="1" x14ac:dyDescent="0.3">
      <c r="A112" s="2">
        <v>5666515</v>
      </c>
      <c r="B112" s="2" t="s">
        <v>9</v>
      </c>
      <c r="C112" s="2" t="s">
        <v>661</v>
      </c>
      <c r="D112" s="3">
        <v>45291</v>
      </c>
      <c r="E112" s="3">
        <v>45291</v>
      </c>
      <c r="F112" s="4" t="s">
        <v>221</v>
      </c>
      <c r="G112" s="2" t="s">
        <v>222</v>
      </c>
      <c r="H112" s="2">
        <v>0</v>
      </c>
      <c r="I112" s="2" t="s">
        <v>13</v>
      </c>
    </row>
    <row r="113" spans="1:9" ht="15" customHeight="1" x14ac:dyDescent="0.3">
      <c r="A113" s="2">
        <v>5666516</v>
      </c>
      <c r="B113" s="2" t="s">
        <v>9</v>
      </c>
      <c r="C113" s="2" t="s">
        <v>661</v>
      </c>
      <c r="D113" s="3">
        <v>45291</v>
      </c>
      <c r="E113" s="3">
        <v>45291</v>
      </c>
      <c r="F113" s="4" t="s">
        <v>223</v>
      </c>
      <c r="G113" s="2" t="s">
        <v>70</v>
      </c>
      <c r="H113" s="2">
        <v>278035517</v>
      </c>
      <c r="I113" s="2" t="s">
        <v>13</v>
      </c>
    </row>
    <row r="114" spans="1:9" ht="15" customHeight="1" x14ac:dyDescent="0.3">
      <c r="A114" s="2">
        <v>5666517</v>
      </c>
      <c r="B114" s="2" t="s">
        <v>9</v>
      </c>
      <c r="C114" s="2" t="s">
        <v>661</v>
      </c>
      <c r="D114" s="3">
        <v>45291</v>
      </c>
      <c r="E114" s="3">
        <v>45291</v>
      </c>
      <c r="F114" s="4" t="s">
        <v>224</v>
      </c>
      <c r="G114" s="2" t="s">
        <v>225</v>
      </c>
      <c r="H114" s="2">
        <v>87700924</v>
      </c>
      <c r="I114" s="2" t="s">
        <v>13</v>
      </c>
    </row>
    <row r="115" spans="1:9" ht="15" customHeight="1" x14ac:dyDescent="0.3">
      <c r="A115" s="2">
        <v>5666518</v>
      </c>
      <c r="B115" s="2" t="s">
        <v>9</v>
      </c>
      <c r="C115" s="2" t="s">
        <v>661</v>
      </c>
      <c r="D115" s="3">
        <v>45291</v>
      </c>
      <c r="E115" s="3">
        <v>45291</v>
      </c>
      <c r="F115" s="4" t="s">
        <v>226</v>
      </c>
      <c r="G115" s="2" t="s">
        <v>227</v>
      </c>
      <c r="H115" s="2">
        <v>0</v>
      </c>
      <c r="I115" s="2" t="s">
        <v>13</v>
      </c>
    </row>
    <row r="116" spans="1:9" ht="15" customHeight="1" x14ac:dyDescent="0.3">
      <c r="A116" s="2">
        <v>5666519</v>
      </c>
      <c r="B116" s="2" t="s">
        <v>9</v>
      </c>
      <c r="C116" s="2" t="s">
        <v>661</v>
      </c>
      <c r="D116" s="3">
        <v>45291</v>
      </c>
      <c r="E116" s="3">
        <v>45291</v>
      </c>
      <c r="F116" s="4" t="s">
        <v>228</v>
      </c>
      <c r="G116" s="2" t="s">
        <v>229</v>
      </c>
      <c r="H116" s="2">
        <v>0</v>
      </c>
      <c r="I116" s="2" t="s">
        <v>13</v>
      </c>
    </row>
    <row r="117" spans="1:9" ht="15" customHeight="1" x14ac:dyDescent="0.3">
      <c r="A117" s="2">
        <v>5666520</v>
      </c>
      <c r="B117" s="2" t="s">
        <v>9</v>
      </c>
      <c r="C117" s="2" t="s">
        <v>661</v>
      </c>
      <c r="D117" s="3">
        <v>45291</v>
      </c>
      <c r="E117" s="3">
        <v>45291</v>
      </c>
      <c r="F117" s="4" t="s">
        <v>230</v>
      </c>
      <c r="G117" s="2" t="s">
        <v>231</v>
      </c>
      <c r="H117" s="2">
        <v>17662577</v>
      </c>
      <c r="I117" s="2" t="s">
        <v>13</v>
      </c>
    </row>
    <row r="118" spans="1:9" ht="15" customHeight="1" x14ac:dyDescent="0.3">
      <c r="A118" s="2">
        <v>5666521</v>
      </c>
      <c r="B118" s="2" t="s">
        <v>9</v>
      </c>
      <c r="C118" s="2" t="s">
        <v>661</v>
      </c>
      <c r="D118" s="3">
        <v>45291</v>
      </c>
      <c r="E118" s="3">
        <v>45291</v>
      </c>
      <c r="F118" s="4" t="s">
        <v>232</v>
      </c>
      <c r="G118" s="2" t="s">
        <v>233</v>
      </c>
      <c r="H118" s="2">
        <v>70059085</v>
      </c>
      <c r="I118" s="2" t="s">
        <v>13</v>
      </c>
    </row>
    <row r="119" spans="1:9" ht="15" customHeight="1" x14ac:dyDescent="0.3">
      <c r="A119" s="2">
        <v>5666522</v>
      </c>
      <c r="B119" s="2" t="s">
        <v>9</v>
      </c>
      <c r="C119" s="2" t="s">
        <v>661</v>
      </c>
      <c r="D119" s="3">
        <v>45291</v>
      </c>
      <c r="E119" s="3">
        <v>45291</v>
      </c>
      <c r="F119" s="4" t="s">
        <v>234</v>
      </c>
      <c r="G119" s="2" t="s">
        <v>235</v>
      </c>
      <c r="H119" s="2">
        <v>7215877</v>
      </c>
      <c r="I119" s="2" t="s">
        <v>13</v>
      </c>
    </row>
    <row r="120" spans="1:9" ht="15" customHeight="1" x14ac:dyDescent="0.3">
      <c r="A120" s="2">
        <v>5666523</v>
      </c>
      <c r="B120" s="2" t="s">
        <v>9</v>
      </c>
      <c r="C120" s="2" t="s">
        <v>661</v>
      </c>
      <c r="D120" s="3">
        <v>45291</v>
      </c>
      <c r="E120" s="3">
        <v>45291</v>
      </c>
      <c r="F120" s="4" t="s">
        <v>236</v>
      </c>
      <c r="G120" s="2" t="s">
        <v>188</v>
      </c>
      <c r="H120" s="2">
        <v>0</v>
      </c>
      <c r="I120" s="2" t="s">
        <v>13</v>
      </c>
    </row>
    <row r="121" spans="1:9" ht="15" customHeight="1" x14ac:dyDescent="0.3">
      <c r="A121" s="2">
        <v>5666524</v>
      </c>
      <c r="B121" s="2" t="s">
        <v>9</v>
      </c>
      <c r="C121" s="2" t="s">
        <v>661</v>
      </c>
      <c r="D121" s="3">
        <v>45291</v>
      </c>
      <c r="E121" s="3">
        <v>45291</v>
      </c>
      <c r="F121" s="4" t="s">
        <v>237</v>
      </c>
      <c r="G121" s="2" t="s">
        <v>238</v>
      </c>
      <c r="H121" s="2">
        <v>12312405</v>
      </c>
      <c r="I121" s="2" t="s">
        <v>13</v>
      </c>
    </row>
    <row r="122" spans="1:9" ht="15" customHeight="1" x14ac:dyDescent="0.3">
      <c r="A122" s="2">
        <v>5666525</v>
      </c>
      <c r="B122" s="2" t="s">
        <v>9</v>
      </c>
      <c r="C122" s="2" t="s">
        <v>661</v>
      </c>
      <c r="D122" s="3">
        <v>45291</v>
      </c>
      <c r="E122" s="3">
        <v>45291</v>
      </c>
      <c r="F122" s="4" t="s">
        <v>239</v>
      </c>
      <c r="G122" s="2" t="s">
        <v>662</v>
      </c>
      <c r="H122" s="2">
        <v>68554302</v>
      </c>
      <c r="I122" s="2" t="s">
        <v>13</v>
      </c>
    </row>
    <row r="123" spans="1:9" ht="15" customHeight="1" x14ac:dyDescent="0.3">
      <c r="A123" s="2">
        <v>5666526</v>
      </c>
      <c r="B123" s="2" t="s">
        <v>9</v>
      </c>
      <c r="C123" s="2" t="s">
        <v>661</v>
      </c>
      <c r="D123" s="3">
        <v>45291</v>
      </c>
      <c r="E123" s="3">
        <v>45291</v>
      </c>
      <c r="F123" s="4" t="s">
        <v>240</v>
      </c>
      <c r="G123" s="2" t="s">
        <v>241</v>
      </c>
      <c r="H123" s="2">
        <v>13241269</v>
      </c>
      <c r="I123" s="2" t="s">
        <v>13</v>
      </c>
    </row>
    <row r="124" spans="1:9" ht="15" customHeight="1" x14ac:dyDescent="0.3">
      <c r="A124" s="2">
        <v>5666527</v>
      </c>
      <c r="B124" s="2" t="s">
        <v>9</v>
      </c>
      <c r="C124" s="2" t="s">
        <v>661</v>
      </c>
      <c r="D124" s="3">
        <v>45291</v>
      </c>
      <c r="E124" s="3">
        <v>45291</v>
      </c>
      <c r="F124" s="4" t="s">
        <v>242</v>
      </c>
      <c r="G124" s="2" t="s">
        <v>243</v>
      </c>
      <c r="H124" s="2">
        <v>1289078</v>
      </c>
      <c r="I124" s="2" t="s">
        <v>13</v>
      </c>
    </row>
    <row r="125" spans="1:9" ht="15" customHeight="1" x14ac:dyDescent="0.3">
      <c r="A125" s="2">
        <v>5666528</v>
      </c>
      <c r="B125" s="2" t="s">
        <v>9</v>
      </c>
      <c r="C125" s="2" t="s">
        <v>661</v>
      </c>
      <c r="D125" s="3">
        <v>45291</v>
      </c>
      <c r="E125" s="3">
        <v>45291</v>
      </c>
      <c r="F125" s="4" t="s">
        <v>244</v>
      </c>
      <c r="G125" s="2" t="s">
        <v>245</v>
      </c>
      <c r="H125" s="2">
        <v>0</v>
      </c>
      <c r="I125" s="2" t="s">
        <v>13</v>
      </c>
    </row>
    <row r="126" spans="1:9" ht="15" customHeight="1" x14ac:dyDescent="0.3">
      <c r="A126" s="2">
        <v>5666529</v>
      </c>
      <c r="B126" s="2" t="s">
        <v>9</v>
      </c>
      <c r="C126" s="2" t="s">
        <v>661</v>
      </c>
      <c r="D126" s="3">
        <v>45291</v>
      </c>
      <c r="E126" s="3">
        <v>45291</v>
      </c>
      <c r="F126" s="4" t="s">
        <v>246</v>
      </c>
      <c r="G126" s="2" t="s">
        <v>247</v>
      </c>
      <c r="H126" s="2">
        <v>0</v>
      </c>
      <c r="I126" s="2" t="s">
        <v>13</v>
      </c>
    </row>
    <row r="127" spans="1:9" ht="15" customHeight="1" x14ac:dyDescent="0.3">
      <c r="A127" s="2">
        <v>5666530</v>
      </c>
      <c r="B127" s="2" t="s">
        <v>9</v>
      </c>
      <c r="C127" s="2" t="s">
        <v>661</v>
      </c>
      <c r="D127" s="3">
        <v>45291</v>
      </c>
      <c r="E127" s="3">
        <v>45291</v>
      </c>
      <c r="F127" s="4" t="s">
        <v>248</v>
      </c>
      <c r="G127" s="2" t="s">
        <v>249</v>
      </c>
      <c r="H127" s="2">
        <v>0</v>
      </c>
      <c r="I127" s="2" t="s">
        <v>13</v>
      </c>
    </row>
    <row r="128" spans="1:9" ht="15" customHeight="1" x14ac:dyDescent="0.3">
      <c r="A128" s="2">
        <v>5666531</v>
      </c>
      <c r="B128" s="2" t="s">
        <v>9</v>
      </c>
      <c r="C128" s="2" t="s">
        <v>661</v>
      </c>
      <c r="D128" s="3">
        <v>45291</v>
      </c>
      <c r="E128" s="3">
        <v>45291</v>
      </c>
      <c r="F128" s="4" t="s">
        <v>250</v>
      </c>
      <c r="G128" s="2" t="s">
        <v>251</v>
      </c>
      <c r="H128" s="2">
        <v>0</v>
      </c>
      <c r="I128" s="2" t="s">
        <v>13</v>
      </c>
    </row>
    <row r="129" spans="1:9" ht="15" customHeight="1" x14ac:dyDescent="0.3">
      <c r="A129" s="2">
        <v>5666532</v>
      </c>
      <c r="B129" s="2" t="s">
        <v>9</v>
      </c>
      <c r="C129" s="2" t="s">
        <v>661</v>
      </c>
      <c r="D129" s="3">
        <v>45291</v>
      </c>
      <c r="E129" s="3">
        <v>45291</v>
      </c>
      <c r="F129" s="4" t="s">
        <v>252</v>
      </c>
      <c r="G129" s="2" t="s">
        <v>253</v>
      </c>
      <c r="H129" s="2">
        <v>0</v>
      </c>
      <c r="I129" s="2" t="s">
        <v>13</v>
      </c>
    </row>
    <row r="130" spans="1:9" ht="15" customHeight="1" x14ac:dyDescent="0.3">
      <c r="A130" s="2">
        <v>5666533</v>
      </c>
      <c r="B130" s="2" t="s">
        <v>9</v>
      </c>
      <c r="C130" s="2" t="s">
        <v>661</v>
      </c>
      <c r="D130" s="3">
        <v>45291</v>
      </c>
      <c r="E130" s="3">
        <v>45291</v>
      </c>
      <c r="F130" s="4" t="s">
        <v>254</v>
      </c>
      <c r="G130" s="2" t="s">
        <v>255</v>
      </c>
      <c r="H130" s="2">
        <v>0</v>
      </c>
      <c r="I130" s="2" t="s">
        <v>13</v>
      </c>
    </row>
    <row r="131" spans="1:9" ht="15" customHeight="1" x14ac:dyDescent="0.3">
      <c r="A131" s="2">
        <v>5666534</v>
      </c>
      <c r="B131" s="2" t="s">
        <v>9</v>
      </c>
      <c r="C131" s="2" t="s">
        <v>661</v>
      </c>
      <c r="D131" s="3">
        <v>45291</v>
      </c>
      <c r="E131" s="3">
        <v>45291</v>
      </c>
      <c r="F131" s="4" t="s">
        <v>256</v>
      </c>
      <c r="G131" s="2" t="s">
        <v>257</v>
      </c>
      <c r="H131" s="2">
        <v>0</v>
      </c>
      <c r="I131" s="2" t="s">
        <v>13</v>
      </c>
    </row>
    <row r="132" spans="1:9" ht="15" customHeight="1" x14ac:dyDescent="0.3">
      <c r="A132" s="2">
        <v>5666535</v>
      </c>
      <c r="B132" s="2" t="s">
        <v>9</v>
      </c>
      <c r="C132" s="2" t="s">
        <v>661</v>
      </c>
      <c r="D132" s="3">
        <v>45291</v>
      </c>
      <c r="E132" s="3">
        <v>45291</v>
      </c>
      <c r="F132" s="4" t="s">
        <v>258</v>
      </c>
      <c r="G132" s="2" t="s">
        <v>259</v>
      </c>
      <c r="H132" s="2">
        <v>0</v>
      </c>
      <c r="I132" s="2" t="s">
        <v>13</v>
      </c>
    </row>
    <row r="133" spans="1:9" ht="15" customHeight="1" x14ac:dyDescent="0.3">
      <c r="A133" s="2">
        <v>5666536</v>
      </c>
      <c r="B133" s="2" t="s">
        <v>9</v>
      </c>
      <c r="C133" s="2" t="s">
        <v>661</v>
      </c>
      <c r="D133" s="3">
        <v>45291</v>
      </c>
      <c r="E133" s="3">
        <v>45291</v>
      </c>
      <c r="F133" s="4" t="s">
        <v>260</v>
      </c>
      <c r="G133" s="2" t="s">
        <v>261</v>
      </c>
      <c r="H133" s="2">
        <v>0</v>
      </c>
      <c r="I133" s="2" t="s">
        <v>13</v>
      </c>
    </row>
    <row r="134" spans="1:9" ht="15" customHeight="1" x14ac:dyDescent="0.3">
      <c r="A134" s="2">
        <v>5666537</v>
      </c>
      <c r="B134" s="2" t="s">
        <v>9</v>
      </c>
      <c r="C134" s="2" t="s">
        <v>661</v>
      </c>
      <c r="D134" s="3">
        <v>45291</v>
      </c>
      <c r="E134" s="3">
        <v>45291</v>
      </c>
      <c r="F134" s="4" t="s">
        <v>262</v>
      </c>
      <c r="G134" s="2" t="s">
        <v>263</v>
      </c>
      <c r="H134" s="2">
        <v>0</v>
      </c>
      <c r="I134" s="2" t="s">
        <v>13</v>
      </c>
    </row>
    <row r="135" spans="1:9" ht="15" customHeight="1" x14ac:dyDescent="0.3">
      <c r="A135" s="2">
        <v>5666538</v>
      </c>
      <c r="B135" s="2" t="s">
        <v>9</v>
      </c>
      <c r="C135" s="2" t="s">
        <v>661</v>
      </c>
      <c r="D135" s="3">
        <v>45291</v>
      </c>
      <c r="E135" s="3">
        <v>45291</v>
      </c>
      <c r="F135" s="4" t="s">
        <v>264</v>
      </c>
      <c r="G135" s="2" t="s">
        <v>265</v>
      </c>
      <c r="H135" s="2">
        <v>0</v>
      </c>
      <c r="I135" s="2" t="s">
        <v>13</v>
      </c>
    </row>
    <row r="136" spans="1:9" ht="15" customHeight="1" x14ac:dyDescent="0.3">
      <c r="A136" s="2">
        <v>5666539</v>
      </c>
      <c r="B136" s="2" t="s">
        <v>9</v>
      </c>
      <c r="C136" s="2" t="s">
        <v>661</v>
      </c>
      <c r="D136" s="3">
        <v>45291</v>
      </c>
      <c r="E136" s="3">
        <v>45291</v>
      </c>
      <c r="F136" s="4" t="s">
        <v>266</v>
      </c>
      <c r="G136" s="2" t="s">
        <v>267</v>
      </c>
      <c r="H136" s="2">
        <v>0</v>
      </c>
      <c r="I136" s="2" t="s">
        <v>13</v>
      </c>
    </row>
    <row r="137" spans="1:9" ht="15" customHeight="1" x14ac:dyDescent="0.3">
      <c r="A137" s="2">
        <v>5666540</v>
      </c>
      <c r="B137" s="2" t="s">
        <v>9</v>
      </c>
      <c r="C137" s="2" t="s">
        <v>661</v>
      </c>
      <c r="D137" s="3">
        <v>45291</v>
      </c>
      <c r="E137" s="3">
        <v>45291</v>
      </c>
      <c r="F137" s="4" t="s">
        <v>268</v>
      </c>
      <c r="G137" s="2" t="s">
        <v>269</v>
      </c>
      <c r="H137" s="2">
        <v>0</v>
      </c>
      <c r="I137" s="2" t="s">
        <v>13</v>
      </c>
    </row>
    <row r="138" spans="1:9" ht="15" customHeight="1" x14ac:dyDescent="0.3">
      <c r="A138" s="2">
        <v>5666541</v>
      </c>
      <c r="B138" s="2" t="s">
        <v>9</v>
      </c>
      <c r="C138" s="2" t="s">
        <v>661</v>
      </c>
      <c r="D138" s="3">
        <v>45291</v>
      </c>
      <c r="E138" s="3">
        <v>45291</v>
      </c>
      <c r="F138" s="4" t="s">
        <v>270</v>
      </c>
      <c r="G138" s="2" t="s">
        <v>271</v>
      </c>
      <c r="H138" s="2">
        <v>612280814</v>
      </c>
      <c r="I138" s="2" t="s">
        <v>13</v>
      </c>
    </row>
    <row r="139" spans="1:9" ht="15" customHeight="1" x14ac:dyDescent="0.3">
      <c r="A139" s="2">
        <v>5666542</v>
      </c>
      <c r="B139" s="2" t="s">
        <v>9</v>
      </c>
      <c r="C139" s="2" t="s">
        <v>661</v>
      </c>
      <c r="D139" s="3">
        <v>45291</v>
      </c>
      <c r="E139" s="3">
        <v>45291</v>
      </c>
      <c r="F139" s="4" t="s">
        <v>272</v>
      </c>
      <c r="G139" s="2" t="s">
        <v>203</v>
      </c>
      <c r="H139" s="2">
        <v>160000000</v>
      </c>
      <c r="I139" s="2" t="s">
        <v>13</v>
      </c>
    </row>
    <row r="140" spans="1:9" ht="15" customHeight="1" x14ac:dyDescent="0.3">
      <c r="A140" s="2">
        <v>5666543</v>
      </c>
      <c r="B140" s="2" t="s">
        <v>9</v>
      </c>
      <c r="C140" s="2" t="s">
        <v>661</v>
      </c>
      <c r="D140" s="3">
        <v>45291</v>
      </c>
      <c r="E140" s="3">
        <v>45291</v>
      </c>
      <c r="F140" s="4" t="s">
        <v>273</v>
      </c>
      <c r="G140" s="2" t="s">
        <v>203</v>
      </c>
      <c r="H140" s="2">
        <v>160000000</v>
      </c>
      <c r="I140" s="2" t="s">
        <v>13</v>
      </c>
    </row>
    <row r="141" spans="1:9" ht="15" customHeight="1" x14ac:dyDescent="0.3">
      <c r="A141" s="2">
        <v>5666544</v>
      </c>
      <c r="B141" s="2" t="s">
        <v>9</v>
      </c>
      <c r="C141" s="2" t="s">
        <v>661</v>
      </c>
      <c r="D141" s="3">
        <v>45291</v>
      </c>
      <c r="E141" s="3">
        <v>45291</v>
      </c>
      <c r="F141" s="4" t="s">
        <v>274</v>
      </c>
      <c r="G141" s="2" t="s">
        <v>206</v>
      </c>
      <c r="H141" s="2">
        <v>110000000</v>
      </c>
      <c r="I141" s="2" t="s">
        <v>13</v>
      </c>
    </row>
    <row r="142" spans="1:9" ht="15" customHeight="1" x14ac:dyDescent="0.3">
      <c r="A142" s="2">
        <v>5666545</v>
      </c>
      <c r="B142" s="2" t="s">
        <v>9</v>
      </c>
      <c r="C142" s="2" t="s">
        <v>661</v>
      </c>
      <c r="D142" s="3">
        <v>45291</v>
      </c>
      <c r="E142" s="3">
        <v>45291</v>
      </c>
      <c r="F142" s="4" t="s">
        <v>275</v>
      </c>
      <c r="G142" s="2" t="s">
        <v>208</v>
      </c>
      <c r="H142" s="2">
        <v>50000000</v>
      </c>
      <c r="I142" s="2" t="s">
        <v>13</v>
      </c>
    </row>
    <row r="143" spans="1:9" ht="15" customHeight="1" x14ac:dyDescent="0.3">
      <c r="A143" s="2">
        <v>5666546</v>
      </c>
      <c r="B143" s="2" t="s">
        <v>9</v>
      </c>
      <c r="C143" s="2" t="s">
        <v>661</v>
      </c>
      <c r="D143" s="3">
        <v>45291</v>
      </c>
      <c r="E143" s="3">
        <v>45291</v>
      </c>
      <c r="F143" s="4" t="s">
        <v>276</v>
      </c>
      <c r="G143" s="2" t="s">
        <v>210</v>
      </c>
      <c r="H143" s="2">
        <v>0</v>
      </c>
      <c r="I143" s="2" t="s">
        <v>13</v>
      </c>
    </row>
    <row r="144" spans="1:9" ht="15" customHeight="1" x14ac:dyDescent="0.3">
      <c r="A144" s="2">
        <v>5666547</v>
      </c>
      <c r="B144" s="2" t="s">
        <v>9</v>
      </c>
      <c r="C144" s="2" t="s">
        <v>661</v>
      </c>
      <c r="D144" s="3">
        <v>45291</v>
      </c>
      <c r="E144" s="3">
        <v>45291</v>
      </c>
      <c r="F144" s="4" t="s">
        <v>277</v>
      </c>
      <c r="G144" s="2" t="s">
        <v>212</v>
      </c>
      <c r="H144" s="2">
        <v>0</v>
      </c>
      <c r="I144" s="2" t="s">
        <v>13</v>
      </c>
    </row>
    <row r="145" spans="1:9" ht="15" customHeight="1" x14ac:dyDescent="0.3">
      <c r="A145" s="2">
        <v>5666548</v>
      </c>
      <c r="B145" s="2" t="s">
        <v>9</v>
      </c>
      <c r="C145" s="2" t="s">
        <v>661</v>
      </c>
      <c r="D145" s="3">
        <v>45291</v>
      </c>
      <c r="E145" s="3">
        <v>45291</v>
      </c>
      <c r="F145" s="4" t="s">
        <v>278</v>
      </c>
      <c r="G145" s="2" t="s">
        <v>214</v>
      </c>
      <c r="H145" s="2">
        <v>437706869</v>
      </c>
      <c r="I145" s="2" t="s">
        <v>13</v>
      </c>
    </row>
    <row r="146" spans="1:9" ht="15" customHeight="1" x14ac:dyDescent="0.3">
      <c r="A146" s="2">
        <v>5666549</v>
      </c>
      <c r="B146" s="2" t="s">
        <v>9</v>
      </c>
      <c r="C146" s="2" t="s">
        <v>661</v>
      </c>
      <c r="D146" s="3">
        <v>45291</v>
      </c>
      <c r="E146" s="3">
        <v>45291</v>
      </c>
      <c r="F146" s="4" t="s">
        <v>279</v>
      </c>
      <c r="G146" s="2" t="s">
        <v>216</v>
      </c>
      <c r="H146" s="2">
        <v>0</v>
      </c>
      <c r="I146" s="2" t="s">
        <v>13</v>
      </c>
    </row>
    <row r="147" spans="1:9" ht="15" customHeight="1" x14ac:dyDescent="0.3">
      <c r="A147" s="2">
        <v>5666550</v>
      </c>
      <c r="B147" s="2" t="s">
        <v>9</v>
      </c>
      <c r="C147" s="2" t="s">
        <v>661</v>
      </c>
      <c r="D147" s="3">
        <v>45291</v>
      </c>
      <c r="E147" s="3">
        <v>45291</v>
      </c>
      <c r="F147" s="4" t="s">
        <v>280</v>
      </c>
      <c r="G147" s="2" t="s">
        <v>218</v>
      </c>
      <c r="H147" s="2">
        <v>0</v>
      </c>
      <c r="I147" s="2" t="s">
        <v>13</v>
      </c>
    </row>
    <row r="148" spans="1:9" ht="15" customHeight="1" x14ac:dyDescent="0.3">
      <c r="A148" s="2">
        <v>5666551</v>
      </c>
      <c r="B148" s="2" t="s">
        <v>9</v>
      </c>
      <c r="C148" s="2" t="s">
        <v>661</v>
      </c>
      <c r="D148" s="3">
        <v>45291</v>
      </c>
      <c r="E148" s="3">
        <v>45291</v>
      </c>
      <c r="F148" s="4" t="s">
        <v>281</v>
      </c>
      <c r="G148" s="2" t="s">
        <v>220</v>
      </c>
      <c r="H148" s="2">
        <v>0</v>
      </c>
      <c r="I148" s="2" t="s">
        <v>13</v>
      </c>
    </row>
    <row r="149" spans="1:9" ht="15" customHeight="1" x14ac:dyDescent="0.3">
      <c r="A149" s="2">
        <v>5666552</v>
      </c>
      <c r="B149" s="2" t="s">
        <v>9</v>
      </c>
      <c r="C149" s="2" t="s">
        <v>661</v>
      </c>
      <c r="D149" s="3">
        <v>45291</v>
      </c>
      <c r="E149" s="3">
        <v>45291</v>
      </c>
      <c r="F149" s="4" t="s">
        <v>282</v>
      </c>
      <c r="G149" s="2" t="s">
        <v>222</v>
      </c>
      <c r="H149" s="2">
        <v>0</v>
      </c>
      <c r="I149" s="2" t="s">
        <v>13</v>
      </c>
    </row>
    <row r="150" spans="1:9" ht="15" customHeight="1" x14ac:dyDescent="0.3">
      <c r="A150" s="2">
        <v>5666553</v>
      </c>
      <c r="B150" s="2" t="s">
        <v>9</v>
      </c>
      <c r="C150" s="2" t="s">
        <v>661</v>
      </c>
      <c r="D150" s="3">
        <v>45291</v>
      </c>
      <c r="E150" s="3">
        <v>45291</v>
      </c>
      <c r="F150" s="4" t="s">
        <v>283</v>
      </c>
      <c r="G150" s="2" t="s">
        <v>70</v>
      </c>
      <c r="H150" s="2">
        <v>437706869</v>
      </c>
      <c r="I150" s="2" t="s">
        <v>13</v>
      </c>
    </row>
    <row r="151" spans="1:9" ht="15" customHeight="1" x14ac:dyDescent="0.3">
      <c r="A151" s="2">
        <v>5666554</v>
      </c>
      <c r="B151" s="2" t="s">
        <v>9</v>
      </c>
      <c r="C151" s="2" t="s">
        <v>661</v>
      </c>
      <c r="D151" s="3">
        <v>45291</v>
      </c>
      <c r="E151" s="3">
        <v>45291</v>
      </c>
      <c r="F151" s="4" t="s">
        <v>284</v>
      </c>
      <c r="G151" s="2" t="s">
        <v>229</v>
      </c>
      <c r="H151" s="2">
        <v>0</v>
      </c>
      <c r="I151" s="2" t="s">
        <v>13</v>
      </c>
    </row>
    <row r="152" spans="1:9" ht="15" customHeight="1" x14ac:dyDescent="0.3">
      <c r="A152" s="2">
        <v>5666555</v>
      </c>
      <c r="B152" s="2" t="s">
        <v>9</v>
      </c>
      <c r="C152" s="2" t="s">
        <v>661</v>
      </c>
      <c r="D152" s="3">
        <v>45291</v>
      </c>
      <c r="E152" s="3">
        <v>45291</v>
      </c>
      <c r="F152" s="4" t="s">
        <v>285</v>
      </c>
      <c r="G152" s="2" t="s">
        <v>286</v>
      </c>
      <c r="H152" s="2">
        <v>0</v>
      </c>
      <c r="I152" s="2" t="s">
        <v>13</v>
      </c>
    </row>
    <row r="153" spans="1:9" ht="15" customHeight="1" x14ac:dyDescent="0.3">
      <c r="A153" s="2">
        <v>5666556</v>
      </c>
      <c r="B153" s="2" t="s">
        <v>9</v>
      </c>
      <c r="C153" s="2" t="s">
        <v>661</v>
      </c>
      <c r="D153" s="3">
        <v>45291</v>
      </c>
      <c r="E153" s="3">
        <v>45291</v>
      </c>
      <c r="F153" s="4" t="s">
        <v>287</v>
      </c>
      <c r="G153" s="2" t="s">
        <v>233</v>
      </c>
      <c r="H153" s="2">
        <v>432624560</v>
      </c>
      <c r="I153" s="2" t="s">
        <v>13</v>
      </c>
    </row>
    <row r="154" spans="1:9" ht="15" customHeight="1" x14ac:dyDescent="0.3">
      <c r="A154" s="2">
        <v>5666557</v>
      </c>
      <c r="B154" s="2" t="s">
        <v>9</v>
      </c>
      <c r="C154" s="2" t="s">
        <v>661</v>
      </c>
      <c r="D154" s="3">
        <v>45291</v>
      </c>
      <c r="E154" s="3">
        <v>45291</v>
      </c>
      <c r="F154" s="4" t="s">
        <v>288</v>
      </c>
      <c r="G154" s="2" t="s">
        <v>235</v>
      </c>
      <c r="H154" s="2">
        <v>0</v>
      </c>
      <c r="I154" s="2" t="s">
        <v>13</v>
      </c>
    </row>
    <row r="155" spans="1:9" ht="15" customHeight="1" x14ac:dyDescent="0.3">
      <c r="A155" s="2">
        <v>5666558</v>
      </c>
      <c r="B155" s="2" t="s">
        <v>9</v>
      </c>
      <c r="C155" s="2" t="s">
        <v>661</v>
      </c>
      <c r="D155" s="3">
        <v>45291</v>
      </c>
      <c r="E155" s="3">
        <v>45291</v>
      </c>
      <c r="F155" s="4" t="s">
        <v>289</v>
      </c>
      <c r="G155" s="2" t="s">
        <v>243</v>
      </c>
      <c r="H155" s="2">
        <v>2668915</v>
      </c>
      <c r="I155" s="2" t="s">
        <v>13</v>
      </c>
    </row>
    <row r="156" spans="1:9" ht="15" customHeight="1" x14ac:dyDescent="0.3">
      <c r="A156" s="2">
        <v>5666559</v>
      </c>
      <c r="B156" s="2" t="s">
        <v>9</v>
      </c>
      <c r="C156" s="2" t="s">
        <v>661</v>
      </c>
      <c r="D156" s="3">
        <v>45291</v>
      </c>
      <c r="E156" s="3">
        <v>45291</v>
      </c>
      <c r="F156" s="4" t="s">
        <v>290</v>
      </c>
      <c r="G156" s="2" t="s">
        <v>188</v>
      </c>
      <c r="H156" s="2">
        <v>214599</v>
      </c>
      <c r="I156" s="2" t="s">
        <v>13</v>
      </c>
    </row>
    <row r="157" spans="1:9" ht="15" customHeight="1" x14ac:dyDescent="0.3">
      <c r="A157" s="2">
        <v>5666560</v>
      </c>
      <c r="B157" s="2" t="s">
        <v>9</v>
      </c>
      <c r="C157" s="2" t="s">
        <v>661</v>
      </c>
      <c r="D157" s="3">
        <v>45291</v>
      </c>
      <c r="E157" s="3">
        <v>45291</v>
      </c>
      <c r="F157" s="4" t="s">
        <v>291</v>
      </c>
      <c r="G157" s="2" t="s">
        <v>238</v>
      </c>
      <c r="H157" s="2">
        <v>2198795</v>
      </c>
      <c r="I157" s="2" t="s">
        <v>13</v>
      </c>
    </row>
    <row r="158" spans="1:9" ht="15" customHeight="1" x14ac:dyDescent="0.3">
      <c r="A158" s="2">
        <v>5666561</v>
      </c>
      <c r="B158" s="2" t="s">
        <v>9</v>
      </c>
      <c r="C158" s="2" t="s">
        <v>661</v>
      </c>
      <c r="D158" s="3">
        <v>45291</v>
      </c>
      <c r="E158" s="3">
        <v>45291</v>
      </c>
      <c r="F158" s="4" t="s">
        <v>292</v>
      </c>
      <c r="G158" s="2" t="s">
        <v>293</v>
      </c>
      <c r="H158" s="2">
        <v>0</v>
      </c>
      <c r="I158" s="2" t="s">
        <v>13</v>
      </c>
    </row>
    <row r="159" spans="1:9" ht="15" customHeight="1" x14ac:dyDescent="0.3">
      <c r="A159" s="2">
        <v>5666562</v>
      </c>
      <c r="B159" s="2" t="s">
        <v>9</v>
      </c>
      <c r="C159" s="2" t="s">
        <v>661</v>
      </c>
      <c r="D159" s="3">
        <v>45291</v>
      </c>
      <c r="E159" s="3">
        <v>45291</v>
      </c>
      <c r="F159" s="4" t="s">
        <v>294</v>
      </c>
      <c r="G159" s="2" t="s">
        <v>89</v>
      </c>
      <c r="H159" s="2">
        <v>0</v>
      </c>
      <c r="I159" s="2" t="s">
        <v>13</v>
      </c>
    </row>
    <row r="160" spans="1:9" ht="15" customHeight="1" x14ac:dyDescent="0.3">
      <c r="A160" s="2">
        <v>5666563</v>
      </c>
      <c r="B160" s="2" t="s">
        <v>9</v>
      </c>
      <c r="C160" s="2" t="s">
        <v>661</v>
      </c>
      <c r="D160" s="3">
        <v>45291</v>
      </c>
      <c r="E160" s="3">
        <v>45291</v>
      </c>
      <c r="F160" s="4" t="s">
        <v>295</v>
      </c>
      <c r="G160" s="2" t="s">
        <v>91</v>
      </c>
      <c r="H160" s="2">
        <v>0</v>
      </c>
      <c r="I160" s="2" t="s">
        <v>13</v>
      </c>
    </row>
    <row r="161" spans="1:9" ht="15" customHeight="1" x14ac:dyDescent="0.3">
      <c r="A161" s="2">
        <v>5666564</v>
      </c>
      <c r="B161" s="2" t="s">
        <v>9</v>
      </c>
      <c r="C161" s="2" t="s">
        <v>661</v>
      </c>
      <c r="D161" s="3">
        <v>45291</v>
      </c>
      <c r="E161" s="3">
        <v>45291</v>
      </c>
      <c r="F161" s="4" t="s">
        <v>296</v>
      </c>
      <c r="G161" s="2" t="s">
        <v>245</v>
      </c>
      <c r="H161" s="2">
        <v>14573945</v>
      </c>
      <c r="I161" s="2" t="s">
        <v>13</v>
      </c>
    </row>
    <row r="162" spans="1:9" ht="15" customHeight="1" x14ac:dyDescent="0.3">
      <c r="A162" s="2">
        <v>5666565</v>
      </c>
      <c r="B162" s="2" t="s">
        <v>9</v>
      </c>
      <c r="C162" s="2" t="s">
        <v>661</v>
      </c>
      <c r="D162" s="3">
        <v>45291</v>
      </c>
      <c r="E162" s="3">
        <v>45291</v>
      </c>
      <c r="F162" s="4" t="s">
        <v>297</v>
      </c>
      <c r="G162" s="2" t="s">
        <v>247</v>
      </c>
      <c r="H162" s="2">
        <v>14573945</v>
      </c>
      <c r="I162" s="2" t="s">
        <v>13</v>
      </c>
    </row>
    <row r="163" spans="1:9" ht="15" customHeight="1" x14ac:dyDescent="0.3">
      <c r="A163" s="2">
        <v>5666566</v>
      </c>
      <c r="B163" s="2" t="s">
        <v>9</v>
      </c>
      <c r="C163" s="2" t="s">
        <v>661</v>
      </c>
      <c r="D163" s="3">
        <v>45291</v>
      </c>
      <c r="E163" s="3">
        <v>45291</v>
      </c>
      <c r="F163" s="4" t="s">
        <v>298</v>
      </c>
      <c r="G163" s="2" t="s">
        <v>249</v>
      </c>
      <c r="H163" s="2">
        <v>5066611</v>
      </c>
      <c r="I163" s="2" t="s">
        <v>13</v>
      </c>
    </row>
    <row r="164" spans="1:9" ht="15" customHeight="1" x14ac:dyDescent="0.3">
      <c r="A164" s="2">
        <v>5666567</v>
      </c>
      <c r="B164" s="2" t="s">
        <v>9</v>
      </c>
      <c r="C164" s="2" t="s">
        <v>661</v>
      </c>
      <c r="D164" s="3">
        <v>45291</v>
      </c>
      <c r="E164" s="3">
        <v>45291</v>
      </c>
      <c r="F164" s="4" t="s">
        <v>299</v>
      </c>
      <c r="G164" s="2" t="s">
        <v>251</v>
      </c>
      <c r="H164" s="2">
        <v>6551469</v>
      </c>
      <c r="I164" s="2" t="s">
        <v>13</v>
      </c>
    </row>
    <row r="165" spans="1:9" ht="15" customHeight="1" x14ac:dyDescent="0.3">
      <c r="A165" s="2">
        <v>5666568</v>
      </c>
      <c r="B165" s="2" t="s">
        <v>9</v>
      </c>
      <c r="C165" s="2" t="s">
        <v>661</v>
      </c>
      <c r="D165" s="3">
        <v>45291</v>
      </c>
      <c r="E165" s="3">
        <v>45291</v>
      </c>
      <c r="F165" s="4" t="s">
        <v>300</v>
      </c>
      <c r="G165" s="2" t="s">
        <v>253</v>
      </c>
      <c r="H165" s="2">
        <v>0</v>
      </c>
      <c r="I165" s="2" t="s">
        <v>13</v>
      </c>
    </row>
    <row r="166" spans="1:9" ht="15" customHeight="1" x14ac:dyDescent="0.3">
      <c r="A166" s="2">
        <v>5666569</v>
      </c>
      <c r="B166" s="2" t="s">
        <v>9</v>
      </c>
      <c r="C166" s="2" t="s">
        <v>661</v>
      </c>
      <c r="D166" s="3">
        <v>45291</v>
      </c>
      <c r="E166" s="3">
        <v>45291</v>
      </c>
      <c r="F166" s="4" t="s">
        <v>301</v>
      </c>
      <c r="G166" s="2" t="s">
        <v>255</v>
      </c>
      <c r="H166" s="2">
        <v>2955865</v>
      </c>
      <c r="I166" s="2" t="s">
        <v>13</v>
      </c>
    </row>
    <row r="167" spans="1:9" ht="15" customHeight="1" x14ac:dyDescent="0.3">
      <c r="A167" s="2">
        <v>5666570</v>
      </c>
      <c r="B167" s="2" t="s">
        <v>9</v>
      </c>
      <c r="C167" s="2" t="s">
        <v>661</v>
      </c>
      <c r="D167" s="3">
        <v>45291</v>
      </c>
      <c r="E167" s="3">
        <v>45291</v>
      </c>
      <c r="F167" s="4" t="s">
        <v>302</v>
      </c>
      <c r="G167" s="2" t="s">
        <v>257</v>
      </c>
      <c r="H167" s="2">
        <v>0</v>
      </c>
      <c r="I167" s="2" t="s">
        <v>13</v>
      </c>
    </row>
    <row r="168" spans="1:9" ht="15" customHeight="1" x14ac:dyDescent="0.3">
      <c r="A168" s="2">
        <v>5666571</v>
      </c>
      <c r="B168" s="2" t="s">
        <v>9</v>
      </c>
      <c r="C168" s="2" t="s">
        <v>661</v>
      </c>
      <c r="D168" s="3">
        <v>45291</v>
      </c>
      <c r="E168" s="3">
        <v>45291</v>
      </c>
      <c r="F168" s="4" t="s">
        <v>303</v>
      </c>
      <c r="G168" s="2" t="s">
        <v>259</v>
      </c>
      <c r="H168" s="2">
        <v>0</v>
      </c>
      <c r="I168" s="2" t="s">
        <v>13</v>
      </c>
    </row>
    <row r="169" spans="1:9" ht="15" customHeight="1" x14ac:dyDescent="0.3">
      <c r="A169" s="2">
        <v>5666572</v>
      </c>
      <c r="B169" s="2" t="s">
        <v>9</v>
      </c>
      <c r="C169" s="2" t="s">
        <v>661</v>
      </c>
      <c r="D169" s="3">
        <v>45291</v>
      </c>
      <c r="E169" s="3">
        <v>45291</v>
      </c>
      <c r="F169" s="4" t="s">
        <v>304</v>
      </c>
      <c r="G169" s="2" t="s">
        <v>261</v>
      </c>
      <c r="H169" s="2">
        <v>0</v>
      </c>
      <c r="I169" s="2" t="s">
        <v>13</v>
      </c>
    </row>
    <row r="170" spans="1:9" ht="15" customHeight="1" x14ac:dyDescent="0.3">
      <c r="A170" s="2">
        <v>5666573</v>
      </c>
      <c r="B170" s="2" t="s">
        <v>9</v>
      </c>
      <c r="C170" s="2" t="s">
        <v>661</v>
      </c>
      <c r="D170" s="3">
        <v>45291</v>
      </c>
      <c r="E170" s="3">
        <v>45291</v>
      </c>
      <c r="F170" s="4" t="s">
        <v>305</v>
      </c>
      <c r="G170" s="2" t="s">
        <v>263</v>
      </c>
      <c r="H170" s="2">
        <v>0</v>
      </c>
      <c r="I170" s="2" t="s">
        <v>13</v>
      </c>
    </row>
    <row r="171" spans="1:9" ht="15" customHeight="1" x14ac:dyDescent="0.3">
      <c r="A171" s="2">
        <v>5666574</v>
      </c>
      <c r="B171" s="2" t="s">
        <v>9</v>
      </c>
      <c r="C171" s="2" t="s">
        <v>661</v>
      </c>
      <c r="D171" s="3">
        <v>45291</v>
      </c>
      <c r="E171" s="3">
        <v>45291</v>
      </c>
      <c r="F171" s="4" t="s">
        <v>306</v>
      </c>
      <c r="G171" s="2" t="s">
        <v>265</v>
      </c>
      <c r="H171" s="2">
        <v>0</v>
      </c>
      <c r="I171" s="2" t="s">
        <v>13</v>
      </c>
    </row>
    <row r="172" spans="1:9" ht="15" customHeight="1" x14ac:dyDescent="0.3">
      <c r="A172" s="2">
        <v>5666575</v>
      </c>
      <c r="B172" s="2" t="s">
        <v>9</v>
      </c>
      <c r="C172" s="2" t="s">
        <v>661</v>
      </c>
      <c r="D172" s="3">
        <v>45291</v>
      </c>
      <c r="E172" s="3">
        <v>45291</v>
      </c>
      <c r="F172" s="4" t="s">
        <v>307</v>
      </c>
      <c r="G172" s="2" t="s">
        <v>267</v>
      </c>
      <c r="H172" s="2">
        <v>0</v>
      </c>
      <c r="I172" s="2" t="s">
        <v>13</v>
      </c>
    </row>
    <row r="173" spans="1:9" ht="15" customHeight="1" x14ac:dyDescent="0.3">
      <c r="A173" s="2">
        <v>5666576</v>
      </c>
      <c r="B173" s="2" t="s">
        <v>9</v>
      </c>
      <c r="C173" s="2" t="s">
        <v>661</v>
      </c>
      <c r="D173" s="3">
        <v>45291</v>
      </c>
      <c r="E173" s="3">
        <v>45291</v>
      </c>
      <c r="F173" s="4" t="s">
        <v>308</v>
      </c>
      <c r="G173" s="2" t="s">
        <v>269</v>
      </c>
      <c r="H173" s="2">
        <v>0</v>
      </c>
      <c r="I173" s="2" t="s">
        <v>13</v>
      </c>
    </row>
    <row r="174" spans="1:9" ht="15" customHeight="1" x14ac:dyDescent="0.3">
      <c r="A174" s="2">
        <v>5666577</v>
      </c>
      <c r="B174" s="2" t="s">
        <v>9</v>
      </c>
      <c r="C174" s="2" t="s">
        <v>661</v>
      </c>
      <c r="D174" s="3">
        <v>45291</v>
      </c>
      <c r="E174" s="3">
        <v>45291</v>
      </c>
      <c r="F174" s="4" t="s">
        <v>309</v>
      </c>
      <c r="G174" s="2" t="s">
        <v>310</v>
      </c>
      <c r="H174" s="2">
        <v>0</v>
      </c>
      <c r="I174" s="2" t="s">
        <v>13</v>
      </c>
    </row>
    <row r="175" spans="1:9" ht="15" customHeight="1" x14ac:dyDescent="0.3">
      <c r="A175" s="2">
        <v>5666578</v>
      </c>
      <c r="B175" s="2" t="s">
        <v>9</v>
      </c>
      <c r="C175" s="2" t="s">
        <v>661</v>
      </c>
      <c r="D175" s="3">
        <v>45291</v>
      </c>
      <c r="E175" s="3">
        <v>45291</v>
      </c>
      <c r="F175" s="4" t="s">
        <v>311</v>
      </c>
      <c r="G175" s="2" t="s">
        <v>312</v>
      </c>
      <c r="H175" s="2">
        <v>0</v>
      </c>
      <c r="I175" s="2" t="s">
        <v>13</v>
      </c>
    </row>
    <row r="176" spans="1:9" ht="15" customHeight="1" x14ac:dyDescent="0.3">
      <c r="A176" s="2">
        <v>5666579</v>
      </c>
      <c r="B176" s="2" t="s">
        <v>9</v>
      </c>
      <c r="C176" s="2" t="s">
        <v>661</v>
      </c>
      <c r="D176" s="3">
        <v>45291</v>
      </c>
      <c r="E176" s="3">
        <v>45291</v>
      </c>
      <c r="F176" s="4" t="s">
        <v>313</v>
      </c>
      <c r="G176" s="2" t="s">
        <v>314</v>
      </c>
      <c r="H176" s="2">
        <v>0</v>
      </c>
      <c r="I176" s="2" t="s">
        <v>13</v>
      </c>
    </row>
    <row r="177" spans="1:9" ht="15" customHeight="1" x14ac:dyDescent="0.3">
      <c r="A177" s="2">
        <v>5666580</v>
      </c>
      <c r="B177" s="2" t="s">
        <v>9</v>
      </c>
      <c r="C177" s="2" t="s">
        <v>661</v>
      </c>
      <c r="D177" s="3">
        <v>45291</v>
      </c>
      <c r="E177" s="3">
        <v>45291</v>
      </c>
      <c r="F177" s="4" t="s">
        <v>315</v>
      </c>
      <c r="G177" s="2" t="s">
        <v>316</v>
      </c>
      <c r="H177" s="2">
        <v>0</v>
      </c>
      <c r="I177" s="2" t="s">
        <v>13</v>
      </c>
    </row>
    <row r="178" spans="1:9" ht="15" customHeight="1" x14ac:dyDescent="0.3">
      <c r="A178" s="2">
        <v>5666581</v>
      </c>
      <c r="B178" s="2" t="s">
        <v>9</v>
      </c>
      <c r="C178" s="2" t="s">
        <v>661</v>
      </c>
      <c r="D178" s="3">
        <v>45291</v>
      </c>
      <c r="E178" s="3">
        <v>45291</v>
      </c>
      <c r="F178" s="4" t="s">
        <v>317</v>
      </c>
      <c r="G178" s="2" t="s">
        <v>660</v>
      </c>
      <c r="H178" s="2">
        <v>1933722081</v>
      </c>
      <c r="I178" s="2" t="s">
        <v>13</v>
      </c>
    </row>
    <row r="179" spans="1:9" ht="15" customHeight="1" x14ac:dyDescent="0.3">
      <c r="A179" s="2">
        <v>5666582</v>
      </c>
      <c r="B179" s="2" t="s">
        <v>9</v>
      </c>
      <c r="C179" s="2" t="s">
        <v>661</v>
      </c>
      <c r="D179" s="3">
        <v>45291</v>
      </c>
      <c r="E179" s="3">
        <v>45291</v>
      </c>
      <c r="F179" s="4" t="s">
        <v>319</v>
      </c>
      <c r="G179" s="2" t="s">
        <v>320</v>
      </c>
      <c r="H179" s="2">
        <v>1105381209</v>
      </c>
      <c r="I179" s="2" t="s">
        <v>13</v>
      </c>
    </row>
    <row r="180" spans="1:9" ht="15" customHeight="1" x14ac:dyDescent="0.3">
      <c r="A180" s="2">
        <v>5666583</v>
      </c>
      <c r="B180" s="2" t="s">
        <v>9</v>
      </c>
      <c r="C180" s="2" t="s">
        <v>661</v>
      </c>
      <c r="D180" s="3">
        <v>45291</v>
      </c>
      <c r="E180" s="3">
        <v>45291</v>
      </c>
      <c r="F180" s="4" t="s">
        <v>321</v>
      </c>
      <c r="G180" s="2" t="s">
        <v>322</v>
      </c>
      <c r="H180" s="2">
        <v>1105381209</v>
      </c>
      <c r="I180" s="2" t="s">
        <v>13</v>
      </c>
    </row>
    <row r="181" spans="1:9" ht="15" customHeight="1" x14ac:dyDescent="0.3">
      <c r="A181" s="2">
        <v>5666584</v>
      </c>
      <c r="B181" s="2" t="s">
        <v>9</v>
      </c>
      <c r="C181" s="2" t="s">
        <v>661</v>
      </c>
      <c r="D181" s="3">
        <v>45291</v>
      </c>
      <c r="E181" s="3">
        <v>45291</v>
      </c>
      <c r="F181" s="4" t="s">
        <v>323</v>
      </c>
      <c r="G181" s="2" t="s">
        <v>324</v>
      </c>
      <c r="H181" s="2">
        <v>0</v>
      </c>
      <c r="I181" s="2" t="s">
        <v>13</v>
      </c>
    </row>
    <row r="182" spans="1:9" ht="15" customHeight="1" x14ac:dyDescent="0.3">
      <c r="A182" s="2">
        <v>5666585</v>
      </c>
      <c r="B182" s="2" t="s">
        <v>9</v>
      </c>
      <c r="C182" s="2" t="s">
        <v>661</v>
      </c>
      <c r="D182" s="3">
        <v>45291</v>
      </c>
      <c r="E182" s="3">
        <v>45291</v>
      </c>
      <c r="F182" s="4" t="s">
        <v>325</v>
      </c>
      <c r="G182" s="2" t="s">
        <v>326</v>
      </c>
      <c r="H182" s="2">
        <v>-68277383</v>
      </c>
      <c r="I182" s="2" t="s">
        <v>13</v>
      </c>
    </row>
    <row r="183" spans="1:9" ht="15" customHeight="1" x14ac:dyDescent="0.3">
      <c r="A183" s="2">
        <v>5666586</v>
      </c>
      <c r="B183" s="2" t="s">
        <v>9</v>
      </c>
      <c r="C183" s="2" t="s">
        <v>661</v>
      </c>
      <c r="D183" s="3">
        <v>45291</v>
      </c>
      <c r="E183" s="3">
        <v>45291</v>
      </c>
      <c r="F183" s="4" t="s">
        <v>327</v>
      </c>
      <c r="G183" s="2" t="s">
        <v>328</v>
      </c>
      <c r="H183" s="2">
        <v>0</v>
      </c>
      <c r="I183" s="2" t="s">
        <v>13</v>
      </c>
    </row>
    <row r="184" spans="1:9" ht="15" customHeight="1" x14ac:dyDescent="0.3">
      <c r="A184" s="2">
        <v>5666587</v>
      </c>
      <c r="B184" s="2" t="s">
        <v>9</v>
      </c>
      <c r="C184" s="2" t="s">
        <v>661</v>
      </c>
      <c r="D184" s="3">
        <v>45291</v>
      </c>
      <c r="E184" s="3">
        <v>45291</v>
      </c>
      <c r="F184" s="4" t="s">
        <v>329</v>
      </c>
      <c r="G184" s="2" t="s">
        <v>330</v>
      </c>
      <c r="H184" s="2">
        <v>0</v>
      </c>
      <c r="I184" s="2" t="s">
        <v>13</v>
      </c>
    </row>
    <row r="185" spans="1:9" ht="15" customHeight="1" x14ac:dyDescent="0.3">
      <c r="A185" s="2">
        <v>5666588</v>
      </c>
      <c r="B185" s="2" t="s">
        <v>9</v>
      </c>
      <c r="C185" s="2" t="s">
        <v>661</v>
      </c>
      <c r="D185" s="3">
        <v>45291</v>
      </c>
      <c r="E185" s="3">
        <v>45291</v>
      </c>
      <c r="F185" s="4" t="s">
        <v>331</v>
      </c>
      <c r="G185" s="2" t="s">
        <v>332</v>
      </c>
      <c r="H185" s="2">
        <v>0</v>
      </c>
      <c r="I185" s="2" t="s">
        <v>13</v>
      </c>
    </row>
    <row r="186" spans="1:9" ht="15" customHeight="1" x14ac:dyDescent="0.3">
      <c r="A186" s="2">
        <v>5666589</v>
      </c>
      <c r="B186" s="2" t="s">
        <v>9</v>
      </c>
      <c r="C186" s="2" t="s">
        <v>661</v>
      </c>
      <c r="D186" s="3">
        <v>45291</v>
      </c>
      <c r="E186" s="3">
        <v>45291</v>
      </c>
      <c r="F186" s="4" t="s">
        <v>333</v>
      </c>
      <c r="G186" s="2" t="s">
        <v>334</v>
      </c>
      <c r="H186" s="2">
        <v>8939791</v>
      </c>
      <c r="I186" s="2" t="s">
        <v>13</v>
      </c>
    </row>
    <row r="187" spans="1:9" ht="15" customHeight="1" x14ac:dyDescent="0.3">
      <c r="A187" s="2">
        <v>5666590</v>
      </c>
      <c r="B187" s="2" t="s">
        <v>9</v>
      </c>
      <c r="C187" s="2" t="s">
        <v>661</v>
      </c>
      <c r="D187" s="3">
        <v>45291</v>
      </c>
      <c r="E187" s="3">
        <v>45291</v>
      </c>
      <c r="F187" s="4" t="s">
        <v>335</v>
      </c>
      <c r="G187" s="2" t="s">
        <v>336</v>
      </c>
      <c r="H187" s="2">
        <v>-24176047</v>
      </c>
      <c r="I187" s="2" t="s">
        <v>13</v>
      </c>
    </row>
    <row r="188" spans="1:9" ht="15" customHeight="1" x14ac:dyDescent="0.3">
      <c r="A188" s="2">
        <v>5666591</v>
      </c>
      <c r="B188" s="2" t="s">
        <v>9</v>
      </c>
      <c r="C188" s="2" t="s">
        <v>661</v>
      </c>
      <c r="D188" s="3">
        <v>45291</v>
      </c>
      <c r="E188" s="3">
        <v>45291</v>
      </c>
      <c r="F188" s="4" t="s">
        <v>337</v>
      </c>
      <c r="G188" s="2" t="s">
        <v>286</v>
      </c>
      <c r="H188" s="2">
        <v>0</v>
      </c>
      <c r="I188" s="2" t="s">
        <v>13</v>
      </c>
    </row>
    <row r="189" spans="1:9" ht="15" customHeight="1" x14ac:dyDescent="0.3">
      <c r="A189" s="2">
        <v>5666592</v>
      </c>
      <c r="B189" s="2" t="s">
        <v>9</v>
      </c>
      <c r="C189" s="2" t="s">
        <v>661</v>
      </c>
      <c r="D189" s="3">
        <v>45291</v>
      </c>
      <c r="E189" s="3">
        <v>45291</v>
      </c>
      <c r="F189" s="4" t="s">
        <v>338</v>
      </c>
      <c r="G189" s="2" t="s">
        <v>324</v>
      </c>
      <c r="H189" s="2">
        <v>-53041127</v>
      </c>
      <c r="I189" s="2" t="s">
        <v>13</v>
      </c>
    </row>
    <row r="190" spans="1:9" ht="15" customHeight="1" x14ac:dyDescent="0.3">
      <c r="A190" s="2">
        <v>5666593</v>
      </c>
      <c r="B190" s="2" t="s">
        <v>9</v>
      </c>
      <c r="C190" s="2" t="s">
        <v>661</v>
      </c>
      <c r="D190" s="3">
        <v>45291</v>
      </c>
      <c r="E190" s="3">
        <v>45291</v>
      </c>
      <c r="F190" s="4" t="s">
        <v>339</v>
      </c>
      <c r="G190" s="2" t="s">
        <v>340</v>
      </c>
      <c r="H190" s="2">
        <v>0</v>
      </c>
      <c r="I190" s="2" t="s">
        <v>13</v>
      </c>
    </row>
    <row r="191" spans="1:9" ht="15" customHeight="1" x14ac:dyDescent="0.3">
      <c r="A191" s="2">
        <v>5666594</v>
      </c>
      <c r="B191" s="2" t="s">
        <v>9</v>
      </c>
      <c r="C191" s="2" t="s">
        <v>661</v>
      </c>
      <c r="D191" s="3">
        <v>45291</v>
      </c>
      <c r="E191" s="3">
        <v>45291</v>
      </c>
      <c r="F191" s="4" t="s">
        <v>341</v>
      </c>
      <c r="G191" s="2" t="s">
        <v>342</v>
      </c>
      <c r="H191" s="2">
        <v>896618255</v>
      </c>
      <c r="I191" s="2" t="s">
        <v>13</v>
      </c>
    </row>
    <row r="192" spans="1:9" ht="15" customHeight="1" x14ac:dyDescent="0.3">
      <c r="A192" s="2">
        <v>5666595</v>
      </c>
      <c r="B192" s="2" t="s">
        <v>9</v>
      </c>
      <c r="C192" s="2" t="s">
        <v>661</v>
      </c>
      <c r="D192" s="3">
        <v>45291</v>
      </c>
      <c r="E192" s="3">
        <v>45291</v>
      </c>
      <c r="F192" s="4" t="s">
        <v>343</v>
      </c>
      <c r="G192" s="2" t="s">
        <v>344</v>
      </c>
      <c r="H192" s="2">
        <v>61407436</v>
      </c>
      <c r="I192" s="2" t="s">
        <v>13</v>
      </c>
    </row>
    <row r="193" spans="1:9" ht="15" customHeight="1" x14ac:dyDescent="0.3">
      <c r="A193" s="2">
        <v>5666596</v>
      </c>
      <c r="B193" s="2" t="s">
        <v>9</v>
      </c>
      <c r="C193" s="2" t="s">
        <v>661</v>
      </c>
      <c r="D193" s="3">
        <v>45291</v>
      </c>
      <c r="E193" s="3">
        <v>45291</v>
      </c>
      <c r="F193" s="4" t="s">
        <v>345</v>
      </c>
      <c r="G193" s="2" t="s">
        <v>346</v>
      </c>
      <c r="H193" s="2">
        <v>835210819</v>
      </c>
      <c r="I193" s="2" t="s">
        <v>13</v>
      </c>
    </row>
    <row r="194" spans="1:9" ht="15" customHeight="1" x14ac:dyDescent="0.3">
      <c r="A194" s="2">
        <v>5666597</v>
      </c>
      <c r="B194" s="2" t="s">
        <v>9</v>
      </c>
      <c r="C194" s="2" t="s">
        <v>661</v>
      </c>
      <c r="D194" s="3">
        <v>45291</v>
      </c>
      <c r="E194" s="3">
        <v>45291</v>
      </c>
      <c r="F194" s="4" t="s">
        <v>347</v>
      </c>
      <c r="G194" s="2" t="s">
        <v>348</v>
      </c>
      <c r="H194" s="2">
        <v>0</v>
      </c>
      <c r="I194" s="2" t="s">
        <v>13</v>
      </c>
    </row>
    <row r="195" spans="1:9" ht="15" customHeight="1" x14ac:dyDescent="0.3">
      <c r="A195" s="2">
        <v>5666598</v>
      </c>
      <c r="B195" s="2" t="s">
        <v>9</v>
      </c>
      <c r="C195" s="2" t="s">
        <v>661</v>
      </c>
      <c r="D195" s="3">
        <v>45291</v>
      </c>
      <c r="E195" s="3">
        <v>45291</v>
      </c>
      <c r="F195" s="4" t="s">
        <v>349</v>
      </c>
      <c r="G195" s="2" t="s">
        <v>350</v>
      </c>
      <c r="H195" s="2">
        <v>0</v>
      </c>
      <c r="I195" s="2" t="s">
        <v>13</v>
      </c>
    </row>
    <row r="196" spans="1:9" ht="15" customHeight="1" x14ac:dyDescent="0.3">
      <c r="A196" s="2">
        <v>5666599</v>
      </c>
      <c r="B196" s="2" t="s">
        <v>9</v>
      </c>
      <c r="C196" s="2" t="s">
        <v>661</v>
      </c>
      <c r="D196" s="3">
        <v>45291</v>
      </c>
      <c r="E196" s="3">
        <v>45291</v>
      </c>
      <c r="F196" s="4" t="s">
        <v>351</v>
      </c>
      <c r="G196" s="2" t="s">
        <v>352</v>
      </c>
      <c r="H196" s="2">
        <v>0</v>
      </c>
      <c r="I196" s="2" t="s">
        <v>13</v>
      </c>
    </row>
    <row r="197" spans="1:9" ht="15" customHeight="1" x14ac:dyDescent="0.3">
      <c r="A197" s="2">
        <v>5666600</v>
      </c>
      <c r="B197" s="2" t="s">
        <v>9</v>
      </c>
      <c r="C197" s="2" t="s">
        <v>661</v>
      </c>
      <c r="D197" s="3">
        <v>45291</v>
      </c>
      <c r="E197" s="3">
        <v>45291</v>
      </c>
      <c r="F197" s="4" t="s">
        <v>353</v>
      </c>
      <c r="G197" s="2" t="s">
        <v>354</v>
      </c>
      <c r="H197" s="2">
        <v>0</v>
      </c>
      <c r="I197" s="2" t="s">
        <v>13</v>
      </c>
    </row>
    <row r="198" spans="1:9" ht="15" customHeight="1" x14ac:dyDescent="0.3">
      <c r="A198" s="2">
        <v>5666601</v>
      </c>
      <c r="B198" s="2" t="s">
        <v>9</v>
      </c>
      <c r="C198" s="2" t="s">
        <v>661</v>
      </c>
      <c r="D198" s="3">
        <v>45291</v>
      </c>
      <c r="E198" s="3">
        <v>45291</v>
      </c>
      <c r="F198" s="4" t="s">
        <v>355</v>
      </c>
      <c r="G198" s="2" t="s">
        <v>356</v>
      </c>
      <c r="H198" s="2">
        <v>0</v>
      </c>
      <c r="I198" s="2" t="s">
        <v>13</v>
      </c>
    </row>
    <row r="199" spans="1:9" ht="15" customHeight="1" x14ac:dyDescent="0.3">
      <c r="A199" s="2">
        <v>5666602</v>
      </c>
      <c r="B199" s="2" t="s">
        <v>9</v>
      </c>
      <c r="C199" s="2" t="s">
        <v>661</v>
      </c>
      <c r="D199" s="3">
        <v>45291</v>
      </c>
      <c r="E199" s="3">
        <v>45291</v>
      </c>
      <c r="F199" s="4" t="s">
        <v>357</v>
      </c>
      <c r="G199" s="2" t="s">
        <v>358</v>
      </c>
      <c r="H199" s="2">
        <v>0</v>
      </c>
      <c r="I199" s="2" t="s">
        <v>13</v>
      </c>
    </row>
    <row r="200" spans="1:9" ht="15" customHeight="1" x14ac:dyDescent="0.3">
      <c r="A200" s="2">
        <v>5666603</v>
      </c>
      <c r="B200" s="2" t="s">
        <v>9</v>
      </c>
      <c r="C200" s="2" t="s">
        <v>661</v>
      </c>
      <c r="D200" s="3">
        <v>45291</v>
      </c>
      <c r="E200" s="3">
        <v>45291</v>
      </c>
      <c r="F200" s="4" t="s">
        <v>359</v>
      </c>
      <c r="G200" s="2" t="s">
        <v>336</v>
      </c>
      <c r="H200" s="2">
        <v>0</v>
      </c>
      <c r="I200" s="2" t="s">
        <v>13</v>
      </c>
    </row>
    <row r="201" spans="1:9" ht="15" customHeight="1" x14ac:dyDescent="0.3">
      <c r="A201" s="2">
        <v>5666604</v>
      </c>
      <c r="B201" s="2" t="s">
        <v>9</v>
      </c>
      <c r="C201" s="2" t="s">
        <v>661</v>
      </c>
      <c r="D201" s="3">
        <v>45291</v>
      </c>
      <c r="E201" s="3">
        <v>45291</v>
      </c>
      <c r="F201" s="4" t="s">
        <v>360</v>
      </c>
      <c r="G201" s="2" t="s">
        <v>361</v>
      </c>
      <c r="H201" s="2">
        <v>0</v>
      </c>
      <c r="I201" s="2" t="s">
        <v>13</v>
      </c>
    </row>
    <row r="202" spans="1:9" ht="15" customHeight="1" x14ac:dyDescent="0.3">
      <c r="A202" s="2">
        <v>5666605</v>
      </c>
      <c r="B202" s="2" t="s">
        <v>9</v>
      </c>
      <c r="C202" s="2" t="s">
        <v>661</v>
      </c>
      <c r="D202" s="3">
        <v>45291</v>
      </c>
      <c r="E202" s="3">
        <v>45291</v>
      </c>
      <c r="F202" s="4" t="s">
        <v>362</v>
      </c>
      <c r="G202" s="2" t="s">
        <v>363</v>
      </c>
      <c r="H202" s="2">
        <v>0</v>
      </c>
      <c r="I202" s="2" t="s">
        <v>13</v>
      </c>
    </row>
    <row r="203" spans="1:9" ht="15" customHeight="1" x14ac:dyDescent="0.3">
      <c r="A203" s="2">
        <v>5666606</v>
      </c>
      <c r="B203" s="2" t="s">
        <v>9</v>
      </c>
      <c r="C203" s="2" t="s">
        <v>661</v>
      </c>
      <c r="D203" s="3">
        <v>45291</v>
      </c>
      <c r="E203" s="3">
        <v>45291</v>
      </c>
      <c r="F203" s="4" t="s">
        <v>364</v>
      </c>
      <c r="G203" s="2" t="s">
        <v>365</v>
      </c>
      <c r="H203" s="2">
        <v>0</v>
      </c>
      <c r="I203" s="2" t="s">
        <v>13</v>
      </c>
    </row>
    <row r="204" spans="1:9" ht="15" customHeight="1" x14ac:dyDescent="0.3">
      <c r="A204" s="2">
        <v>5666607</v>
      </c>
      <c r="B204" s="2" t="s">
        <v>9</v>
      </c>
      <c r="C204" s="2" t="s">
        <v>661</v>
      </c>
      <c r="D204" s="3">
        <v>45291</v>
      </c>
      <c r="E204" s="3">
        <v>45291</v>
      </c>
      <c r="F204" s="4" t="s">
        <v>366</v>
      </c>
      <c r="G204" s="2" t="s">
        <v>367</v>
      </c>
      <c r="H204" s="2">
        <v>0</v>
      </c>
      <c r="I204" s="2" t="s">
        <v>13</v>
      </c>
    </row>
    <row r="205" spans="1:9" ht="15" customHeight="1" x14ac:dyDescent="0.3">
      <c r="A205" s="2">
        <v>5666608</v>
      </c>
      <c r="B205" s="2" t="s">
        <v>9</v>
      </c>
      <c r="C205" s="2" t="s">
        <v>661</v>
      </c>
      <c r="D205" s="3">
        <v>45291</v>
      </c>
      <c r="E205" s="3">
        <v>45291</v>
      </c>
      <c r="F205" s="4" t="s">
        <v>368</v>
      </c>
      <c r="G205" s="2" t="s">
        <v>369</v>
      </c>
      <c r="H205" s="2">
        <v>0</v>
      </c>
      <c r="I205" s="2" t="s">
        <v>13</v>
      </c>
    </row>
    <row r="206" spans="1:9" ht="15" customHeight="1" x14ac:dyDescent="0.3">
      <c r="A206" s="2">
        <v>5666609</v>
      </c>
      <c r="B206" s="2" t="s">
        <v>9</v>
      </c>
      <c r="C206" s="2" t="s">
        <v>661</v>
      </c>
      <c r="D206" s="3">
        <v>45291</v>
      </c>
      <c r="E206" s="3">
        <v>45291</v>
      </c>
      <c r="F206" s="4" t="s">
        <v>370</v>
      </c>
      <c r="G206" s="2" t="s">
        <v>371</v>
      </c>
      <c r="H206" s="2">
        <v>0</v>
      </c>
      <c r="I206" s="2" t="s">
        <v>13</v>
      </c>
    </row>
    <row r="207" spans="1:9" ht="15" customHeight="1" x14ac:dyDescent="0.3">
      <c r="A207" s="2">
        <v>5666610</v>
      </c>
      <c r="B207" s="2" t="s">
        <v>9</v>
      </c>
      <c r="C207" s="2" t="s">
        <v>661</v>
      </c>
      <c r="D207" s="3">
        <v>45291</v>
      </c>
      <c r="E207" s="3">
        <v>45291</v>
      </c>
      <c r="F207" s="4" t="s">
        <v>372</v>
      </c>
      <c r="G207" s="2" t="s">
        <v>373</v>
      </c>
      <c r="H207" s="2">
        <v>0</v>
      </c>
      <c r="I207" s="2" t="s">
        <v>13</v>
      </c>
    </row>
    <row r="208" spans="1:9" ht="15" customHeight="1" x14ac:dyDescent="0.3">
      <c r="A208" s="2">
        <v>5666611</v>
      </c>
      <c r="B208" s="2" t="s">
        <v>9</v>
      </c>
      <c r="C208" s="2" t="s">
        <v>661</v>
      </c>
      <c r="D208" s="3">
        <v>44927</v>
      </c>
      <c r="E208" s="3">
        <v>45291</v>
      </c>
      <c r="F208" s="4" t="s">
        <v>374</v>
      </c>
      <c r="G208" s="2" t="s">
        <v>375</v>
      </c>
      <c r="H208" s="2">
        <v>2186974709</v>
      </c>
      <c r="I208" s="2" t="s">
        <v>13</v>
      </c>
    </row>
    <row r="209" spans="1:9" ht="15" customHeight="1" x14ac:dyDescent="0.3">
      <c r="A209" s="2">
        <v>5666612</v>
      </c>
      <c r="B209" s="2" t="s">
        <v>9</v>
      </c>
      <c r="C209" s="2" t="s">
        <v>661</v>
      </c>
      <c r="D209" s="3">
        <v>44927</v>
      </c>
      <c r="E209" s="3">
        <v>45291</v>
      </c>
      <c r="F209" s="4" t="s">
        <v>376</v>
      </c>
      <c r="G209" s="2" t="s">
        <v>663</v>
      </c>
      <c r="H209" s="2">
        <v>2186974709</v>
      </c>
      <c r="I209" s="2" t="s">
        <v>13</v>
      </c>
    </row>
    <row r="210" spans="1:9" ht="15" customHeight="1" x14ac:dyDescent="0.3">
      <c r="A210" s="2">
        <v>5666613</v>
      </c>
      <c r="B210" s="2" t="s">
        <v>9</v>
      </c>
      <c r="C210" s="2" t="s">
        <v>661</v>
      </c>
      <c r="D210" s="3">
        <v>44927</v>
      </c>
      <c r="E210" s="3">
        <v>45291</v>
      </c>
      <c r="F210" s="4" t="s">
        <v>378</v>
      </c>
      <c r="G210" s="2" t="s">
        <v>379</v>
      </c>
      <c r="H210" s="2">
        <v>-670864007</v>
      </c>
      <c r="I210" s="2" t="s">
        <v>13</v>
      </c>
    </row>
    <row r="211" spans="1:9" ht="15" customHeight="1" x14ac:dyDescent="0.3">
      <c r="A211" s="2">
        <v>5666614</v>
      </c>
      <c r="B211" s="2" t="s">
        <v>9</v>
      </c>
      <c r="C211" s="2" t="s">
        <v>661</v>
      </c>
      <c r="D211" s="3">
        <v>44927</v>
      </c>
      <c r="E211" s="3">
        <v>45291</v>
      </c>
      <c r="F211" s="4" t="s">
        <v>380</v>
      </c>
      <c r="G211" s="2" t="s">
        <v>381</v>
      </c>
      <c r="H211" s="2">
        <v>-670864007</v>
      </c>
      <c r="I211" s="2" t="s">
        <v>13</v>
      </c>
    </row>
    <row r="212" spans="1:9" ht="15" customHeight="1" x14ac:dyDescent="0.3">
      <c r="A212" s="2">
        <v>5666615</v>
      </c>
      <c r="B212" s="2" t="s">
        <v>9</v>
      </c>
      <c r="C212" s="2" t="s">
        <v>661</v>
      </c>
      <c r="D212" s="3">
        <v>44927</v>
      </c>
      <c r="E212" s="3">
        <v>45291</v>
      </c>
      <c r="F212" s="4" t="s">
        <v>382</v>
      </c>
      <c r="G212" s="2" t="s">
        <v>383</v>
      </c>
      <c r="H212" s="2">
        <v>1516110702</v>
      </c>
      <c r="I212" s="2" t="s">
        <v>13</v>
      </c>
    </row>
    <row r="213" spans="1:9" ht="15" customHeight="1" x14ac:dyDescent="0.3">
      <c r="A213" s="2">
        <v>5666616</v>
      </c>
      <c r="B213" s="2" t="s">
        <v>9</v>
      </c>
      <c r="C213" s="2" t="s">
        <v>661</v>
      </c>
      <c r="D213" s="3">
        <v>44927</v>
      </c>
      <c r="E213" s="3">
        <v>45291</v>
      </c>
      <c r="F213" s="4" t="s">
        <v>384</v>
      </c>
      <c r="G213" s="2" t="s">
        <v>385</v>
      </c>
      <c r="H213" s="2">
        <v>-1065464592</v>
      </c>
      <c r="I213" s="2" t="s">
        <v>13</v>
      </c>
    </row>
    <row r="214" spans="1:9" ht="15" customHeight="1" x14ac:dyDescent="0.3">
      <c r="A214" s="2">
        <v>5666617</v>
      </c>
      <c r="B214" s="2" t="s">
        <v>9</v>
      </c>
      <c r="C214" s="2" t="s">
        <v>661</v>
      </c>
      <c r="D214" s="3">
        <v>44927</v>
      </c>
      <c r="E214" s="3">
        <v>45291</v>
      </c>
      <c r="F214" s="4" t="s">
        <v>386</v>
      </c>
      <c r="G214" s="2" t="s">
        <v>387</v>
      </c>
      <c r="H214" s="2">
        <v>-817845278</v>
      </c>
      <c r="I214" s="2" t="s">
        <v>13</v>
      </c>
    </row>
    <row r="215" spans="1:9" ht="15" customHeight="1" x14ac:dyDescent="0.3">
      <c r="A215" s="2">
        <v>5666618</v>
      </c>
      <c r="B215" s="2" t="s">
        <v>9</v>
      </c>
      <c r="C215" s="2" t="s">
        <v>661</v>
      </c>
      <c r="D215" s="3">
        <v>44927</v>
      </c>
      <c r="E215" s="3">
        <v>45291</v>
      </c>
      <c r="F215" s="4" t="s">
        <v>388</v>
      </c>
      <c r="G215" s="2" t="s">
        <v>389</v>
      </c>
      <c r="H215" s="2">
        <v>-817845278</v>
      </c>
      <c r="I215" s="2" t="s">
        <v>13</v>
      </c>
    </row>
    <row r="216" spans="1:9" ht="15" customHeight="1" x14ac:dyDescent="0.3">
      <c r="A216" s="2">
        <v>5666619</v>
      </c>
      <c r="B216" s="2" t="s">
        <v>9</v>
      </c>
      <c r="C216" s="2" t="s">
        <v>661</v>
      </c>
      <c r="D216" s="3">
        <v>44927</v>
      </c>
      <c r="E216" s="3">
        <v>45291</v>
      </c>
      <c r="F216" s="4" t="s">
        <v>390</v>
      </c>
      <c r="G216" s="2" t="s">
        <v>391</v>
      </c>
      <c r="H216" s="2">
        <v>-266574169</v>
      </c>
      <c r="I216" s="2" t="s">
        <v>13</v>
      </c>
    </row>
    <row r="217" spans="1:9" ht="15" customHeight="1" x14ac:dyDescent="0.3">
      <c r="A217" s="2">
        <v>5666620</v>
      </c>
      <c r="B217" s="2" t="s">
        <v>9</v>
      </c>
      <c r="C217" s="2" t="s">
        <v>661</v>
      </c>
      <c r="D217" s="3">
        <v>44927</v>
      </c>
      <c r="E217" s="3">
        <v>45291</v>
      </c>
      <c r="F217" s="4" t="s">
        <v>392</v>
      </c>
      <c r="G217" s="2" t="s">
        <v>664</v>
      </c>
      <c r="H217" s="2">
        <v>-266574169</v>
      </c>
      <c r="I217" s="2" t="s">
        <v>13</v>
      </c>
    </row>
    <row r="218" spans="1:9" ht="15" customHeight="1" x14ac:dyDescent="0.3">
      <c r="A218" s="2">
        <v>5666621</v>
      </c>
      <c r="B218" s="2" t="s">
        <v>9</v>
      </c>
      <c r="C218" s="2" t="s">
        <v>661</v>
      </c>
      <c r="D218" s="3">
        <v>44927</v>
      </c>
      <c r="E218" s="3">
        <v>45291</v>
      </c>
      <c r="F218" s="4" t="s">
        <v>394</v>
      </c>
      <c r="G218" s="2" t="s">
        <v>395</v>
      </c>
      <c r="H218" s="2">
        <v>0</v>
      </c>
      <c r="I218" s="2" t="s">
        <v>13</v>
      </c>
    </row>
    <row r="219" spans="1:9" ht="15" customHeight="1" x14ac:dyDescent="0.3">
      <c r="A219" s="2">
        <v>5666622</v>
      </c>
      <c r="B219" s="2" t="s">
        <v>9</v>
      </c>
      <c r="C219" s="2" t="s">
        <v>661</v>
      </c>
      <c r="D219" s="3">
        <v>44927</v>
      </c>
      <c r="E219" s="3">
        <v>45291</v>
      </c>
      <c r="F219" s="4" t="s">
        <v>396</v>
      </c>
      <c r="G219" s="2" t="s">
        <v>397</v>
      </c>
      <c r="H219" s="2">
        <v>19975790</v>
      </c>
      <c r="I219" s="2" t="s">
        <v>13</v>
      </c>
    </row>
    <row r="220" spans="1:9" ht="15" customHeight="1" x14ac:dyDescent="0.3">
      <c r="A220" s="2">
        <v>5666623</v>
      </c>
      <c r="B220" s="2" t="s">
        <v>9</v>
      </c>
      <c r="C220" s="2" t="s">
        <v>661</v>
      </c>
      <c r="D220" s="3">
        <v>44927</v>
      </c>
      <c r="E220" s="3">
        <v>45291</v>
      </c>
      <c r="F220" s="4" t="s">
        <v>398</v>
      </c>
      <c r="G220" s="2" t="s">
        <v>399</v>
      </c>
      <c r="H220" s="2">
        <v>19975790</v>
      </c>
      <c r="I220" s="2" t="s">
        <v>13</v>
      </c>
    </row>
    <row r="221" spans="1:9" ht="15" customHeight="1" x14ac:dyDescent="0.3">
      <c r="A221" s="2">
        <v>5666624</v>
      </c>
      <c r="B221" s="2" t="s">
        <v>9</v>
      </c>
      <c r="C221" s="2" t="s">
        <v>661</v>
      </c>
      <c r="D221" s="3">
        <v>44927</v>
      </c>
      <c r="E221" s="3">
        <v>45291</v>
      </c>
      <c r="F221" s="4" t="s">
        <v>400</v>
      </c>
      <c r="G221" s="2" t="s">
        <v>401</v>
      </c>
      <c r="H221" s="2">
        <v>-1020935</v>
      </c>
      <c r="I221" s="2" t="s">
        <v>13</v>
      </c>
    </row>
    <row r="222" spans="1:9" ht="15" customHeight="1" x14ac:dyDescent="0.3">
      <c r="A222" s="2">
        <v>5666625</v>
      </c>
      <c r="B222" s="2" t="s">
        <v>9</v>
      </c>
      <c r="C222" s="2" t="s">
        <v>661</v>
      </c>
      <c r="D222" s="3">
        <v>44927</v>
      </c>
      <c r="E222" s="3">
        <v>45291</v>
      </c>
      <c r="F222" s="4" t="s">
        <v>402</v>
      </c>
      <c r="G222" s="2" t="s">
        <v>403</v>
      </c>
      <c r="H222" s="2">
        <v>-1020935</v>
      </c>
      <c r="I222" s="2" t="s">
        <v>13</v>
      </c>
    </row>
    <row r="223" spans="1:9" ht="15" customHeight="1" x14ac:dyDescent="0.3">
      <c r="A223" s="2">
        <v>5666626</v>
      </c>
      <c r="B223" s="2" t="s">
        <v>9</v>
      </c>
      <c r="C223" s="2" t="s">
        <v>661</v>
      </c>
      <c r="D223" s="3">
        <v>44927</v>
      </c>
      <c r="E223" s="3">
        <v>45291</v>
      </c>
      <c r="F223" s="4" t="s">
        <v>404</v>
      </c>
      <c r="G223" s="2" t="s">
        <v>405</v>
      </c>
      <c r="H223" s="2">
        <v>0</v>
      </c>
      <c r="I223" s="2" t="s">
        <v>13</v>
      </c>
    </row>
    <row r="224" spans="1:9" ht="15" customHeight="1" x14ac:dyDescent="0.3">
      <c r="A224" s="2">
        <v>5666627</v>
      </c>
      <c r="B224" s="2" t="s">
        <v>9</v>
      </c>
      <c r="C224" s="2" t="s">
        <v>661</v>
      </c>
      <c r="D224" s="3">
        <v>44927</v>
      </c>
      <c r="E224" s="3">
        <v>45291</v>
      </c>
      <c r="F224" s="4" t="s">
        <v>406</v>
      </c>
      <c r="G224" s="2" t="s">
        <v>407</v>
      </c>
      <c r="H224" s="2">
        <v>0</v>
      </c>
      <c r="I224" s="2" t="s">
        <v>13</v>
      </c>
    </row>
    <row r="225" spans="1:9" ht="15" customHeight="1" x14ac:dyDescent="0.3">
      <c r="A225" s="2">
        <v>5666628</v>
      </c>
      <c r="B225" s="2" t="s">
        <v>9</v>
      </c>
      <c r="C225" s="2" t="s">
        <v>661</v>
      </c>
      <c r="D225" s="3">
        <v>44927</v>
      </c>
      <c r="E225" s="3">
        <v>45291</v>
      </c>
      <c r="F225" s="4" t="s">
        <v>408</v>
      </c>
      <c r="G225" s="2" t="s">
        <v>409</v>
      </c>
      <c r="H225" s="2">
        <v>450646110</v>
      </c>
      <c r="I225" s="2" t="s">
        <v>13</v>
      </c>
    </row>
    <row r="226" spans="1:9" ht="15" customHeight="1" x14ac:dyDescent="0.3">
      <c r="A226" s="2">
        <v>5666629</v>
      </c>
      <c r="B226" s="2" t="s">
        <v>9</v>
      </c>
      <c r="C226" s="2" t="s">
        <v>661</v>
      </c>
      <c r="D226" s="3">
        <v>44927</v>
      </c>
      <c r="E226" s="3">
        <v>45291</v>
      </c>
      <c r="F226" s="4" t="s">
        <v>410</v>
      </c>
      <c r="G226" s="2" t="s">
        <v>411</v>
      </c>
      <c r="H226" s="2">
        <v>-49803507</v>
      </c>
      <c r="I226" s="2" t="s">
        <v>13</v>
      </c>
    </row>
    <row r="227" spans="1:9" ht="15" customHeight="1" x14ac:dyDescent="0.3">
      <c r="A227" s="2">
        <v>5666630</v>
      </c>
      <c r="B227" s="2" t="s">
        <v>9</v>
      </c>
      <c r="C227" s="2" t="s">
        <v>661</v>
      </c>
      <c r="D227" s="3">
        <v>44927</v>
      </c>
      <c r="E227" s="3">
        <v>45291</v>
      </c>
      <c r="F227" s="4" t="s">
        <v>412</v>
      </c>
      <c r="G227" s="2" t="s">
        <v>413</v>
      </c>
      <c r="H227" s="2">
        <v>40760860</v>
      </c>
      <c r="I227" s="2" t="s">
        <v>13</v>
      </c>
    </row>
    <row r="228" spans="1:9" ht="15" customHeight="1" x14ac:dyDescent="0.3">
      <c r="A228" s="2">
        <v>5666631</v>
      </c>
      <c r="B228" s="2" t="s">
        <v>9</v>
      </c>
      <c r="C228" s="2" t="s">
        <v>661</v>
      </c>
      <c r="D228" s="3">
        <v>44927</v>
      </c>
      <c r="E228" s="3">
        <v>45291</v>
      </c>
      <c r="F228" s="4" t="s">
        <v>414</v>
      </c>
      <c r="G228" s="2" t="s">
        <v>415</v>
      </c>
      <c r="H228" s="2">
        <v>40760860</v>
      </c>
      <c r="I228" s="2" t="s">
        <v>13</v>
      </c>
    </row>
    <row r="229" spans="1:9" ht="15" customHeight="1" x14ac:dyDescent="0.3">
      <c r="A229" s="2">
        <v>5666632</v>
      </c>
      <c r="B229" s="2" t="s">
        <v>9</v>
      </c>
      <c r="C229" s="2" t="s">
        <v>661</v>
      </c>
      <c r="D229" s="3">
        <v>44927</v>
      </c>
      <c r="E229" s="3">
        <v>45291</v>
      </c>
      <c r="F229" s="4" t="s">
        <v>416</v>
      </c>
      <c r="G229" s="2" t="s">
        <v>417</v>
      </c>
      <c r="H229" s="2">
        <v>-90564367</v>
      </c>
      <c r="I229" s="2" t="s">
        <v>13</v>
      </c>
    </row>
    <row r="230" spans="1:9" ht="15" customHeight="1" x14ac:dyDescent="0.3">
      <c r="A230" s="2">
        <v>5666633</v>
      </c>
      <c r="B230" s="2" t="s">
        <v>9</v>
      </c>
      <c r="C230" s="2" t="s">
        <v>661</v>
      </c>
      <c r="D230" s="3">
        <v>44927</v>
      </c>
      <c r="E230" s="3">
        <v>45291</v>
      </c>
      <c r="F230" s="4" t="s">
        <v>418</v>
      </c>
      <c r="G230" s="2" t="s">
        <v>417</v>
      </c>
      <c r="H230" s="2">
        <v>-90564367</v>
      </c>
      <c r="I230" s="2" t="s">
        <v>13</v>
      </c>
    </row>
    <row r="231" spans="1:9" ht="15" customHeight="1" x14ac:dyDescent="0.3">
      <c r="A231" s="2">
        <v>5666634</v>
      </c>
      <c r="B231" s="2" t="s">
        <v>9</v>
      </c>
      <c r="C231" s="2" t="s">
        <v>661</v>
      </c>
      <c r="D231" s="3">
        <v>44927</v>
      </c>
      <c r="E231" s="3">
        <v>45291</v>
      </c>
      <c r="F231" s="4" t="s">
        <v>420</v>
      </c>
      <c r="G231" s="2" t="s">
        <v>421</v>
      </c>
      <c r="H231" s="2">
        <v>400842603</v>
      </c>
      <c r="I231" s="2" t="s">
        <v>13</v>
      </c>
    </row>
    <row r="232" spans="1:9" ht="15" customHeight="1" x14ac:dyDescent="0.3">
      <c r="A232" s="2">
        <v>5666635</v>
      </c>
      <c r="B232" s="2" t="s">
        <v>9</v>
      </c>
      <c r="C232" s="2" t="s">
        <v>661</v>
      </c>
      <c r="D232" s="3">
        <v>44927</v>
      </c>
      <c r="E232" s="3">
        <v>45291</v>
      </c>
      <c r="F232" s="4" t="s">
        <v>422</v>
      </c>
      <c r="G232" s="2" t="s">
        <v>423</v>
      </c>
      <c r="H232" s="2">
        <v>-31598050</v>
      </c>
      <c r="I232" s="2" t="s">
        <v>13</v>
      </c>
    </row>
    <row r="233" spans="1:9" ht="15" customHeight="1" x14ac:dyDescent="0.3">
      <c r="A233" s="2">
        <v>5666636</v>
      </c>
      <c r="B233" s="2" t="s">
        <v>9</v>
      </c>
      <c r="C233" s="2" t="s">
        <v>661</v>
      </c>
      <c r="D233" s="3">
        <v>44927</v>
      </c>
      <c r="E233" s="3">
        <v>45291</v>
      </c>
      <c r="F233" s="4" t="s">
        <v>424</v>
      </c>
      <c r="G233" s="2" t="s">
        <v>425</v>
      </c>
      <c r="H233" s="2">
        <v>-54597076</v>
      </c>
      <c r="I233" s="2" t="s">
        <v>13</v>
      </c>
    </row>
    <row r="234" spans="1:9" ht="15" customHeight="1" x14ac:dyDescent="0.3">
      <c r="A234" s="2">
        <v>5666637</v>
      </c>
      <c r="B234" s="2" t="s">
        <v>9</v>
      </c>
      <c r="C234" s="2" t="s">
        <v>661</v>
      </c>
      <c r="D234" s="3">
        <v>44927</v>
      </c>
      <c r="E234" s="3">
        <v>45291</v>
      </c>
      <c r="F234" s="4" t="s">
        <v>426</v>
      </c>
      <c r="G234" s="2" t="s">
        <v>427</v>
      </c>
      <c r="H234" s="2">
        <v>22999026</v>
      </c>
      <c r="I234" s="2" t="s">
        <v>13</v>
      </c>
    </row>
    <row r="235" spans="1:9" ht="15" customHeight="1" x14ac:dyDescent="0.3">
      <c r="A235" s="2">
        <v>5666638</v>
      </c>
      <c r="B235" s="2" t="s">
        <v>9</v>
      </c>
      <c r="C235" s="2" t="s">
        <v>661</v>
      </c>
      <c r="D235" s="3">
        <v>44927</v>
      </c>
      <c r="E235" s="3">
        <v>45291</v>
      </c>
      <c r="F235" s="4" t="s">
        <v>428</v>
      </c>
      <c r="G235" s="2" t="s">
        <v>429</v>
      </c>
      <c r="H235" s="2">
        <v>369244553</v>
      </c>
      <c r="I235" s="2" t="s">
        <v>13</v>
      </c>
    </row>
    <row r="236" spans="1:9" ht="15" customHeight="1" x14ac:dyDescent="0.3">
      <c r="A236" s="2">
        <v>5666639</v>
      </c>
      <c r="B236" s="2" t="s">
        <v>9</v>
      </c>
      <c r="C236" s="2" t="s">
        <v>661</v>
      </c>
      <c r="D236" s="3">
        <v>44927</v>
      </c>
      <c r="E236" s="3">
        <v>45291</v>
      </c>
      <c r="F236" s="4" t="s">
        <v>430</v>
      </c>
      <c r="G236" s="2" t="s">
        <v>431</v>
      </c>
      <c r="H236" s="2">
        <v>0</v>
      </c>
      <c r="I236" s="2" t="s">
        <v>13</v>
      </c>
    </row>
    <row r="237" spans="1:9" ht="15" customHeight="1" x14ac:dyDescent="0.3">
      <c r="A237" s="2">
        <v>5666640</v>
      </c>
      <c r="B237" s="2" t="s">
        <v>9</v>
      </c>
      <c r="C237" s="2" t="s">
        <v>661</v>
      </c>
      <c r="D237" s="3">
        <v>44927</v>
      </c>
      <c r="E237" s="3">
        <v>45291</v>
      </c>
      <c r="F237" s="4" t="s">
        <v>432</v>
      </c>
      <c r="G237" s="2" t="s">
        <v>433</v>
      </c>
      <c r="H237" s="2">
        <v>0</v>
      </c>
      <c r="I237" s="2" t="s">
        <v>13</v>
      </c>
    </row>
    <row r="238" spans="1:9" ht="15" customHeight="1" x14ac:dyDescent="0.3">
      <c r="A238" s="2">
        <v>5666641</v>
      </c>
      <c r="B238" s="2" t="s">
        <v>9</v>
      </c>
      <c r="C238" s="2" t="s">
        <v>661</v>
      </c>
      <c r="D238" s="3">
        <v>44927</v>
      </c>
      <c r="E238" s="3">
        <v>45291</v>
      </c>
      <c r="F238" s="4" t="s">
        <v>434</v>
      </c>
      <c r="G238" s="2" t="s">
        <v>435</v>
      </c>
      <c r="H238" s="2">
        <v>0</v>
      </c>
      <c r="I238" s="2" t="s">
        <v>13</v>
      </c>
    </row>
    <row r="239" spans="1:9" ht="15" customHeight="1" x14ac:dyDescent="0.3">
      <c r="A239" s="2">
        <v>5666642</v>
      </c>
      <c r="B239" s="2" t="s">
        <v>9</v>
      </c>
      <c r="C239" s="2" t="s">
        <v>661</v>
      </c>
      <c r="D239" s="3">
        <v>44927</v>
      </c>
      <c r="E239" s="3">
        <v>45291</v>
      </c>
      <c r="F239" s="4" t="s">
        <v>436</v>
      </c>
      <c r="G239" s="2" t="s">
        <v>437</v>
      </c>
      <c r="H239" s="2">
        <v>369244553</v>
      </c>
      <c r="I239" s="2" t="s">
        <v>13</v>
      </c>
    </row>
    <row r="240" spans="1:9" ht="15" customHeight="1" x14ac:dyDescent="0.3">
      <c r="A240" s="2">
        <v>5666643</v>
      </c>
      <c r="B240" s="2" t="s">
        <v>9</v>
      </c>
      <c r="C240" s="2" t="s">
        <v>661</v>
      </c>
      <c r="D240" s="3">
        <v>44927</v>
      </c>
      <c r="E240" s="3">
        <v>45291</v>
      </c>
      <c r="F240" s="4" t="s">
        <v>438</v>
      </c>
      <c r="G240" s="2" t="s">
        <v>439</v>
      </c>
      <c r="H240" s="2">
        <v>369244553</v>
      </c>
      <c r="I240" s="2" t="s">
        <v>13</v>
      </c>
    </row>
    <row r="241" spans="1:9" ht="15" customHeight="1" x14ac:dyDescent="0.3">
      <c r="A241" s="2">
        <v>5666644</v>
      </c>
      <c r="B241" s="2" t="s">
        <v>9</v>
      </c>
      <c r="C241" s="2" t="s">
        <v>661</v>
      </c>
      <c r="D241" s="3">
        <v>44927</v>
      </c>
      <c r="E241" s="3">
        <v>45291</v>
      </c>
      <c r="F241" s="4" t="s">
        <v>440</v>
      </c>
      <c r="G241" s="2" t="s">
        <v>441</v>
      </c>
      <c r="H241" s="2">
        <v>0</v>
      </c>
      <c r="I241" s="2" t="s">
        <v>13</v>
      </c>
    </row>
    <row r="242" spans="1:9" ht="15" customHeight="1" x14ac:dyDescent="0.3">
      <c r="A242" s="2">
        <v>5666645</v>
      </c>
      <c r="B242" s="2" t="s">
        <v>9</v>
      </c>
      <c r="C242" s="2" t="s">
        <v>661</v>
      </c>
      <c r="D242" s="3">
        <v>44927</v>
      </c>
      <c r="E242" s="3">
        <v>45291</v>
      </c>
      <c r="F242" s="4" t="s">
        <v>442</v>
      </c>
      <c r="G242" s="2" t="s">
        <v>443</v>
      </c>
      <c r="H242" s="2">
        <v>0</v>
      </c>
      <c r="I242" s="2" t="s">
        <v>13</v>
      </c>
    </row>
    <row r="243" spans="1:9" ht="15" customHeight="1" x14ac:dyDescent="0.3">
      <c r="A243" s="2">
        <v>5666646</v>
      </c>
      <c r="B243" s="2" t="s">
        <v>9</v>
      </c>
      <c r="C243" s="2" t="s">
        <v>661</v>
      </c>
      <c r="D243" s="3">
        <v>44927</v>
      </c>
      <c r="E243" s="3">
        <v>45291</v>
      </c>
      <c r="F243" s="4" t="s">
        <v>444</v>
      </c>
      <c r="G243" s="2" t="s">
        <v>445</v>
      </c>
      <c r="H243" s="2">
        <v>0</v>
      </c>
      <c r="I243" s="2" t="s">
        <v>13</v>
      </c>
    </row>
    <row r="244" spans="1:9" ht="15" customHeight="1" x14ac:dyDescent="0.3">
      <c r="A244" s="2">
        <v>5666647</v>
      </c>
      <c r="B244" s="2" t="s">
        <v>9</v>
      </c>
      <c r="C244" s="2" t="s">
        <v>661</v>
      </c>
      <c r="D244" s="3">
        <v>44927</v>
      </c>
      <c r="E244" s="3">
        <v>45291</v>
      </c>
      <c r="F244" s="4" t="s">
        <v>446</v>
      </c>
      <c r="G244" s="2" t="s">
        <v>447</v>
      </c>
      <c r="H244" s="2">
        <v>1</v>
      </c>
      <c r="I244" s="2" t="s">
        <v>13</v>
      </c>
    </row>
    <row r="245" spans="1:9" ht="15" customHeight="1" x14ac:dyDescent="0.3">
      <c r="A245" s="2">
        <v>5666648</v>
      </c>
      <c r="B245" s="2" t="s">
        <v>9</v>
      </c>
      <c r="C245" s="2" t="s">
        <v>661</v>
      </c>
      <c r="D245" s="3">
        <v>44927</v>
      </c>
      <c r="E245" s="3">
        <v>45291</v>
      </c>
      <c r="F245" s="4" t="s">
        <v>448</v>
      </c>
      <c r="G245" s="2" t="s">
        <v>449</v>
      </c>
      <c r="H245" s="2">
        <v>0</v>
      </c>
      <c r="I245" s="2" t="s">
        <v>13</v>
      </c>
    </row>
    <row r="246" spans="1:9" ht="15" customHeight="1" x14ac:dyDescent="0.3">
      <c r="A246" s="2">
        <v>5666649</v>
      </c>
      <c r="B246" s="2" t="s">
        <v>9</v>
      </c>
      <c r="C246" s="2" t="s">
        <v>661</v>
      </c>
      <c r="D246" s="3">
        <v>44927</v>
      </c>
      <c r="E246" s="3">
        <v>45291</v>
      </c>
      <c r="F246" s="4" t="s">
        <v>450</v>
      </c>
      <c r="G246" s="2" t="s">
        <v>447</v>
      </c>
      <c r="H246" s="2">
        <v>1</v>
      </c>
      <c r="I246" s="2" t="s">
        <v>13</v>
      </c>
    </row>
    <row r="247" spans="1:9" ht="15" customHeight="1" x14ac:dyDescent="0.3">
      <c r="A247" s="2">
        <v>5666650</v>
      </c>
      <c r="B247" s="2" t="s">
        <v>9</v>
      </c>
      <c r="C247" s="2" t="s">
        <v>661</v>
      </c>
      <c r="D247" s="3">
        <v>44927</v>
      </c>
      <c r="E247" s="3">
        <v>45291</v>
      </c>
      <c r="F247" s="4" t="s">
        <v>451</v>
      </c>
      <c r="G247" s="2" t="s">
        <v>452</v>
      </c>
      <c r="H247" s="2">
        <v>201468842</v>
      </c>
      <c r="I247" s="2" t="s">
        <v>13</v>
      </c>
    </row>
    <row r="248" spans="1:9" ht="15" customHeight="1" x14ac:dyDescent="0.3">
      <c r="A248" s="2">
        <v>5666651</v>
      </c>
      <c r="B248" s="2" t="s">
        <v>9</v>
      </c>
      <c r="C248" s="2" t="s">
        <v>661</v>
      </c>
      <c r="D248" s="3">
        <v>44927</v>
      </c>
      <c r="E248" s="3">
        <v>45291</v>
      </c>
      <c r="F248" s="4" t="s">
        <v>453</v>
      </c>
      <c r="G248" s="2" t="s">
        <v>454</v>
      </c>
      <c r="H248" s="2">
        <v>591588419</v>
      </c>
      <c r="I248" s="2" t="s">
        <v>13</v>
      </c>
    </row>
    <row r="249" spans="1:9" ht="15" customHeight="1" x14ac:dyDescent="0.3">
      <c r="A249" s="2">
        <v>5666652</v>
      </c>
      <c r="B249" s="2" t="s">
        <v>9</v>
      </c>
      <c r="C249" s="2" t="s">
        <v>661</v>
      </c>
      <c r="D249" s="3">
        <v>44927</v>
      </c>
      <c r="E249" s="3">
        <v>45291</v>
      </c>
      <c r="F249" s="4" t="s">
        <v>455</v>
      </c>
      <c r="G249" s="2" t="s">
        <v>665</v>
      </c>
      <c r="H249" s="2">
        <v>369244553</v>
      </c>
      <c r="I249" s="2" t="s">
        <v>13</v>
      </c>
    </row>
    <row r="250" spans="1:9" ht="15" customHeight="1" x14ac:dyDescent="0.3">
      <c r="A250" s="2">
        <v>5666653</v>
      </c>
      <c r="B250" s="2" t="s">
        <v>9</v>
      </c>
      <c r="C250" s="2" t="s">
        <v>661</v>
      </c>
      <c r="D250" s="3">
        <v>44927</v>
      </c>
      <c r="E250" s="3">
        <v>45291</v>
      </c>
      <c r="F250" s="4" t="s">
        <v>457</v>
      </c>
      <c r="G250" s="2" t="s">
        <v>666</v>
      </c>
      <c r="H250" s="2">
        <v>134084922</v>
      </c>
      <c r="I250" s="2" t="s">
        <v>13</v>
      </c>
    </row>
    <row r="251" spans="1:9" ht="15" customHeight="1" x14ac:dyDescent="0.3">
      <c r="A251" s="2">
        <v>5666654</v>
      </c>
      <c r="B251" s="2" t="s">
        <v>9</v>
      </c>
      <c r="C251" s="2" t="s">
        <v>661</v>
      </c>
      <c r="D251" s="3">
        <v>44927</v>
      </c>
      <c r="E251" s="3">
        <v>45291</v>
      </c>
      <c r="F251" s="4" t="s">
        <v>459</v>
      </c>
      <c r="G251" s="2" t="s">
        <v>667</v>
      </c>
      <c r="H251" s="2">
        <v>33709043</v>
      </c>
      <c r="I251" s="2" t="s">
        <v>13</v>
      </c>
    </row>
    <row r="252" spans="1:9" ht="15" customHeight="1" x14ac:dyDescent="0.3">
      <c r="A252" s="2">
        <v>5666655</v>
      </c>
      <c r="B252" s="2" t="s">
        <v>9</v>
      </c>
      <c r="C252" s="2" t="s">
        <v>661</v>
      </c>
      <c r="D252" s="3">
        <v>44927</v>
      </c>
      <c r="E252" s="3">
        <v>45291</v>
      </c>
      <c r="F252" s="4" t="s">
        <v>461</v>
      </c>
      <c r="G252" s="2" t="s">
        <v>668</v>
      </c>
      <c r="H252" s="2">
        <v>53123050</v>
      </c>
      <c r="I252" s="2" t="s">
        <v>13</v>
      </c>
    </row>
    <row r="253" spans="1:9" ht="15" customHeight="1" x14ac:dyDescent="0.3">
      <c r="A253" s="2">
        <v>5666656</v>
      </c>
      <c r="B253" s="2" t="s">
        <v>9</v>
      </c>
      <c r="C253" s="2" t="s">
        <v>661</v>
      </c>
      <c r="D253" s="3">
        <v>44927</v>
      </c>
      <c r="E253" s="3">
        <v>45291</v>
      </c>
      <c r="F253" s="4" t="s">
        <v>463</v>
      </c>
      <c r="G253" s="2" t="s">
        <v>464</v>
      </c>
      <c r="H253" s="2">
        <v>31598049</v>
      </c>
      <c r="I253" s="2" t="s">
        <v>13</v>
      </c>
    </row>
    <row r="254" spans="1:9" ht="15" customHeight="1" x14ac:dyDescent="0.3">
      <c r="A254" s="2">
        <v>5666657</v>
      </c>
      <c r="B254" s="2" t="s">
        <v>9</v>
      </c>
      <c r="C254" s="2" t="s">
        <v>661</v>
      </c>
      <c r="D254" s="3">
        <v>44927</v>
      </c>
      <c r="E254" s="3">
        <v>45291</v>
      </c>
      <c r="F254" s="4" t="s">
        <v>465</v>
      </c>
      <c r="G254" s="2" t="s">
        <v>466</v>
      </c>
      <c r="H254" s="2">
        <v>553069</v>
      </c>
      <c r="I254" s="2" t="s">
        <v>13</v>
      </c>
    </row>
    <row r="255" spans="1:9" ht="15" customHeight="1" x14ac:dyDescent="0.3">
      <c r="A255" s="2">
        <v>5666658</v>
      </c>
      <c r="B255" s="2" t="s">
        <v>9</v>
      </c>
      <c r="C255" s="2" t="s">
        <v>661</v>
      </c>
      <c r="D255" s="3">
        <v>44927</v>
      </c>
      <c r="E255" s="3">
        <v>45291</v>
      </c>
      <c r="F255" s="4" t="s">
        <v>467</v>
      </c>
      <c r="G255" s="2" t="s">
        <v>468</v>
      </c>
      <c r="H255" s="2">
        <v>2046724</v>
      </c>
      <c r="I255" s="2" t="s">
        <v>13</v>
      </c>
    </row>
    <row r="256" spans="1:9" ht="15" customHeight="1" x14ac:dyDescent="0.3">
      <c r="A256" s="2">
        <v>5666659</v>
      </c>
      <c r="B256" s="2" t="s">
        <v>9</v>
      </c>
      <c r="C256" s="2" t="s">
        <v>661</v>
      </c>
      <c r="D256" s="3">
        <v>44927</v>
      </c>
      <c r="E256" s="3">
        <v>45291</v>
      </c>
      <c r="F256" s="4" t="s">
        <v>469</v>
      </c>
      <c r="G256" s="2" t="s">
        <v>407</v>
      </c>
      <c r="H256" s="2">
        <v>0</v>
      </c>
      <c r="I256" s="2" t="s">
        <v>13</v>
      </c>
    </row>
    <row r="257" spans="1:9" ht="15" customHeight="1" x14ac:dyDescent="0.3">
      <c r="A257" s="2">
        <v>5666660</v>
      </c>
      <c r="B257" s="2" t="s">
        <v>9</v>
      </c>
      <c r="C257" s="2" t="s">
        <v>661</v>
      </c>
      <c r="D257" s="3">
        <v>44927</v>
      </c>
      <c r="E257" s="3">
        <v>45291</v>
      </c>
      <c r="F257" s="4" t="s">
        <v>470</v>
      </c>
      <c r="G257" s="2" t="s">
        <v>471</v>
      </c>
      <c r="H257" s="2">
        <v>0</v>
      </c>
      <c r="I257" s="2" t="s">
        <v>13</v>
      </c>
    </row>
    <row r="258" spans="1:9" ht="15" customHeight="1" x14ac:dyDescent="0.3">
      <c r="A258" s="2">
        <v>5666661</v>
      </c>
      <c r="B258" s="2" t="s">
        <v>9</v>
      </c>
      <c r="C258" s="2" t="s">
        <v>661</v>
      </c>
      <c r="D258" s="3">
        <v>44927</v>
      </c>
      <c r="E258" s="3">
        <v>45291</v>
      </c>
      <c r="F258" s="4" t="s">
        <v>472</v>
      </c>
      <c r="G258" s="2" t="s">
        <v>473</v>
      </c>
      <c r="H258" s="2">
        <v>702757</v>
      </c>
      <c r="I258" s="2" t="s">
        <v>13</v>
      </c>
    </row>
    <row r="259" spans="1:9" ht="15" customHeight="1" x14ac:dyDescent="0.3">
      <c r="A259" s="2">
        <v>5666662</v>
      </c>
      <c r="B259" s="2" t="s">
        <v>9</v>
      </c>
      <c r="C259" s="2" t="s">
        <v>661</v>
      </c>
      <c r="D259" s="3">
        <v>44927</v>
      </c>
      <c r="E259" s="3">
        <v>45291</v>
      </c>
      <c r="F259" s="4" t="s">
        <v>474</v>
      </c>
      <c r="G259" s="2" t="s">
        <v>475</v>
      </c>
      <c r="H259" s="2">
        <v>-13630802</v>
      </c>
      <c r="I259" s="2" t="s">
        <v>13</v>
      </c>
    </row>
    <row r="260" spans="1:9" ht="15" customHeight="1" x14ac:dyDescent="0.3">
      <c r="A260" s="2">
        <v>5666663</v>
      </c>
      <c r="B260" s="2" t="s">
        <v>9</v>
      </c>
      <c r="C260" s="2" t="s">
        <v>661</v>
      </c>
      <c r="D260" s="3">
        <v>44927</v>
      </c>
      <c r="E260" s="3">
        <v>45291</v>
      </c>
      <c r="F260" s="4" t="s">
        <v>476</v>
      </c>
      <c r="G260" s="2" t="s">
        <v>669</v>
      </c>
      <c r="H260" s="2">
        <v>-25004992</v>
      </c>
      <c r="I260" s="2" t="s">
        <v>13</v>
      </c>
    </row>
    <row r="261" spans="1:9" ht="15" customHeight="1" x14ac:dyDescent="0.3">
      <c r="A261" s="2">
        <v>5666664</v>
      </c>
      <c r="B261" s="2" t="s">
        <v>9</v>
      </c>
      <c r="C261" s="2" t="s">
        <v>661</v>
      </c>
      <c r="D261" s="3">
        <v>44927</v>
      </c>
      <c r="E261" s="3">
        <v>45291</v>
      </c>
      <c r="F261" s="4" t="s">
        <v>478</v>
      </c>
      <c r="G261" s="2" t="s">
        <v>479</v>
      </c>
      <c r="H261" s="2">
        <v>639954</v>
      </c>
      <c r="I261" s="2" t="s">
        <v>13</v>
      </c>
    </row>
    <row r="262" spans="1:9" ht="15" customHeight="1" x14ac:dyDescent="0.3">
      <c r="A262" s="2">
        <v>5666665</v>
      </c>
      <c r="B262" s="2" t="s">
        <v>9</v>
      </c>
      <c r="C262" s="2" t="s">
        <v>661</v>
      </c>
      <c r="D262" s="3">
        <v>44927</v>
      </c>
      <c r="E262" s="3">
        <v>45291</v>
      </c>
      <c r="F262" s="4" t="s">
        <v>480</v>
      </c>
      <c r="G262" s="2" t="s">
        <v>481</v>
      </c>
      <c r="H262" s="2">
        <v>0</v>
      </c>
      <c r="I262" s="2" t="s">
        <v>13</v>
      </c>
    </row>
    <row r="263" spans="1:9" ht="15" customHeight="1" x14ac:dyDescent="0.3">
      <c r="A263" s="2">
        <v>5666666</v>
      </c>
      <c r="B263" s="2" t="s">
        <v>9</v>
      </c>
      <c r="C263" s="2" t="s">
        <v>661</v>
      </c>
      <c r="D263" s="3">
        <v>44927</v>
      </c>
      <c r="E263" s="3">
        <v>45291</v>
      </c>
      <c r="F263" s="4" t="s">
        <v>482</v>
      </c>
      <c r="G263" s="2" t="s">
        <v>483</v>
      </c>
      <c r="H263" s="2">
        <v>5332274</v>
      </c>
      <c r="I263" s="2" t="s">
        <v>13</v>
      </c>
    </row>
    <row r="264" spans="1:9" ht="15" customHeight="1" x14ac:dyDescent="0.3">
      <c r="A264" s="2">
        <v>5666667</v>
      </c>
      <c r="B264" s="2" t="s">
        <v>9</v>
      </c>
      <c r="C264" s="2" t="s">
        <v>661</v>
      </c>
      <c r="D264" s="3">
        <v>44927</v>
      </c>
      <c r="E264" s="3">
        <v>45291</v>
      </c>
      <c r="F264" s="4" t="s">
        <v>484</v>
      </c>
      <c r="G264" s="2" t="s">
        <v>485</v>
      </c>
      <c r="H264" s="2">
        <v>-810182</v>
      </c>
      <c r="I264" s="2" t="s">
        <v>13</v>
      </c>
    </row>
    <row r="265" spans="1:9" ht="15" customHeight="1" x14ac:dyDescent="0.3">
      <c r="A265" s="2">
        <v>5666668</v>
      </c>
      <c r="B265" s="2" t="s">
        <v>9</v>
      </c>
      <c r="C265" s="2" t="s">
        <v>661</v>
      </c>
      <c r="D265" s="3">
        <v>44927</v>
      </c>
      <c r="E265" s="3">
        <v>45291</v>
      </c>
      <c r="F265" s="4" t="s">
        <v>492</v>
      </c>
      <c r="G265" s="2" t="s">
        <v>493</v>
      </c>
      <c r="H265" s="2">
        <v>-269325898</v>
      </c>
      <c r="I265" s="2" t="s">
        <v>13</v>
      </c>
    </row>
    <row r="266" spans="1:9" ht="15" customHeight="1" x14ac:dyDescent="0.3">
      <c r="A266" s="2">
        <v>5666669</v>
      </c>
      <c r="B266" s="2" t="s">
        <v>9</v>
      </c>
      <c r="C266" s="2" t="s">
        <v>661</v>
      </c>
      <c r="D266" s="3">
        <v>44927</v>
      </c>
      <c r="E266" s="3">
        <v>45291</v>
      </c>
      <c r="F266" s="4" t="s">
        <v>494</v>
      </c>
      <c r="G266" s="2" t="s">
        <v>39</v>
      </c>
      <c r="H266" s="2">
        <v>-167675095</v>
      </c>
      <c r="I266" s="2" t="s">
        <v>13</v>
      </c>
    </row>
    <row r="267" spans="1:9" ht="15" customHeight="1" x14ac:dyDescent="0.3">
      <c r="A267" s="2">
        <v>5666670</v>
      </c>
      <c r="B267" s="2" t="s">
        <v>9</v>
      </c>
      <c r="C267" s="2" t="s">
        <v>661</v>
      </c>
      <c r="D267" s="3">
        <v>44927</v>
      </c>
      <c r="E267" s="3">
        <v>45291</v>
      </c>
      <c r="F267" s="4" t="s">
        <v>495</v>
      </c>
      <c r="G267" s="2" t="s">
        <v>496</v>
      </c>
      <c r="H267" s="2">
        <v>0</v>
      </c>
      <c r="I267" s="2" t="s">
        <v>13</v>
      </c>
    </row>
    <row r="268" spans="1:9" ht="15" customHeight="1" x14ac:dyDescent="0.3">
      <c r="A268" s="2">
        <v>5666671</v>
      </c>
      <c r="B268" s="2" t="s">
        <v>9</v>
      </c>
      <c r="C268" s="2" t="s">
        <v>661</v>
      </c>
      <c r="D268" s="3">
        <v>44927</v>
      </c>
      <c r="E268" s="3">
        <v>45291</v>
      </c>
      <c r="F268" s="4" t="s">
        <v>497</v>
      </c>
      <c r="G268" s="2" t="s">
        <v>47</v>
      </c>
      <c r="H268" s="2">
        <v>-73547656</v>
      </c>
      <c r="I268" s="2" t="s">
        <v>13</v>
      </c>
    </row>
    <row r="269" spans="1:9" ht="15" customHeight="1" x14ac:dyDescent="0.3">
      <c r="A269" s="2">
        <v>5666672</v>
      </c>
      <c r="B269" s="2" t="s">
        <v>9</v>
      </c>
      <c r="C269" s="2" t="s">
        <v>661</v>
      </c>
      <c r="D269" s="3">
        <v>44927</v>
      </c>
      <c r="E269" s="3">
        <v>45291</v>
      </c>
      <c r="F269" s="4" t="s">
        <v>498</v>
      </c>
      <c r="G269" s="2" t="s">
        <v>56</v>
      </c>
      <c r="H269" s="2">
        <v>29350813</v>
      </c>
      <c r="I269" s="2" t="s">
        <v>13</v>
      </c>
    </row>
    <row r="270" spans="1:9" ht="15" customHeight="1" x14ac:dyDescent="0.3">
      <c r="A270" s="2">
        <v>5666673</v>
      </c>
      <c r="B270" s="2" t="s">
        <v>9</v>
      </c>
      <c r="C270" s="2" t="s">
        <v>661</v>
      </c>
      <c r="D270" s="3">
        <v>44927</v>
      </c>
      <c r="E270" s="3">
        <v>45291</v>
      </c>
      <c r="F270" s="4" t="s">
        <v>499</v>
      </c>
      <c r="G270" s="2" t="s">
        <v>106</v>
      </c>
      <c r="H270" s="2">
        <v>7129048</v>
      </c>
      <c r="I270" s="2" t="s">
        <v>13</v>
      </c>
    </row>
    <row r="271" spans="1:9" ht="15" customHeight="1" x14ac:dyDescent="0.3">
      <c r="A271" s="2">
        <v>5666674</v>
      </c>
      <c r="B271" s="2" t="s">
        <v>9</v>
      </c>
      <c r="C271" s="2" t="s">
        <v>661</v>
      </c>
      <c r="D271" s="3">
        <v>44927</v>
      </c>
      <c r="E271" s="3">
        <v>45291</v>
      </c>
      <c r="F271" s="4" t="s">
        <v>500</v>
      </c>
      <c r="G271" s="2" t="s">
        <v>501</v>
      </c>
      <c r="H271" s="2">
        <v>-3733654</v>
      </c>
      <c r="I271" s="2" t="s">
        <v>13</v>
      </c>
    </row>
    <row r="272" spans="1:9" ht="15" customHeight="1" x14ac:dyDescent="0.3">
      <c r="A272" s="2">
        <v>5666675</v>
      </c>
      <c r="B272" s="2" t="s">
        <v>9</v>
      </c>
      <c r="C272" s="2" t="s">
        <v>661</v>
      </c>
      <c r="D272" s="3">
        <v>44927</v>
      </c>
      <c r="E272" s="3">
        <v>45291</v>
      </c>
      <c r="F272" s="4" t="s">
        <v>502</v>
      </c>
      <c r="G272" s="2" t="s">
        <v>162</v>
      </c>
      <c r="H272" s="2">
        <v>-42059305</v>
      </c>
      <c r="I272" s="2" t="s">
        <v>13</v>
      </c>
    </row>
    <row r="273" spans="1:9" ht="15" customHeight="1" x14ac:dyDescent="0.3">
      <c r="A273" s="2">
        <v>5666676</v>
      </c>
      <c r="B273" s="2" t="s">
        <v>9</v>
      </c>
      <c r="C273" s="2" t="s">
        <v>661</v>
      </c>
      <c r="D273" s="3">
        <v>44927</v>
      </c>
      <c r="E273" s="3">
        <v>45291</v>
      </c>
      <c r="F273" s="4" t="s">
        <v>503</v>
      </c>
      <c r="G273" s="2" t="s">
        <v>504</v>
      </c>
      <c r="H273" s="2">
        <v>25520901</v>
      </c>
      <c r="I273" s="2" t="s">
        <v>13</v>
      </c>
    </row>
    <row r="274" spans="1:9" ht="15" customHeight="1" x14ac:dyDescent="0.3">
      <c r="A274" s="2">
        <v>5666677</v>
      </c>
      <c r="B274" s="2" t="s">
        <v>9</v>
      </c>
      <c r="C274" s="2" t="s">
        <v>661</v>
      </c>
      <c r="D274" s="3">
        <v>44927</v>
      </c>
      <c r="E274" s="3">
        <v>45291</v>
      </c>
      <c r="F274" s="4" t="s">
        <v>505</v>
      </c>
      <c r="G274" s="2" t="s">
        <v>506</v>
      </c>
      <c r="H274" s="2">
        <v>-38368166</v>
      </c>
      <c r="I274" s="2" t="s">
        <v>13</v>
      </c>
    </row>
    <row r="275" spans="1:9" ht="15" customHeight="1" x14ac:dyDescent="0.3">
      <c r="A275" s="2">
        <v>5666678</v>
      </c>
      <c r="B275" s="2" t="s">
        <v>9</v>
      </c>
      <c r="C275" s="2" t="s">
        <v>661</v>
      </c>
      <c r="D275" s="3">
        <v>44927</v>
      </c>
      <c r="E275" s="3">
        <v>45291</v>
      </c>
      <c r="F275" s="4" t="s">
        <v>507</v>
      </c>
      <c r="G275" s="2" t="s">
        <v>508</v>
      </c>
      <c r="H275" s="2">
        <v>-2103500</v>
      </c>
      <c r="I275" s="2" t="s">
        <v>13</v>
      </c>
    </row>
    <row r="276" spans="1:9" ht="15" customHeight="1" x14ac:dyDescent="0.3">
      <c r="A276" s="2">
        <v>5666679</v>
      </c>
      <c r="B276" s="2" t="s">
        <v>9</v>
      </c>
      <c r="C276" s="2" t="s">
        <v>661</v>
      </c>
      <c r="D276" s="3">
        <v>44927</v>
      </c>
      <c r="E276" s="3">
        <v>45291</v>
      </c>
      <c r="F276" s="4" t="s">
        <v>509</v>
      </c>
      <c r="G276" s="2" t="s">
        <v>188</v>
      </c>
      <c r="H276" s="2">
        <v>0</v>
      </c>
      <c r="I276" s="2" t="s">
        <v>13</v>
      </c>
    </row>
    <row r="277" spans="1:9" ht="15" customHeight="1" x14ac:dyDescent="0.3">
      <c r="A277" s="2">
        <v>5666680</v>
      </c>
      <c r="B277" s="2" t="s">
        <v>9</v>
      </c>
      <c r="C277" s="2" t="s">
        <v>661</v>
      </c>
      <c r="D277" s="3">
        <v>44927</v>
      </c>
      <c r="E277" s="3">
        <v>45291</v>
      </c>
      <c r="F277" s="4" t="s">
        <v>510</v>
      </c>
      <c r="G277" s="2" t="s">
        <v>511</v>
      </c>
      <c r="H277" s="2">
        <v>-5726938</v>
      </c>
      <c r="I277" s="2" t="s">
        <v>13</v>
      </c>
    </row>
    <row r="278" spans="1:9" ht="15" customHeight="1" x14ac:dyDescent="0.3">
      <c r="A278" s="2">
        <v>5666681</v>
      </c>
      <c r="B278" s="2" t="s">
        <v>9</v>
      </c>
      <c r="C278" s="2" t="s">
        <v>661</v>
      </c>
      <c r="D278" s="3">
        <v>44927</v>
      </c>
      <c r="E278" s="3">
        <v>45291</v>
      </c>
      <c r="F278" s="4" t="s">
        <v>512</v>
      </c>
      <c r="G278" s="2" t="s">
        <v>238</v>
      </c>
      <c r="H278" s="2">
        <v>1803172</v>
      </c>
      <c r="I278" s="2" t="s">
        <v>13</v>
      </c>
    </row>
    <row r="279" spans="1:9" ht="15" customHeight="1" x14ac:dyDescent="0.3">
      <c r="A279" s="2">
        <v>5666682</v>
      </c>
      <c r="B279" s="2" t="s">
        <v>9</v>
      </c>
      <c r="C279" s="2" t="s">
        <v>661</v>
      </c>
      <c r="D279" s="3">
        <v>44927</v>
      </c>
      <c r="E279" s="3">
        <v>45291</v>
      </c>
      <c r="F279" s="4" t="s">
        <v>513</v>
      </c>
      <c r="G279" s="2" t="s">
        <v>241</v>
      </c>
      <c r="H279" s="2">
        <v>84482</v>
      </c>
      <c r="I279" s="2" t="s">
        <v>13</v>
      </c>
    </row>
    <row r="280" spans="1:9" ht="15" customHeight="1" x14ac:dyDescent="0.3">
      <c r="A280" s="2">
        <v>5666683</v>
      </c>
      <c r="B280" s="2" t="s">
        <v>9</v>
      </c>
      <c r="C280" s="2" t="s">
        <v>661</v>
      </c>
      <c r="D280" s="3">
        <v>44927</v>
      </c>
      <c r="E280" s="3">
        <v>45291</v>
      </c>
      <c r="F280" s="4" t="s">
        <v>518</v>
      </c>
      <c r="G280" s="2" t="s">
        <v>70</v>
      </c>
      <c r="H280" s="2">
        <v>-120793679</v>
      </c>
      <c r="I280" s="2" t="s">
        <v>13</v>
      </c>
    </row>
    <row r="281" spans="1:9" ht="15" customHeight="1" x14ac:dyDescent="0.3">
      <c r="A281" s="2">
        <v>5666684</v>
      </c>
      <c r="B281" s="2" t="s">
        <v>9</v>
      </c>
      <c r="C281" s="2" t="s">
        <v>661</v>
      </c>
      <c r="D281" s="3">
        <v>44927</v>
      </c>
      <c r="E281" s="3">
        <v>45291</v>
      </c>
      <c r="F281" s="4" t="s">
        <v>519</v>
      </c>
      <c r="G281" s="2" t="s">
        <v>520</v>
      </c>
      <c r="H281" s="2">
        <v>-43218762</v>
      </c>
      <c r="I281" s="2" t="s">
        <v>13</v>
      </c>
    </row>
    <row r="282" spans="1:9" ht="15" customHeight="1" x14ac:dyDescent="0.3">
      <c r="A282" s="2">
        <v>5666685</v>
      </c>
      <c r="B282" s="2" t="s">
        <v>9</v>
      </c>
      <c r="C282" s="2" t="s">
        <v>661</v>
      </c>
      <c r="D282" s="3">
        <v>44927</v>
      </c>
      <c r="E282" s="3">
        <v>45291</v>
      </c>
      <c r="F282" s="4" t="s">
        <v>521</v>
      </c>
      <c r="G282" s="2" t="s">
        <v>522</v>
      </c>
      <c r="H282" s="2">
        <v>-24772107</v>
      </c>
      <c r="I282" s="2" t="s">
        <v>13</v>
      </c>
    </row>
    <row r="283" spans="1:9" ht="15" customHeight="1" x14ac:dyDescent="0.3">
      <c r="A283" s="2">
        <v>5666686</v>
      </c>
      <c r="B283" s="2" t="s">
        <v>9</v>
      </c>
      <c r="C283" s="2" t="s">
        <v>661</v>
      </c>
      <c r="D283" s="3">
        <v>44927</v>
      </c>
      <c r="E283" s="3">
        <v>45291</v>
      </c>
      <c r="F283" s="4" t="s">
        <v>523</v>
      </c>
      <c r="G283" s="2" t="s">
        <v>524</v>
      </c>
      <c r="H283" s="2">
        <v>-52802810</v>
      </c>
      <c r="I283" s="2" t="s">
        <v>13</v>
      </c>
    </row>
    <row r="284" spans="1:9" ht="15" customHeight="1" x14ac:dyDescent="0.3">
      <c r="A284" s="2">
        <v>5666687</v>
      </c>
      <c r="B284" s="2" t="s">
        <v>9</v>
      </c>
      <c r="C284" s="2" t="s">
        <v>661</v>
      </c>
      <c r="D284" s="3">
        <v>44927</v>
      </c>
      <c r="E284" s="3">
        <v>45291</v>
      </c>
      <c r="F284" s="4" t="s">
        <v>525</v>
      </c>
      <c r="G284" s="2" t="s">
        <v>526</v>
      </c>
      <c r="H284" s="2">
        <v>-37804397</v>
      </c>
      <c r="I284" s="2" t="s">
        <v>13</v>
      </c>
    </row>
    <row r="285" spans="1:9" ht="15" customHeight="1" x14ac:dyDescent="0.3">
      <c r="A285" s="2">
        <v>5666688</v>
      </c>
      <c r="B285" s="2" t="s">
        <v>9</v>
      </c>
      <c r="C285" s="2" t="s">
        <v>661</v>
      </c>
      <c r="D285" s="3">
        <v>44927</v>
      </c>
      <c r="E285" s="3">
        <v>45291</v>
      </c>
      <c r="F285" s="4" t="s">
        <v>527</v>
      </c>
      <c r="G285" s="2" t="s">
        <v>528</v>
      </c>
      <c r="H285" s="2">
        <v>151493754</v>
      </c>
      <c r="I285" s="2" t="s">
        <v>13</v>
      </c>
    </row>
    <row r="286" spans="1:9" ht="15" customHeight="1" x14ac:dyDescent="0.3">
      <c r="A286" s="2">
        <v>5666689</v>
      </c>
      <c r="B286" s="2" t="s">
        <v>9</v>
      </c>
      <c r="C286" s="2" t="s">
        <v>661</v>
      </c>
      <c r="D286" s="3">
        <v>44927</v>
      </c>
      <c r="E286" s="3">
        <v>45291</v>
      </c>
      <c r="F286" s="4" t="s">
        <v>529</v>
      </c>
      <c r="G286" s="2" t="s">
        <v>530</v>
      </c>
      <c r="H286" s="2">
        <v>-151578718</v>
      </c>
      <c r="I286" s="2" t="s">
        <v>13</v>
      </c>
    </row>
    <row r="287" spans="1:9" ht="15" customHeight="1" x14ac:dyDescent="0.3">
      <c r="A287" s="2">
        <v>5666690</v>
      </c>
      <c r="B287" s="2" t="s">
        <v>9</v>
      </c>
      <c r="C287" s="2" t="s">
        <v>661</v>
      </c>
      <c r="D287" s="3">
        <v>44927</v>
      </c>
      <c r="E287" s="3">
        <v>45291</v>
      </c>
      <c r="F287" s="4" t="s">
        <v>531</v>
      </c>
      <c r="G287" s="2" t="s">
        <v>532</v>
      </c>
      <c r="H287" s="2">
        <v>-26607001</v>
      </c>
      <c r="I287" s="2" t="s">
        <v>13</v>
      </c>
    </row>
    <row r="288" spans="1:9" ht="15" customHeight="1" x14ac:dyDescent="0.3">
      <c r="A288" s="2">
        <v>5666691</v>
      </c>
      <c r="B288" s="2" t="s">
        <v>9</v>
      </c>
      <c r="C288" s="2" t="s">
        <v>661</v>
      </c>
      <c r="D288" s="3">
        <v>44927</v>
      </c>
      <c r="E288" s="3">
        <v>45291</v>
      </c>
      <c r="F288" s="4" t="s">
        <v>533</v>
      </c>
      <c r="G288" s="2" t="s">
        <v>670</v>
      </c>
      <c r="H288" s="2">
        <v>0</v>
      </c>
      <c r="I288" s="2" t="s">
        <v>13</v>
      </c>
    </row>
    <row r="289" spans="1:9" ht="15" customHeight="1" x14ac:dyDescent="0.3">
      <c r="A289" s="2">
        <v>5666692</v>
      </c>
      <c r="B289" s="2" t="s">
        <v>9</v>
      </c>
      <c r="C289" s="2" t="s">
        <v>661</v>
      </c>
      <c r="D289" s="3">
        <v>44927</v>
      </c>
      <c r="E289" s="3">
        <v>45291</v>
      </c>
      <c r="F289" s="4" t="s">
        <v>535</v>
      </c>
      <c r="G289" s="2" t="s">
        <v>536</v>
      </c>
      <c r="H289" s="2">
        <v>0</v>
      </c>
      <c r="I289" s="2" t="s">
        <v>13</v>
      </c>
    </row>
    <row r="290" spans="1:9" ht="15" customHeight="1" x14ac:dyDescent="0.3">
      <c r="A290" s="2">
        <v>5666693</v>
      </c>
      <c r="B290" s="2" t="s">
        <v>9</v>
      </c>
      <c r="C290" s="2" t="s">
        <v>661</v>
      </c>
      <c r="D290" s="3">
        <v>44927</v>
      </c>
      <c r="E290" s="3">
        <v>45291</v>
      </c>
      <c r="F290" s="4" t="s">
        <v>537</v>
      </c>
      <c r="G290" s="2" t="s">
        <v>538</v>
      </c>
      <c r="H290" s="2">
        <v>0</v>
      </c>
      <c r="I290" s="2" t="s">
        <v>13</v>
      </c>
    </row>
    <row r="291" spans="1:9" ht="15" customHeight="1" x14ac:dyDescent="0.3">
      <c r="A291" s="2">
        <v>5666694</v>
      </c>
      <c r="B291" s="2" t="s">
        <v>9</v>
      </c>
      <c r="C291" s="2" t="s">
        <v>661</v>
      </c>
      <c r="D291" s="3">
        <v>44927</v>
      </c>
      <c r="E291" s="3">
        <v>45291</v>
      </c>
      <c r="F291" s="4" t="s">
        <v>671</v>
      </c>
      <c r="G291" s="2" t="s">
        <v>672</v>
      </c>
      <c r="H291" s="2">
        <v>0</v>
      </c>
      <c r="I291" s="2" t="s">
        <v>13</v>
      </c>
    </row>
    <row r="292" spans="1:9" ht="15" customHeight="1" x14ac:dyDescent="0.3">
      <c r="A292" s="2">
        <v>5666695</v>
      </c>
      <c r="B292" s="2" t="s">
        <v>9</v>
      </c>
      <c r="C292" s="2" t="s">
        <v>661</v>
      </c>
      <c r="D292" s="3">
        <v>44927</v>
      </c>
      <c r="E292" s="3">
        <v>45291</v>
      </c>
      <c r="F292" s="4" t="s">
        <v>539</v>
      </c>
      <c r="G292" s="2" t="s">
        <v>540</v>
      </c>
      <c r="H292" s="2">
        <v>0</v>
      </c>
      <c r="I292" s="2" t="s">
        <v>13</v>
      </c>
    </row>
    <row r="293" spans="1:9" ht="15" customHeight="1" x14ac:dyDescent="0.3">
      <c r="A293" s="2">
        <v>5666696</v>
      </c>
      <c r="B293" s="2" t="s">
        <v>9</v>
      </c>
      <c r="C293" s="2" t="s">
        <v>661</v>
      </c>
      <c r="D293" s="3">
        <v>44927</v>
      </c>
      <c r="E293" s="3">
        <v>45291</v>
      </c>
      <c r="F293" s="4" t="s">
        <v>541</v>
      </c>
      <c r="G293" s="2" t="s">
        <v>542</v>
      </c>
      <c r="H293" s="2">
        <v>-11112432</v>
      </c>
      <c r="I293" s="2" t="s">
        <v>13</v>
      </c>
    </row>
    <row r="294" spans="1:9" ht="15" customHeight="1" x14ac:dyDescent="0.3">
      <c r="A294" s="2">
        <v>5666697</v>
      </c>
      <c r="B294" s="2" t="s">
        <v>9</v>
      </c>
      <c r="C294" s="2" t="s">
        <v>661</v>
      </c>
      <c r="D294" s="3">
        <v>44927</v>
      </c>
      <c r="E294" s="3">
        <v>45291</v>
      </c>
      <c r="F294" s="4" t="s">
        <v>543</v>
      </c>
      <c r="G294" s="2" t="s">
        <v>544</v>
      </c>
      <c r="H294" s="2">
        <v>0</v>
      </c>
      <c r="I294" s="2" t="s">
        <v>13</v>
      </c>
    </row>
    <row r="295" spans="1:9" ht="15" customHeight="1" x14ac:dyDescent="0.3">
      <c r="A295" s="2">
        <v>5666698</v>
      </c>
      <c r="B295" s="2" t="s">
        <v>9</v>
      </c>
      <c r="C295" s="2" t="s">
        <v>661</v>
      </c>
      <c r="D295" s="3">
        <v>44927</v>
      </c>
      <c r="E295" s="3">
        <v>45291</v>
      </c>
      <c r="F295" s="4" t="s">
        <v>545</v>
      </c>
      <c r="G295" s="2" t="s">
        <v>546</v>
      </c>
      <c r="H295" s="2">
        <v>-102205216</v>
      </c>
      <c r="I295" s="2" t="s">
        <v>13</v>
      </c>
    </row>
    <row r="296" spans="1:9" ht="15" customHeight="1" x14ac:dyDescent="0.3">
      <c r="A296" s="2">
        <v>5666699</v>
      </c>
      <c r="B296" s="2" t="s">
        <v>9</v>
      </c>
      <c r="C296" s="2" t="s">
        <v>661</v>
      </c>
      <c r="D296" s="3">
        <v>44927</v>
      </c>
      <c r="E296" s="3">
        <v>45291</v>
      </c>
      <c r="F296" s="4" t="s">
        <v>547</v>
      </c>
      <c r="G296" s="2" t="s">
        <v>673</v>
      </c>
      <c r="H296" s="2">
        <v>0</v>
      </c>
      <c r="I296" s="2" t="s">
        <v>13</v>
      </c>
    </row>
    <row r="297" spans="1:9" ht="15" customHeight="1" x14ac:dyDescent="0.3">
      <c r="A297" s="2">
        <v>5666700</v>
      </c>
      <c r="B297" s="2" t="s">
        <v>9</v>
      </c>
      <c r="C297" s="2" t="s">
        <v>661</v>
      </c>
      <c r="D297" s="3">
        <v>44927</v>
      </c>
      <c r="E297" s="3">
        <v>45291</v>
      </c>
      <c r="F297" s="4" t="s">
        <v>550</v>
      </c>
      <c r="G297" s="2" t="s">
        <v>551</v>
      </c>
      <c r="H297" s="2">
        <v>-85700508</v>
      </c>
      <c r="I297" s="2" t="s">
        <v>13</v>
      </c>
    </row>
    <row r="298" spans="1:9" ht="15" customHeight="1" x14ac:dyDescent="0.3">
      <c r="A298" s="2">
        <v>5666701</v>
      </c>
      <c r="B298" s="2" t="s">
        <v>9</v>
      </c>
      <c r="C298" s="2" t="s">
        <v>661</v>
      </c>
      <c r="D298" s="3">
        <v>44927</v>
      </c>
      <c r="E298" s="3">
        <v>45291</v>
      </c>
      <c r="F298" s="4" t="s">
        <v>552</v>
      </c>
      <c r="G298" s="2" t="s">
        <v>553</v>
      </c>
      <c r="H298" s="2">
        <v>160000000</v>
      </c>
      <c r="I298" s="2" t="s">
        <v>13</v>
      </c>
    </row>
    <row r="299" spans="1:9" ht="15" customHeight="1" x14ac:dyDescent="0.3">
      <c r="A299" s="2">
        <v>5666702</v>
      </c>
      <c r="B299" s="2" t="s">
        <v>9</v>
      </c>
      <c r="C299" s="2" t="s">
        <v>661</v>
      </c>
      <c r="D299" s="3">
        <v>44927</v>
      </c>
      <c r="E299" s="3">
        <v>45291</v>
      </c>
      <c r="F299" s="4" t="s">
        <v>554</v>
      </c>
      <c r="G299" s="2" t="s">
        <v>555</v>
      </c>
      <c r="H299" s="2">
        <v>-112500000</v>
      </c>
      <c r="I299" s="2" t="s">
        <v>13</v>
      </c>
    </row>
    <row r="300" spans="1:9" ht="15" customHeight="1" x14ac:dyDescent="0.3">
      <c r="A300" s="2">
        <v>5666703</v>
      </c>
      <c r="B300" s="2" t="s">
        <v>9</v>
      </c>
      <c r="C300" s="2" t="s">
        <v>661</v>
      </c>
      <c r="D300" s="3">
        <v>44927</v>
      </c>
      <c r="E300" s="3">
        <v>45291</v>
      </c>
      <c r="F300" s="4" t="s">
        <v>556</v>
      </c>
      <c r="G300" s="2" t="s">
        <v>674</v>
      </c>
      <c r="H300" s="2">
        <v>-5400349</v>
      </c>
      <c r="I300" s="2" t="s">
        <v>13</v>
      </c>
    </row>
    <row r="301" spans="1:9" ht="15" customHeight="1" x14ac:dyDescent="0.3">
      <c r="A301" s="2">
        <v>5666704</v>
      </c>
      <c r="B301" s="2" t="s">
        <v>9</v>
      </c>
      <c r="C301" s="2" t="s">
        <v>661</v>
      </c>
      <c r="D301" s="3">
        <v>44927</v>
      </c>
      <c r="E301" s="3">
        <v>45291</v>
      </c>
      <c r="F301" s="4" t="s">
        <v>558</v>
      </c>
      <c r="G301" s="2" t="s">
        <v>559</v>
      </c>
      <c r="H301" s="2">
        <v>-58604359</v>
      </c>
      <c r="I301" s="2" t="s">
        <v>13</v>
      </c>
    </row>
    <row r="302" spans="1:9" ht="15" customHeight="1" x14ac:dyDescent="0.3">
      <c r="A302" s="2">
        <v>5666705</v>
      </c>
      <c r="B302" s="2" t="s">
        <v>9</v>
      </c>
      <c r="C302" s="2" t="s">
        <v>661</v>
      </c>
      <c r="D302" s="3">
        <v>44927</v>
      </c>
      <c r="E302" s="3">
        <v>45291</v>
      </c>
      <c r="F302" s="4" t="s">
        <v>560</v>
      </c>
      <c r="G302" s="2" t="s">
        <v>675</v>
      </c>
      <c r="H302" s="2">
        <v>0</v>
      </c>
      <c r="I302" s="2" t="s">
        <v>13</v>
      </c>
    </row>
    <row r="303" spans="1:9" ht="15" customHeight="1" x14ac:dyDescent="0.3">
      <c r="A303" s="2">
        <v>5666706</v>
      </c>
      <c r="B303" s="2" t="s">
        <v>9</v>
      </c>
      <c r="C303" s="2" t="s">
        <v>661</v>
      </c>
      <c r="D303" s="3">
        <v>44927</v>
      </c>
      <c r="E303" s="3">
        <v>45291</v>
      </c>
      <c r="F303" s="4" t="s">
        <v>562</v>
      </c>
      <c r="G303" s="2" t="s">
        <v>563</v>
      </c>
      <c r="H303" s="2">
        <v>0</v>
      </c>
      <c r="I303" s="2" t="s">
        <v>13</v>
      </c>
    </row>
    <row r="304" spans="1:9" ht="15" customHeight="1" x14ac:dyDescent="0.3">
      <c r="A304" s="2">
        <v>5666707</v>
      </c>
      <c r="B304" s="2" t="s">
        <v>9</v>
      </c>
      <c r="C304" s="2" t="s">
        <v>661</v>
      </c>
      <c r="D304" s="3">
        <v>44927</v>
      </c>
      <c r="E304" s="3">
        <v>45291</v>
      </c>
      <c r="F304" s="4" t="s">
        <v>564</v>
      </c>
      <c r="G304" s="2" t="s">
        <v>542</v>
      </c>
      <c r="H304" s="2">
        <v>0</v>
      </c>
      <c r="I304" s="2" t="s">
        <v>13</v>
      </c>
    </row>
    <row r="305" spans="1:9" ht="15" customHeight="1" x14ac:dyDescent="0.3">
      <c r="A305" s="2">
        <v>5666708</v>
      </c>
      <c r="B305" s="2" t="s">
        <v>9</v>
      </c>
      <c r="C305" s="2" t="s">
        <v>661</v>
      </c>
      <c r="D305" s="3">
        <v>44927</v>
      </c>
      <c r="E305" s="3">
        <v>45291</v>
      </c>
      <c r="F305" s="4" t="s">
        <v>568</v>
      </c>
      <c r="G305" s="2" t="s">
        <v>569</v>
      </c>
      <c r="H305" s="2">
        <v>0</v>
      </c>
      <c r="I305" s="2" t="s">
        <v>13</v>
      </c>
    </row>
    <row r="306" spans="1:9" ht="15" customHeight="1" x14ac:dyDescent="0.3">
      <c r="A306" s="2">
        <v>5666709</v>
      </c>
      <c r="B306" s="2" t="s">
        <v>9</v>
      </c>
      <c r="C306" s="2" t="s">
        <v>661</v>
      </c>
      <c r="D306" s="3">
        <v>44927</v>
      </c>
      <c r="E306" s="3">
        <v>45291</v>
      </c>
      <c r="F306" s="4" t="s">
        <v>570</v>
      </c>
      <c r="G306" s="2" t="s">
        <v>571</v>
      </c>
      <c r="H306" s="2">
        <v>61459229</v>
      </c>
      <c r="I306" s="2" t="s">
        <v>13</v>
      </c>
    </row>
    <row r="307" spans="1:9" ht="15" customHeight="1" x14ac:dyDescent="0.3">
      <c r="A307" s="2">
        <v>5666710</v>
      </c>
      <c r="B307" s="2" t="s">
        <v>9</v>
      </c>
      <c r="C307" s="2" t="s">
        <v>661</v>
      </c>
      <c r="D307" s="3">
        <v>44927</v>
      </c>
      <c r="E307" s="3">
        <v>45291</v>
      </c>
      <c r="F307" s="4" t="s">
        <v>572</v>
      </c>
      <c r="G307" s="2" t="s">
        <v>573</v>
      </c>
      <c r="H307" s="2">
        <v>160035979</v>
      </c>
      <c r="I307" s="2" t="s">
        <v>13</v>
      </c>
    </row>
    <row r="308" spans="1:9" ht="15" customHeight="1" x14ac:dyDescent="0.3">
      <c r="A308" s="2">
        <v>5666711</v>
      </c>
      <c r="B308" s="2" t="s">
        <v>9</v>
      </c>
      <c r="C308" s="2" t="s">
        <v>661</v>
      </c>
      <c r="D308" s="3">
        <v>44927</v>
      </c>
      <c r="E308" s="3">
        <v>45291</v>
      </c>
      <c r="F308" s="4" t="s">
        <v>574</v>
      </c>
      <c r="G308" s="2" t="s">
        <v>575</v>
      </c>
      <c r="H308" s="2">
        <v>221495208</v>
      </c>
      <c r="I308" s="2" t="s">
        <v>13</v>
      </c>
    </row>
    <row r="309" spans="1:9" ht="15" customHeight="1" x14ac:dyDescent="0.3">
      <c r="A309" s="2">
        <v>5666712</v>
      </c>
      <c r="B309" s="2" t="s">
        <v>9</v>
      </c>
      <c r="C309" s="2" t="s">
        <v>661</v>
      </c>
      <c r="D309" s="3">
        <v>44927</v>
      </c>
      <c r="E309" s="3">
        <v>45291</v>
      </c>
      <c r="F309" s="4" t="s">
        <v>576</v>
      </c>
      <c r="G309" s="2" t="s">
        <v>577</v>
      </c>
      <c r="H309" s="2">
        <v>2890858303</v>
      </c>
      <c r="I309" s="2" t="s">
        <v>13</v>
      </c>
    </row>
    <row r="310" spans="1:9" ht="15" customHeight="1" x14ac:dyDescent="0.3">
      <c r="A310" s="2">
        <v>5666713</v>
      </c>
      <c r="B310" s="2" t="s">
        <v>9</v>
      </c>
      <c r="C310" s="2" t="s">
        <v>661</v>
      </c>
      <c r="D310" s="3">
        <v>44927</v>
      </c>
      <c r="E310" s="3">
        <v>45291</v>
      </c>
      <c r="F310" s="4" t="s">
        <v>578</v>
      </c>
      <c r="G310" s="2" t="s">
        <v>579</v>
      </c>
      <c r="H310" s="2">
        <v>2788016049</v>
      </c>
      <c r="I310" s="2" t="s">
        <v>13</v>
      </c>
    </row>
    <row r="311" spans="1:9" ht="15" customHeight="1" x14ac:dyDescent="0.3">
      <c r="A311" s="2">
        <v>5666714</v>
      </c>
      <c r="B311" s="2" t="s">
        <v>9</v>
      </c>
      <c r="C311" s="2" t="s">
        <v>661</v>
      </c>
      <c r="D311" s="3">
        <v>44927</v>
      </c>
      <c r="E311" s="3">
        <v>45291</v>
      </c>
      <c r="F311" s="4" t="s">
        <v>580</v>
      </c>
      <c r="G311" s="2" t="s">
        <v>581</v>
      </c>
      <c r="H311" s="2">
        <v>21321183</v>
      </c>
      <c r="I311" s="2" t="s">
        <v>13</v>
      </c>
    </row>
    <row r="312" spans="1:9" ht="15" customHeight="1" x14ac:dyDescent="0.3">
      <c r="A312" s="2">
        <v>5666715</v>
      </c>
      <c r="B312" s="2" t="s">
        <v>9</v>
      </c>
      <c r="C312" s="2" t="s">
        <v>661</v>
      </c>
      <c r="D312" s="3">
        <v>44927</v>
      </c>
      <c r="E312" s="3">
        <v>45291</v>
      </c>
      <c r="F312" s="4" t="s">
        <v>582</v>
      </c>
      <c r="G312" s="2" t="s">
        <v>581</v>
      </c>
      <c r="H312" s="2">
        <v>20756229</v>
      </c>
      <c r="I312" s="2" t="s">
        <v>13</v>
      </c>
    </row>
    <row r="313" spans="1:9" ht="15" customHeight="1" x14ac:dyDescent="0.3">
      <c r="A313" s="2">
        <v>5666716</v>
      </c>
      <c r="B313" s="2" t="s">
        <v>9</v>
      </c>
      <c r="C313" s="2" t="s">
        <v>661</v>
      </c>
      <c r="D313" s="3">
        <v>44927</v>
      </c>
      <c r="E313" s="3">
        <v>45291</v>
      </c>
      <c r="F313" s="4" t="s">
        <v>584</v>
      </c>
      <c r="G313" s="2" t="s">
        <v>585</v>
      </c>
      <c r="H313" s="2">
        <v>564954</v>
      </c>
      <c r="I313" s="2" t="s">
        <v>13</v>
      </c>
    </row>
    <row r="314" spans="1:9" ht="15" customHeight="1" x14ac:dyDescent="0.3">
      <c r="A314" s="2">
        <v>5666717</v>
      </c>
      <c r="B314" s="2" t="s">
        <v>9</v>
      </c>
      <c r="C314" s="2" t="s">
        <v>661</v>
      </c>
      <c r="D314" s="3">
        <v>44927</v>
      </c>
      <c r="E314" s="3">
        <v>45291</v>
      </c>
      <c r="F314" s="4" t="s">
        <v>586</v>
      </c>
      <c r="G314" s="2" t="s">
        <v>587</v>
      </c>
      <c r="H314" s="2">
        <v>81521071</v>
      </c>
      <c r="I314" s="2" t="s">
        <v>13</v>
      </c>
    </row>
    <row r="315" spans="1:9" ht="15" customHeight="1" x14ac:dyDescent="0.3">
      <c r="A315" s="2">
        <v>5666718</v>
      </c>
      <c r="B315" s="2" t="s">
        <v>9</v>
      </c>
      <c r="C315" s="2" t="s">
        <v>661</v>
      </c>
      <c r="D315" s="3">
        <v>44927</v>
      </c>
      <c r="E315" s="3">
        <v>45291</v>
      </c>
      <c r="F315" s="4" t="s">
        <v>588</v>
      </c>
      <c r="G315" s="2" t="s">
        <v>589</v>
      </c>
      <c r="H315" s="2">
        <v>0</v>
      </c>
      <c r="I315" s="2" t="s">
        <v>13</v>
      </c>
    </row>
    <row r="316" spans="1:9" ht="15" customHeight="1" x14ac:dyDescent="0.3">
      <c r="A316" s="2">
        <v>5666719</v>
      </c>
      <c r="B316" s="2" t="s">
        <v>9</v>
      </c>
      <c r="C316" s="2" t="s">
        <v>661</v>
      </c>
      <c r="D316" s="3">
        <v>44927</v>
      </c>
      <c r="E316" s="3">
        <v>45291</v>
      </c>
      <c r="F316" s="4" t="s">
        <v>590</v>
      </c>
      <c r="G316" s="2" t="s">
        <v>591</v>
      </c>
      <c r="H316" s="2">
        <v>-1129822103</v>
      </c>
      <c r="I316" s="2" t="s">
        <v>13</v>
      </c>
    </row>
    <row r="317" spans="1:9" ht="15" customHeight="1" x14ac:dyDescent="0.3">
      <c r="A317" s="2">
        <v>5666720</v>
      </c>
      <c r="B317" s="2" t="s">
        <v>9</v>
      </c>
      <c r="C317" s="2" t="s">
        <v>661</v>
      </c>
      <c r="D317" s="3">
        <v>44927</v>
      </c>
      <c r="E317" s="3">
        <v>45291</v>
      </c>
      <c r="F317" s="4" t="s">
        <v>592</v>
      </c>
      <c r="G317" s="2" t="s">
        <v>593</v>
      </c>
      <c r="H317" s="2">
        <v>-593363695</v>
      </c>
      <c r="I317" s="2" t="s">
        <v>13</v>
      </c>
    </row>
    <row r="318" spans="1:9" ht="15" customHeight="1" x14ac:dyDescent="0.3">
      <c r="A318" s="2">
        <v>5666721</v>
      </c>
      <c r="B318" s="2" t="s">
        <v>9</v>
      </c>
      <c r="C318" s="2" t="s">
        <v>661</v>
      </c>
      <c r="D318" s="3">
        <v>44927</v>
      </c>
      <c r="E318" s="3">
        <v>45291</v>
      </c>
      <c r="F318" s="4" t="s">
        <v>594</v>
      </c>
      <c r="G318" s="2" t="s">
        <v>595</v>
      </c>
      <c r="H318" s="2">
        <v>-456933594</v>
      </c>
      <c r="I318" s="2" t="s">
        <v>13</v>
      </c>
    </row>
    <row r="319" spans="1:9" ht="15" customHeight="1" x14ac:dyDescent="0.3">
      <c r="A319" s="2">
        <v>5666722</v>
      </c>
      <c r="B319" s="2" t="s">
        <v>9</v>
      </c>
      <c r="C319" s="2" t="s">
        <v>661</v>
      </c>
      <c r="D319" s="3">
        <v>44927</v>
      </c>
      <c r="E319" s="3">
        <v>45291</v>
      </c>
      <c r="F319" s="4" t="s">
        <v>596</v>
      </c>
      <c r="G319" s="2" t="s">
        <v>597</v>
      </c>
      <c r="H319" s="2">
        <v>0</v>
      </c>
      <c r="I319" s="2" t="s">
        <v>13</v>
      </c>
    </row>
    <row r="320" spans="1:9" ht="15" customHeight="1" x14ac:dyDescent="0.3">
      <c r="A320" s="2">
        <v>5666723</v>
      </c>
      <c r="B320" s="2" t="s">
        <v>9</v>
      </c>
      <c r="C320" s="2" t="s">
        <v>661</v>
      </c>
      <c r="D320" s="3">
        <v>44927</v>
      </c>
      <c r="E320" s="3">
        <v>45291</v>
      </c>
      <c r="F320" s="4" t="s">
        <v>598</v>
      </c>
      <c r="G320" s="2" t="s">
        <v>70</v>
      </c>
      <c r="H320" s="2">
        <v>-79524814</v>
      </c>
      <c r="I320" s="2" t="s">
        <v>13</v>
      </c>
    </row>
    <row r="321" spans="1:9" ht="15" customHeight="1" x14ac:dyDescent="0.3">
      <c r="A321" s="2">
        <v>5666724</v>
      </c>
      <c r="B321" s="2" t="s">
        <v>9</v>
      </c>
      <c r="C321" s="2" t="s">
        <v>661</v>
      </c>
      <c r="D321" s="3">
        <v>44927</v>
      </c>
      <c r="E321" s="3">
        <v>45291</v>
      </c>
      <c r="F321" s="4" t="s">
        <v>601</v>
      </c>
      <c r="G321" s="2" t="s">
        <v>602</v>
      </c>
      <c r="H321" s="2">
        <v>1761036200</v>
      </c>
      <c r="I321" s="2" t="s">
        <v>13</v>
      </c>
    </row>
    <row r="322" spans="1:9" ht="15" customHeight="1" x14ac:dyDescent="0.3">
      <c r="A322" s="2">
        <v>5666725</v>
      </c>
      <c r="B322" s="2" t="s">
        <v>9</v>
      </c>
      <c r="C322" s="2" t="s">
        <v>661</v>
      </c>
      <c r="D322" s="3">
        <v>44927</v>
      </c>
      <c r="E322" s="3">
        <v>45291</v>
      </c>
      <c r="F322" s="4" t="s">
        <v>603</v>
      </c>
      <c r="G322" s="2" t="s">
        <v>604</v>
      </c>
      <c r="H322" s="2">
        <v>-134084922</v>
      </c>
      <c r="I322" s="2" t="s">
        <v>13</v>
      </c>
    </row>
    <row r="323" spans="1:9" ht="15" customHeight="1" x14ac:dyDescent="0.3">
      <c r="A323" s="2">
        <v>5666726</v>
      </c>
      <c r="B323" s="2" t="s">
        <v>9</v>
      </c>
      <c r="C323" s="2" t="s">
        <v>661</v>
      </c>
      <c r="D323" s="3">
        <v>44927</v>
      </c>
      <c r="E323" s="3">
        <v>45291</v>
      </c>
      <c r="F323" s="4" t="s">
        <v>605</v>
      </c>
      <c r="G323" s="2" t="s">
        <v>606</v>
      </c>
      <c r="H323" s="2">
        <v>-134084922</v>
      </c>
      <c r="I323" s="2" t="s">
        <v>13</v>
      </c>
    </row>
    <row r="324" spans="1:9" ht="15" customHeight="1" x14ac:dyDescent="0.3">
      <c r="A324" s="2">
        <v>5666727</v>
      </c>
      <c r="B324" s="2" t="s">
        <v>9</v>
      </c>
      <c r="C324" s="2" t="s">
        <v>661</v>
      </c>
      <c r="D324" s="3">
        <v>44927</v>
      </c>
      <c r="E324" s="3">
        <v>45291</v>
      </c>
      <c r="F324" s="4" t="s">
        <v>607</v>
      </c>
      <c r="G324" s="2" t="s">
        <v>608</v>
      </c>
      <c r="H324" s="2">
        <v>0</v>
      </c>
      <c r="I324" s="2" t="s">
        <v>13</v>
      </c>
    </row>
    <row r="325" spans="1:9" ht="15" customHeight="1" x14ac:dyDescent="0.3">
      <c r="A325" s="2">
        <v>5666728</v>
      </c>
      <c r="B325" s="2" t="s">
        <v>9</v>
      </c>
      <c r="C325" s="2" t="s">
        <v>661</v>
      </c>
      <c r="D325" s="3">
        <v>44927</v>
      </c>
      <c r="E325" s="3">
        <v>45291</v>
      </c>
      <c r="F325" s="4" t="s">
        <v>609</v>
      </c>
      <c r="G325" s="2" t="s">
        <v>610</v>
      </c>
      <c r="H325" s="2">
        <v>1626951278</v>
      </c>
      <c r="I325" s="2" t="s">
        <v>13</v>
      </c>
    </row>
    <row r="326" spans="1:9" ht="15" customHeight="1" x14ac:dyDescent="0.3">
      <c r="A326" s="2">
        <v>5666729</v>
      </c>
      <c r="B326" s="2" t="s">
        <v>9</v>
      </c>
      <c r="C326" s="2" t="s">
        <v>661</v>
      </c>
      <c r="D326" s="3">
        <v>44927</v>
      </c>
      <c r="E326" s="3">
        <v>45291</v>
      </c>
      <c r="F326" s="4" t="s">
        <v>611</v>
      </c>
      <c r="G326" s="2" t="s">
        <v>612</v>
      </c>
      <c r="H326" s="2">
        <v>40760860</v>
      </c>
      <c r="I326" s="2" t="s">
        <v>13</v>
      </c>
    </row>
    <row r="327" spans="1:9" ht="15" customHeight="1" x14ac:dyDescent="0.3">
      <c r="A327" s="2">
        <v>5666730</v>
      </c>
      <c r="B327" s="2" t="s">
        <v>9</v>
      </c>
      <c r="C327" s="2" t="s">
        <v>661</v>
      </c>
      <c r="D327" s="3">
        <v>44927</v>
      </c>
      <c r="E327" s="3">
        <v>45291</v>
      </c>
      <c r="F327" s="4" t="s">
        <v>613</v>
      </c>
      <c r="G327" s="2" t="s">
        <v>405</v>
      </c>
      <c r="H327" s="2">
        <v>0</v>
      </c>
      <c r="I327" s="2" t="s">
        <v>13</v>
      </c>
    </row>
    <row r="328" spans="1:9" ht="15" customHeight="1" x14ac:dyDescent="0.3">
      <c r="A328" s="2">
        <v>5666731</v>
      </c>
      <c r="B328" s="2" t="s">
        <v>9</v>
      </c>
      <c r="C328" s="2" t="s">
        <v>661</v>
      </c>
      <c r="D328" s="3">
        <v>44927</v>
      </c>
      <c r="E328" s="3">
        <v>45291</v>
      </c>
      <c r="F328" s="4" t="s">
        <v>614</v>
      </c>
      <c r="G328" s="2" t="s">
        <v>413</v>
      </c>
      <c r="H328" s="2">
        <v>40760860</v>
      </c>
      <c r="I328" s="2" t="s">
        <v>13</v>
      </c>
    </row>
    <row r="329" spans="1:9" ht="15" customHeight="1" x14ac:dyDescent="0.3">
      <c r="A329" s="2">
        <v>5666732</v>
      </c>
      <c r="B329" s="2" t="s">
        <v>9</v>
      </c>
      <c r="C329" s="2" t="s">
        <v>661</v>
      </c>
      <c r="D329" s="3">
        <v>44927</v>
      </c>
      <c r="E329" s="3">
        <v>45291</v>
      </c>
      <c r="F329" s="4" t="s">
        <v>615</v>
      </c>
      <c r="G329" s="2" t="s">
        <v>70</v>
      </c>
      <c r="H329" s="2">
        <v>0</v>
      </c>
      <c r="I329" s="2" t="s">
        <v>13</v>
      </c>
    </row>
    <row r="330" spans="1:9" ht="15" customHeight="1" x14ac:dyDescent="0.3">
      <c r="A330" s="2">
        <v>5666733</v>
      </c>
      <c r="B330" s="2" t="s">
        <v>9</v>
      </c>
      <c r="C330" s="2" t="s">
        <v>661</v>
      </c>
      <c r="D330" s="3">
        <v>44927</v>
      </c>
      <c r="E330" s="3">
        <v>45291</v>
      </c>
      <c r="F330" s="4" t="s">
        <v>616</v>
      </c>
      <c r="G330" s="2" t="s">
        <v>617</v>
      </c>
      <c r="H330" s="2">
        <v>0</v>
      </c>
      <c r="I330" s="2" t="s">
        <v>13</v>
      </c>
    </row>
    <row r="331" spans="1:9" ht="15" customHeight="1" x14ac:dyDescent="0.3">
      <c r="A331" s="2">
        <v>5666734</v>
      </c>
      <c r="B331" s="2" t="s">
        <v>9</v>
      </c>
      <c r="C331" s="2" t="s">
        <v>661</v>
      </c>
      <c r="D331" s="3">
        <v>44927</v>
      </c>
      <c r="E331" s="3">
        <v>45291</v>
      </c>
      <c r="F331" s="4" t="s">
        <v>676</v>
      </c>
      <c r="G331" s="2" t="s">
        <v>583</v>
      </c>
      <c r="H331" s="2">
        <v>0</v>
      </c>
      <c r="I331" s="2" t="s">
        <v>13</v>
      </c>
    </row>
    <row r="332" spans="1:9" ht="15" customHeight="1" x14ac:dyDescent="0.3">
      <c r="A332" s="2">
        <v>5666735</v>
      </c>
      <c r="B332" s="2" t="s">
        <v>9</v>
      </c>
      <c r="C332" s="2" t="s">
        <v>661</v>
      </c>
      <c r="D332" s="3">
        <v>44927</v>
      </c>
      <c r="E332" s="3">
        <v>45291</v>
      </c>
      <c r="F332" s="4" t="s">
        <v>618</v>
      </c>
      <c r="G332" s="2" t="s">
        <v>619</v>
      </c>
      <c r="H332" s="2">
        <v>1667712138</v>
      </c>
      <c r="I332" s="2" t="s">
        <v>13</v>
      </c>
    </row>
    <row r="333" spans="1:9" ht="15" customHeight="1" x14ac:dyDescent="0.3">
      <c r="A333" s="2">
        <v>5666736</v>
      </c>
      <c r="B333" s="2" t="s">
        <v>9</v>
      </c>
      <c r="C333" s="2" t="s">
        <v>661</v>
      </c>
      <c r="D333" s="3">
        <v>44927</v>
      </c>
      <c r="E333" s="3">
        <v>45291</v>
      </c>
      <c r="F333" s="4" t="s">
        <v>620</v>
      </c>
      <c r="G333" s="2" t="s">
        <v>621</v>
      </c>
      <c r="H333" s="2">
        <v>1667712138</v>
      </c>
      <c r="I333" s="2" t="s">
        <v>13</v>
      </c>
    </row>
    <row r="334" spans="1:9" ht="15" customHeight="1" x14ac:dyDescent="0.3">
      <c r="A334" s="2">
        <v>5666737</v>
      </c>
      <c r="B334" s="2" t="s">
        <v>9</v>
      </c>
      <c r="C334" s="2" t="s">
        <v>661</v>
      </c>
      <c r="D334" s="3">
        <v>44927</v>
      </c>
      <c r="E334" s="3">
        <v>45291</v>
      </c>
      <c r="F334" s="4" t="s">
        <v>622</v>
      </c>
      <c r="G334" s="2" t="s">
        <v>623</v>
      </c>
      <c r="H334" s="2">
        <v>469529264</v>
      </c>
      <c r="I334" s="2" t="s">
        <v>13</v>
      </c>
    </row>
    <row r="335" spans="1:9" ht="15" customHeight="1" x14ac:dyDescent="0.3">
      <c r="A335" s="2">
        <v>5666738</v>
      </c>
      <c r="B335" s="2" t="s">
        <v>9</v>
      </c>
      <c r="C335" s="2" t="s">
        <v>661</v>
      </c>
      <c r="D335" s="3">
        <v>44927</v>
      </c>
      <c r="E335" s="3">
        <v>45291</v>
      </c>
      <c r="F335" s="4" t="s">
        <v>624</v>
      </c>
      <c r="G335" s="2" t="s">
        <v>625</v>
      </c>
      <c r="H335" s="2">
        <v>374464152</v>
      </c>
      <c r="I335" s="2" t="s">
        <v>13</v>
      </c>
    </row>
    <row r="336" spans="1:9" ht="15" customHeight="1" x14ac:dyDescent="0.3">
      <c r="A336" s="2">
        <v>5666739</v>
      </c>
      <c r="B336" s="2" t="s">
        <v>9</v>
      </c>
      <c r="C336" s="2" t="s">
        <v>661</v>
      </c>
      <c r="D336" s="3">
        <v>44927</v>
      </c>
      <c r="E336" s="3">
        <v>45291</v>
      </c>
      <c r="F336" s="4" t="s">
        <v>626</v>
      </c>
      <c r="G336" s="2" t="s">
        <v>627</v>
      </c>
      <c r="H336" s="2">
        <v>65529876</v>
      </c>
      <c r="I336" s="2" t="s">
        <v>13</v>
      </c>
    </row>
    <row r="337" spans="1:9" ht="15" customHeight="1" x14ac:dyDescent="0.3">
      <c r="A337" s="2">
        <v>5666740</v>
      </c>
      <c r="B337" s="2" t="s">
        <v>9</v>
      </c>
      <c r="C337" s="2" t="s">
        <v>661</v>
      </c>
      <c r="D337" s="3">
        <v>44927</v>
      </c>
      <c r="E337" s="3">
        <v>45291</v>
      </c>
      <c r="F337" s="4" t="s">
        <v>628</v>
      </c>
      <c r="G337" s="2" t="s">
        <v>629</v>
      </c>
      <c r="H337" s="2">
        <v>29535236</v>
      </c>
      <c r="I337" s="2" t="s">
        <v>13</v>
      </c>
    </row>
    <row r="338" spans="1:9" ht="15" customHeight="1" x14ac:dyDescent="0.3">
      <c r="A338" s="2">
        <v>5666741</v>
      </c>
      <c r="B338" s="2" t="s">
        <v>9</v>
      </c>
      <c r="C338" s="2" t="s">
        <v>661</v>
      </c>
      <c r="D338" s="3">
        <v>44927</v>
      </c>
      <c r="E338" s="3">
        <v>45291</v>
      </c>
      <c r="F338" s="4" t="s">
        <v>630</v>
      </c>
      <c r="G338" s="2" t="s">
        <v>70</v>
      </c>
      <c r="H338" s="2">
        <v>0</v>
      </c>
      <c r="I338" s="2" t="s">
        <v>13</v>
      </c>
    </row>
    <row r="339" spans="1:9" ht="15" customHeight="1" x14ac:dyDescent="0.3">
      <c r="A339" s="2">
        <v>5666742</v>
      </c>
      <c r="B339" s="2" t="s">
        <v>9</v>
      </c>
      <c r="C339" s="2" t="s">
        <v>661</v>
      </c>
      <c r="D339" s="3">
        <v>44927</v>
      </c>
      <c r="E339" s="3">
        <v>45291</v>
      </c>
      <c r="F339" s="4" t="s">
        <v>631</v>
      </c>
      <c r="G339" s="2" t="s">
        <v>632</v>
      </c>
      <c r="H339" s="2">
        <v>720229035</v>
      </c>
      <c r="I339" s="2" t="s">
        <v>13</v>
      </c>
    </row>
    <row r="340" spans="1:9" ht="15" customHeight="1" x14ac:dyDescent="0.3">
      <c r="A340" s="2">
        <v>5666743</v>
      </c>
      <c r="B340" s="2" t="s">
        <v>9</v>
      </c>
      <c r="C340" s="2" t="s">
        <v>661</v>
      </c>
      <c r="D340" s="3">
        <v>44927</v>
      </c>
      <c r="E340" s="3">
        <v>45291</v>
      </c>
      <c r="F340" s="4" t="s">
        <v>633</v>
      </c>
      <c r="G340" s="2" t="s">
        <v>634</v>
      </c>
      <c r="H340" s="2">
        <v>331660690</v>
      </c>
      <c r="I340" s="2" t="s">
        <v>13</v>
      </c>
    </row>
    <row r="341" spans="1:9" ht="15" customHeight="1" x14ac:dyDescent="0.3">
      <c r="A341" s="2">
        <v>5666744</v>
      </c>
      <c r="B341" s="2" t="s">
        <v>9</v>
      </c>
      <c r="C341" s="2" t="s">
        <v>661</v>
      </c>
      <c r="D341" s="3">
        <v>44927</v>
      </c>
      <c r="E341" s="3">
        <v>45291</v>
      </c>
      <c r="F341" s="4" t="s">
        <v>635</v>
      </c>
      <c r="G341" s="2" t="s">
        <v>636</v>
      </c>
      <c r="H341" s="2">
        <v>383947283</v>
      </c>
      <c r="I341" s="2" t="s">
        <v>13</v>
      </c>
    </row>
    <row r="342" spans="1:9" ht="15" customHeight="1" x14ac:dyDescent="0.3">
      <c r="A342" s="2">
        <v>5666745</v>
      </c>
      <c r="B342" s="2" t="s">
        <v>9</v>
      </c>
      <c r="C342" s="2" t="s">
        <v>661</v>
      </c>
      <c r="D342" s="3">
        <v>44927</v>
      </c>
      <c r="E342" s="3">
        <v>45291</v>
      </c>
      <c r="F342" s="4" t="s">
        <v>637</v>
      </c>
      <c r="G342" s="2" t="s">
        <v>638</v>
      </c>
      <c r="H342" s="2">
        <v>4621062</v>
      </c>
      <c r="I342" s="2" t="s">
        <v>13</v>
      </c>
    </row>
    <row r="343" spans="1:9" ht="15" customHeight="1" x14ac:dyDescent="0.3">
      <c r="A343" s="2">
        <v>5666746</v>
      </c>
      <c r="B343" s="2" t="s">
        <v>9</v>
      </c>
      <c r="C343" s="2" t="s">
        <v>661</v>
      </c>
      <c r="D343" s="3">
        <v>44927</v>
      </c>
      <c r="E343" s="3">
        <v>45291</v>
      </c>
      <c r="F343" s="4" t="s">
        <v>639</v>
      </c>
      <c r="G343" s="2" t="s">
        <v>640</v>
      </c>
      <c r="H343" s="2">
        <v>108709286</v>
      </c>
      <c r="I343" s="2" t="s">
        <v>13</v>
      </c>
    </row>
    <row r="344" spans="1:9" ht="15" customHeight="1" x14ac:dyDescent="0.3">
      <c r="A344" s="2">
        <v>5666747</v>
      </c>
      <c r="B344" s="2" t="s">
        <v>9</v>
      </c>
      <c r="C344" s="2" t="s">
        <v>661</v>
      </c>
      <c r="D344" s="3">
        <v>44927</v>
      </c>
      <c r="E344" s="3">
        <v>45291</v>
      </c>
      <c r="F344" s="4" t="s">
        <v>641</v>
      </c>
      <c r="G344" s="2" t="s">
        <v>642</v>
      </c>
      <c r="H344" s="2">
        <v>88412030</v>
      </c>
      <c r="I344" s="2" t="s">
        <v>13</v>
      </c>
    </row>
    <row r="345" spans="1:9" ht="15" customHeight="1" x14ac:dyDescent="0.3">
      <c r="A345" s="2">
        <v>5666748</v>
      </c>
      <c r="B345" s="2" t="s">
        <v>9</v>
      </c>
      <c r="C345" s="2" t="s">
        <v>661</v>
      </c>
      <c r="D345" s="3">
        <v>44927</v>
      </c>
      <c r="E345" s="3">
        <v>45291</v>
      </c>
      <c r="F345" s="4" t="s">
        <v>643</v>
      </c>
      <c r="G345" s="2" t="s">
        <v>644</v>
      </c>
      <c r="H345" s="2">
        <v>17877247</v>
      </c>
      <c r="I345" s="2" t="s">
        <v>13</v>
      </c>
    </row>
    <row r="346" spans="1:9" ht="15" customHeight="1" x14ac:dyDescent="0.3">
      <c r="A346" s="2">
        <v>5666749</v>
      </c>
      <c r="B346" s="2" t="s">
        <v>9</v>
      </c>
      <c r="C346" s="2" t="s">
        <v>661</v>
      </c>
      <c r="D346" s="3">
        <v>44927</v>
      </c>
      <c r="E346" s="3">
        <v>45291</v>
      </c>
      <c r="F346" s="4" t="s">
        <v>645</v>
      </c>
      <c r="G346" s="2" t="s">
        <v>608</v>
      </c>
      <c r="H346" s="2">
        <v>2420009</v>
      </c>
      <c r="I346" s="2" t="s">
        <v>13</v>
      </c>
    </row>
    <row r="347" spans="1:9" ht="15" customHeight="1" x14ac:dyDescent="0.3">
      <c r="A347" s="2">
        <v>5666750</v>
      </c>
      <c r="B347" s="2" t="s">
        <v>9</v>
      </c>
      <c r="C347" s="2" t="s">
        <v>661</v>
      </c>
      <c r="D347" s="3">
        <v>44927</v>
      </c>
      <c r="E347" s="3">
        <v>45291</v>
      </c>
      <c r="F347" s="4" t="s">
        <v>646</v>
      </c>
      <c r="G347" s="2" t="s">
        <v>647</v>
      </c>
      <c r="H347" s="2">
        <v>2420009</v>
      </c>
      <c r="I347" s="2" t="s">
        <v>13</v>
      </c>
    </row>
    <row r="348" spans="1:9" ht="15" customHeight="1" x14ac:dyDescent="0.3">
      <c r="A348" s="2">
        <v>5666751</v>
      </c>
      <c r="B348" s="2" t="s">
        <v>9</v>
      </c>
      <c r="C348" s="2" t="s">
        <v>661</v>
      </c>
      <c r="D348" s="3">
        <v>44927</v>
      </c>
      <c r="E348" s="3">
        <v>45291</v>
      </c>
      <c r="F348" s="4" t="s">
        <v>648</v>
      </c>
      <c r="G348" s="2" t="s">
        <v>649</v>
      </c>
      <c r="H348" s="2">
        <v>369244553</v>
      </c>
      <c r="I348" s="2" t="s">
        <v>13</v>
      </c>
    </row>
    <row r="349" spans="1:9" ht="15" customHeight="1" x14ac:dyDescent="0.3">
      <c r="A349" s="2">
        <v>5666752</v>
      </c>
      <c r="B349" s="2" t="s">
        <v>9</v>
      </c>
      <c r="C349" s="2" t="s">
        <v>661</v>
      </c>
      <c r="D349" s="3">
        <v>44927</v>
      </c>
      <c r="E349" s="3">
        <v>45291</v>
      </c>
      <c r="F349" s="4" t="s">
        <v>650</v>
      </c>
      <c r="G349" s="2" t="s">
        <v>651</v>
      </c>
      <c r="H349" s="2">
        <v>0</v>
      </c>
      <c r="I349" s="2" t="s">
        <v>13</v>
      </c>
    </row>
    <row r="350" spans="1:9" ht="15" customHeight="1" x14ac:dyDescent="0.3">
      <c r="A350" s="2">
        <v>5666753</v>
      </c>
      <c r="B350" s="2" t="s">
        <v>9</v>
      </c>
      <c r="C350" s="2" t="s">
        <v>661</v>
      </c>
      <c r="D350" s="3">
        <v>44927</v>
      </c>
      <c r="E350" s="3">
        <v>45291</v>
      </c>
      <c r="F350" s="4" t="s">
        <v>652</v>
      </c>
      <c r="G350" s="2" t="s">
        <v>653</v>
      </c>
      <c r="H350" s="2">
        <v>87695581</v>
      </c>
      <c r="I350" s="2" t="s">
        <v>13</v>
      </c>
    </row>
    <row r="351" spans="1:9" ht="15" customHeight="1" x14ac:dyDescent="0.3">
      <c r="A351" s="2">
        <v>5666754</v>
      </c>
      <c r="B351" s="2" t="s">
        <v>9</v>
      </c>
      <c r="C351" s="2" t="s">
        <v>661</v>
      </c>
      <c r="D351" s="3">
        <v>44927</v>
      </c>
      <c r="E351" s="3">
        <v>45291</v>
      </c>
      <c r="F351" s="4" t="s">
        <v>654</v>
      </c>
      <c r="G351" s="2" t="s">
        <v>655</v>
      </c>
      <c r="H351" s="2">
        <v>281548972</v>
      </c>
      <c r="I351" s="2" t="s">
        <v>13</v>
      </c>
    </row>
    <row r="352" spans="1:9" ht="15" customHeight="1" x14ac:dyDescent="0.3">
      <c r="A352" s="2">
        <v>5666755</v>
      </c>
      <c r="B352" s="2" t="s">
        <v>9</v>
      </c>
      <c r="C352" s="2" t="s">
        <v>661</v>
      </c>
      <c r="D352" s="3">
        <v>44927</v>
      </c>
      <c r="E352" s="3">
        <v>45291</v>
      </c>
      <c r="F352" s="4" t="s">
        <v>656</v>
      </c>
      <c r="G352" s="2" t="s">
        <v>657</v>
      </c>
      <c r="H352" s="2">
        <v>0</v>
      </c>
      <c r="I352" s="2" t="s">
        <v>13</v>
      </c>
    </row>
    <row r="353" spans="1:9" ht="15" customHeight="1" x14ac:dyDescent="0.3">
      <c r="A353" s="2">
        <v>5666756</v>
      </c>
      <c r="B353" s="2" t="s">
        <v>9</v>
      </c>
      <c r="C353" s="2" t="s">
        <v>661</v>
      </c>
      <c r="D353" s="3">
        <v>44927</v>
      </c>
      <c r="E353" s="3">
        <v>45291</v>
      </c>
      <c r="F353" s="4" t="s">
        <v>658</v>
      </c>
      <c r="G353" s="2" t="s">
        <v>70</v>
      </c>
      <c r="H353" s="2">
        <v>0</v>
      </c>
      <c r="I353" s="2" t="s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86A35-3D65-4A04-8DCE-1544B9824558}">
  <dimension ref="B1:I84"/>
  <sheetViews>
    <sheetView tabSelected="1" zoomScale="69" workbookViewId="0">
      <selection activeCell="H44" sqref="H44"/>
    </sheetView>
  </sheetViews>
  <sheetFormatPr defaultRowHeight="14.4" x14ac:dyDescent="0.3"/>
  <cols>
    <col min="2" max="2" width="44.109375" bestFit="1" customWidth="1"/>
    <col min="3" max="3" width="13.88671875" style="52" bestFit="1" customWidth="1"/>
    <col min="4" max="4" width="73.88671875" customWidth="1"/>
    <col min="6" max="6" width="19.33203125" customWidth="1"/>
    <col min="7" max="7" width="19.33203125" hidden="1" customWidth="1"/>
    <col min="8" max="8" width="19.33203125" bestFit="1" customWidth="1"/>
    <col min="9" max="9" width="0.33203125" customWidth="1"/>
  </cols>
  <sheetData>
    <row r="1" spans="2:8" ht="15" thickBot="1" x14ac:dyDescent="0.35"/>
    <row r="2" spans="2:8" ht="15" thickBot="1" x14ac:dyDescent="0.35">
      <c r="B2" s="47" t="s">
        <v>677</v>
      </c>
      <c r="C2" s="47" t="s">
        <v>678</v>
      </c>
      <c r="D2" s="47" t="s">
        <v>679</v>
      </c>
      <c r="F2" s="47">
        <v>2025</v>
      </c>
      <c r="G2" s="47"/>
      <c r="H2" s="47">
        <v>2024</v>
      </c>
    </row>
    <row r="3" spans="2:8" ht="15" thickBot="1" x14ac:dyDescent="0.35">
      <c r="B3" s="39" t="s">
        <v>680</v>
      </c>
      <c r="C3" s="42" t="s">
        <v>681</v>
      </c>
      <c r="D3" s="39" t="s">
        <v>682</v>
      </c>
      <c r="F3" s="74">
        <f>'Rascunho Inicial'!D4</f>
        <v>2220651547</v>
      </c>
      <c r="G3" s="81"/>
      <c r="H3" s="80">
        <f>'Rascunho Inicial'!E4</f>
        <v>1786201847</v>
      </c>
    </row>
    <row r="4" spans="2:8" ht="15" thickBot="1" x14ac:dyDescent="0.35">
      <c r="B4" s="39" t="s">
        <v>683</v>
      </c>
      <c r="C4" s="42" t="s">
        <v>684</v>
      </c>
      <c r="D4" s="39" t="s">
        <v>685</v>
      </c>
      <c r="F4" s="75">
        <f>'Rascunho Inicial'!D5</f>
        <v>3.631264849998475</v>
      </c>
      <c r="G4" s="75"/>
      <c r="H4" s="75">
        <f>'Rascunho Inicial'!E5</f>
        <v>2.7939411350933758</v>
      </c>
    </row>
    <row r="5" spans="2:8" ht="15" thickBot="1" x14ac:dyDescent="0.35">
      <c r="B5" s="39" t="s">
        <v>686</v>
      </c>
      <c r="C5" s="42" t="s">
        <v>687</v>
      </c>
      <c r="D5" s="39" t="s">
        <v>688</v>
      </c>
      <c r="F5" s="75">
        <f>'Rascunho Inicial'!D6</f>
        <v>1.878875070074048</v>
      </c>
      <c r="G5" s="75"/>
      <c r="H5" s="75">
        <f>'Rascunho Inicial'!E6</f>
        <v>1.4555895848734317</v>
      </c>
    </row>
    <row r="6" spans="2:8" ht="15" thickBot="1" x14ac:dyDescent="0.35">
      <c r="B6" s="39" t="s">
        <v>689</v>
      </c>
      <c r="C6" s="42" t="s">
        <v>690</v>
      </c>
      <c r="D6" s="39" t="s">
        <v>691</v>
      </c>
      <c r="F6" s="76">
        <f>'Rascunho Inicial'!D7</f>
        <v>0.43300441244198984</v>
      </c>
      <c r="G6" s="76"/>
      <c r="H6" s="76">
        <f>'Rascunho Inicial'!E7</f>
        <v>0.27935861928277189</v>
      </c>
    </row>
    <row r="7" spans="2:8" ht="15" thickBot="1" x14ac:dyDescent="0.35">
      <c r="B7" s="39" t="s">
        <v>692</v>
      </c>
      <c r="C7" s="56" t="s">
        <v>693</v>
      </c>
      <c r="D7" s="39" t="s">
        <v>694</v>
      </c>
      <c r="F7" s="75">
        <f>'Rascunho Inicial'!D8</f>
        <v>2.0908875417113699</v>
      </c>
      <c r="G7" s="75"/>
      <c r="H7" s="75">
        <f>'Rascunho Inicial'!E8</f>
        <v>1.8872448410641884</v>
      </c>
    </row>
    <row r="8" spans="2:8" ht="15" thickBot="1" x14ac:dyDescent="0.35"/>
    <row r="9" spans="2:8" ht="15" thickBot="1" x14ac:dyDescent="0.35">
      <c r="B9" s="57" t="s">
        <v>695</v>
      </c>
      <c r="C9" s="47" t="s">
        <v>678</v>
      </c>
      <c r="D9" s="47" t="s">
        <v>679</v>
      </c>
      <c r="F9" s="47">
        <v>2025</v>
      </c>
      <c r="G9" s="47"/>
      <c r="H9" s="47">
        <v>2024</v>
      </c>
    </row>
    <row r="10" spans="2:8" ht="15" thickBot="1" x14ac:dyDescent="0.35">
      <c r="B10" s="58" t="s">
        <v>696</v>
      </c>
      <c r="C10" s="59" t="s">
        <v>697</v>
      </c>
      <c r="D10" s="39" t="s">
        <v>698</v>
      </c>
      <c r="F10" s="77">
        <f>'Rascunho Inicial'!D9</f>
        <v>549.19789239110685</v>
      </c>
      <c r="G10" s="77"/>
      <c r="H10" s="77">
        <f>'Rascunho Inicial'!E9</f>
        <v>496.3594819743937</v>
      </c>
    </row>
    <row r="11" spans="2:8" ht="15" thickBot="1" x14ac:dyDescent="0.35">
      <c r="B11" s="60" t="s">
        <v>699</v>
      </c>
      <c r="C11" s="61" t="s">
        <v>700</v>
      </c>
      <c r="D11" s="43" t="s">
        <v>701</v>
      </c>
      <c r="F11" s="78">
        <f>'Rascunho Inicial'!D10</f>
        <v>0.6555014230528563</v>
      </c>
      <c r="G11" s="78"/>
      <c r="H11" s="78">
        <f>'Rascunho Inicial'!E10</f>
        <v>0.72528079562016257</v>
      </c>
    </row>
    <row r="12" spans="2:8" ht="15" thickBot="1" x14ac:dyDescent="0.35">
      <c r="B12" s="58" t="s">
        <v>702</v>
      </c>
      <c r="C12" s="59" t="s">
        <v>703</v>
      </c>
      <c r="D12" s="39" t="s">
        <v>704</v>
      </c>
      <c r="F12" s="78">
        <f>'Rascunho Inicial'!D11</f>
        <v>124.74704504632984</v>
      </c>
      <c r="G12" s="78"/>
      <c r="H12" s="78">
        <f>'Rascunho Inicial'!E11</f>
        <v>115.66373013167538</v>
      </c>
    </row>
    <row r="13" spans="2:8" ht="15" thickBot="1" x14ac:dyDescent="0.35">
      <c r="B13" s="58" t="s">
        <v>705</v>
      </c>
      <c r="C13" s="56" t="s">
        <v>706</v>
      </c>
      <c r="D13" s="48" t="s">
        <v>707</v>
      </c>
      <c r="F13" s="79">
        <f>'Rascunho Inicial'!D13</f>
        <v>77.490215155181616</v>
      </c>
      <c r="G13" s="79"/>
      <c r="H13" s="79">
        <f>'Rascunho Inicial'!E13</f>
        <v>80.241411698791779</v>
      </c>
    </row>
    <row r="14" spans="2:8" ht="15" thickBot="1" x14ac:dyDescent="0.35">
      <c r="B14" s="39" t="s">
        <v>708</v>
      </c>
      <c r="C14" s="42" t="s">
        <v>709</v>
      </c>
      <c r="D14" s="39" t="s">
        <v>710</v>
      </c>
      <c r="F14" s="78">
        <f>'Rascunho Inicial'!D14</f>
        <v>673.94493743743669</v>
      </c>
      <c r="G14" s="78"/>
      <c r="H14" s="78">
        <f>'Rascunho Inicial'!E14</f>
        <v>612.02321210606908</v>
      </c>
    </row>
    <row r="15" spans="2:8" ht="15" thickBot="1" x14ac:dyDescent="0.35">
      <c r="B15" s="39" t="s">
        <v>711</v>
      </c>
      <c r="C15" s="42" t="s">
        <v>712</v>
      </c>
      <c r="D15" s="39" t="s">
        <v>713</v>
      </c>
      <c r="F15" s="78">
        <f>'Rascunho Inicial'!D15</f>
        <v>596.45472228225503</v>
      </c>
      <c r="G15" s="78"/>
      <c r="H15" s="78">
        <f>'Rascunho Inicial'!E15</f>
        <v>531.78180040727727</v>
      </c>
    </row>
    <row r="16" spans="2:8" ht="15" thickBot="1" x14ac:dyDescent="0.35">
      <c r="B16" s="48" t="s">
        <v>714</v>
      </c>
      <c r="C16" s="49" t="s">
        <v>715</v>
      </c>
      <c r="D16" s="48" t="s">
        <v>697</v>
      </c>
      <c r="F16" s="78">
        <f>'Rascunho Inicial'!D16</f>
        <v>549.19789239110685</v>
      </c>
      <c r="G16" s="78"/>
      <c r="H16" s="78">
        <f>'Rascunho Inicial'!E16</f>
        <v>496.3594819743937</v>
      </c>
    </row>
    <row r="17" spans="2:9" ht="15" thickBot="1" x14ac:dyDescent="0.35"/>
    <row r="18" spans="2:9" ht="15" thickBot="1" x14ac:dyDescent="0.35">
      <c r="B18" s="57" t="s">
        <v>716</v>
      </c>
      <c r="C18" s="47" t="s">
        <v>678</v>
      </c>
      <c r="D18" s="47" t="s">
        <v>679</v>
      </c>
      <c r="F18" s="47">
        <v>2025</v>
      </c>
      <c r="G18" s="47"/>
      <c r="H18" s="47">
        <v>2024</v>
      </c>
    </row>
    <row r="19" spans="2:9" ht="15" thickBot="1" x14ac:dyDescent="0.35">
      <c r="B19" s="39" t="s">
        <v>717</v>
      </c>
      <c r="C19" s="42" t="s">
        <v>718</v>
      </c>
      <c r="D19" s="39" t="s">
        <v>719</v>
      </c>
      <c r="F19" s="74">
        <f>'Rascunho Inicial'!D25</f>
        <v>2220651547</v>
      </c>
      <c r="G19" s="74"/>
      <c r="H19" s="74">
        <f>'Rascunho Inicial'!E25</f>
        <v>1786201847</v>
      </c>
    </row>
    <row r="20" spans="2:9" ht="15" thickBot="1" x14ac:dyDescent="0.35">
      <c r="B20" s="39" t="s">
        <v>720</v>
      </c>
      <c r="C20" s="42" t="s">
        <v>721</v>
      </c>
      <c r="D20" s="39" t="s">
        <v>722</v>
      </c>
      <c r="F20" s="75">
        <f>'Rascunho Inicial'!D23</f>
        <v>45258425</v>
      </c>
      <c r="G20" s="75"/>
      <c r="H20" s="75">
        <f>'Rascunho Inicial'!E23</f>
        <v>-88876930</v>
      </c>
    </row>
    <row r="21" spans="2:9" ht="15" thickBot="1" x14ac:dyDescent="0.35">
      <c r="B21" s="39" t="s">
        <v>723</v>
      </c>
      <c r="C21" s="42" t="s">
        <v>724</v>
      </c>
      <c r="D21" s="39" t="s">
        <v>725</v>
      </c>
      <c r="F21" s="75">
        <f>'Rascunho Inicial'!D24</f>
        <v>2175393122</v>
      </c>
      <c r="G21" s="75"/>
      <c r="H21" s="75">
        <f>'Rascunho Inicial'!E24</f>
        <v>1875078777</v>
      </c>
    </row>
    <row r="22" spans="2:9" ht="15" thickBot="1" x14ac:dyDescent="0.35"/>
    <row r="23" spans="2:9" ht="15" thickBot="1" x14ac:dyDescent="0.35">
      <c r="B23" s="57" t="s">
        <v>726</v>
      </c>
      <c r="C23" s="47" t="s">
        <v>678</v>
      </c>
      <c r="D23" s="47" t="s">
        <v>679</v>
      </c>
      <c r="F23" s="47">
        <v>2025</v>
      </c>
      <c r="G23" s="47"/>
      <c r="H23" s="47">
        <v>2024</v>
      </c>
    </row>
    <row r="24" spans="2:9" ht="15" thickBot="1" x14ac:dyDescent="0.35">
      <c r="B24" s="39" t="s">
        <v>727</v>
      </c>
      <c r="C24" s="42" t="s">
        <v>728</v>
      </c>
      <c r="D24" s="39" t="s">
        <v>729</v>
      </c>
      <c r="F24" s="77">
        <f>'Rascunho Inicial'!D26</f>
        <v>1.6011481151581064</v>
      </c>
      <c r="G24" s="77"/>
      <c r="H24" s="77">
        <f>'Rascunho Inicial'!E26</f>
        <v>1.7115850591105226</v>
      </c>
    </row>
    <row r="25" spans="2:9" ht="15" thickBot="1" x14ac:dyDescent="0.35">
      <c r="B25" s="39" t="s">
        <v>730</v>
      </c>
      <c r="C25" s="42" t="s">
        <v>731</v>
      </c>
      <c r="D25" s="39" t="s">
        <v>732</v>
      </c>
      <c r="F25" s="78">
        <f>'Rascunho Inicial'!D27</f>
        <v>0.61555437993994555</v>
      </c>
      <c r="G25" s="78"/>
      <c r="H25" s="78">
        <f>'Rascunho Inicial'!E27</f>
        <v>0.63121201135101823</v>
      </c>
    </row>
    <row r="26" spans="2:9" ht="15" thickBot="1" x14ac:dyDescent="0.35">
      <c r="B26" s="39" t="s">
        <v>733</v>
      </c>
      <c r="C26" s="42" t="s">
        <v>734</v>
      </c>
      <c r="D26" s="39" t="s">
        <v>735</v>
      </c>
      <c r="F26" s="78">
        <f>'Rascunho Inicial'!D28</f>
        <v>1</v>
      </c>
      <c r="G26" s="78"/>
      <c r="H26" s="78">
        <f>'Rascunho Inicial'!E28</f>
        <v>1</v>
      </c>
    </row>
    <row r="27" spans="2:9" ht="15" thickBot="1" x14ac:dyDescent="0.35">
      <c r="B27" s="39" t="s">
        <v>736</v>
      </c>
      <c r="C27" s="42" t="s">
        <v>715</v>
      </c>
      <c r="D27" s="39" t="s">
        <v>737</v>
      </c>
      <c r="F27" s="79">
        <f>'Rascunho Inicial'!D29</f>
        <v>0.17870063746768056</v>
      </c>
      <c r="G27" s="79"/>
      <c r="H27" s="79">
        <f>'Rascunho Inicial'!E29</f>
        <v>0.23297817170873378</v>
      </c>
    </row>
    <row r="28" spans="2:9" ht="15" thickBot="1" x14ac:dyDescent="0.35">
      <c r="B28" s="39" t="s">
        <v>738</v>
      </c>
      <c r="C28" s="42" t="s">
        <v>739</v>
      </c>
      <c r="D28" s="39" t="s">
        <v>740</v>
      </c>
      <c r="F28" s="78">
        <f>'Rascunho Inicial'!D30</f>
        <v>0.3238941110675444</v>
      </c>
      <c r="G28" s="78"/>
      <c r="H28" s="78">
        <f>'Rascunho Inicial'!E30</f>
        <v>0.3416864407565266</v>
      </c>
    </row>
    <row r="29" spans="2:9" ht="15" thickBot="1" x14ac:dyDescent="0.35">
      <c r="B29" s="39" t="s">
        <v>741</v>
      </c>
      <c r="C29" s="40" t="s">
        <v>742</v>
      </c>
      <c r="D29" s="41" t="s">
        <v>743</v>
      </c>
      <c r="F29" s="85">
        <f>'2025'!H142+'2025'!H105</f>
        <v>531275707</v>
      </c>
      <c r="G29" s="85" t="e">
        <f>'2025'!I105+'2025'!I142</f>
        <v>#VALUE!</v>
      </c>
      <c r="H29" s="85">
        <f>'2024'!H142+'2024'!H105</f>
        <v>398560704</v>
      </c>
      <c r="I29" s="85">
        <f>'2025'!K105+'2025'!K142</f>
        <v>0</v>
      </c>
    </row>
    <row r="30" spans="2:9" ht="15" thickBot="1" x14ac:dyDescent="0.35">
      <c r="B30" s="39" t="s">
        <v>744</v>
      </c>
      <c r="C30" s="42" t="s">
        <v>745</v>
      </c>
      <c r="D30" s="39" t="s">
        <v>746</v>
      </c>
      <c r="F30" s="85">
        <f>F29-('2025'!H4+'2025'!H6)</f>
        <v>132631475</v>
      </c>
      <c r="G30" s="85"/>
      <c r="H30" s="85">
        <f>H29-('2024'!H4+'2024'!H6)</f>
        <v>115877640</v>
      </c>
    </row>
    <row r="31" spans="2:9" ht="15" thickBot="1" x14ac:dyDescent="0.35">
      <c r="B31" s="43" t="s">
        <v>747</v>
      </c>
      <c r="C31" s="44" t="s">
        <v>748</v>
      </c>
      <c r="D31" s="43" t="s">
        <v>749</v>
      </c>
      <c r="F31" s="85">
        <f>F29+'2025'!H181</f>
        <v>3480842548</v>
      </c>
      <c r="G31" s="85"/>
      <c r="H31" s="85">
        <f>H29+'2024'!H181</f>
        <v>2895503691</v>
      </c>
    </row>
    <row r="32" spans="2:9" ht="15" thickBot="1" x14ac:dyDescent="0.35">
      <c r="B32" s="39" t="s">
        <v>750</v>
      </c>
      <c r="C32" s="42" t="s">
        <v>709</v>
      </c>
      <c r="D32" s="39" t="s">
        <v>751</v>
      </c>
      <c r="F32" s="85">
        <f>F30+'2025'!H181</f>
        <v>3082198316</v>
      </c>
      <c r="G32" s="85"/>
      <c r="H32" s="85">
        <f>H30+'2024'!H181</f>
        <v>2612820627</v>
      </c>
    </row>
    <row r="33" spans="2:9" ht="15" thickBot="1" x14ac:dyDescent="0.35">
      <c r="B33" s="39" t="s">
        <v>752</v>
      </c>
      <c r="C33" s="45" t="s">
        <v>753</v>
      </c>
      <c r="D33" s="41" t="s">
        <v>754</v>
      </c>
      <c r="F33" s="86">
        <f>F30/'2025'!H181</f>
        <v>4.4966424614074373E-2</v>
      </c>
      <c r="G33" s="86"/>
      <c r="H33" s="86">
        <f>H30/'2024'!H181</f>
        <v>4.6407803703689451E-2</v>
      </c>
    </row>
    <row r="34" spans="2:9" ht="15" thickBot="1" x14ac:dyDescent="0.35">
      <c r="B34" s="39" t="s">
        <v>755</v>
      </c>
      <c r="C34" s="45" t="s">
        <v>753</v>
      </c>
      <c r="D34" s="39" t="s">
        <v>756</v>
      </c>
      <c r="F34" s="86">
        <f>F30/(F30+'2025'!H181)</f>
        <v>4.3031453982534718E-2</v>
      </c>
      <c r="G34" s="86"/>
      <c r="H34" s="86">
        <f>H30/(H30+'2024'!H181)</f>
        <v>4.4349634568312826E-2</v>
      </c>
    </row>
    <row r="35" spans="2:9" ht="15" thickBot="1" x14ac:dyDescent="0.35"/>
    <row r="36" spans="2:9" ht="15" thickBot="1" x14ac:dyDescent="0.35">
      <c r="B36" s="46" t="s">
        <v>757</v>
      </c>
      <c r="C36" s="47" t="s">
        <v>678</v>
      </c>
      <c r="D36" s="47" t="s">
        <v>679</v>
      </c>
      <c r="F36" s="47">
        <v>2025</v>
      </c>
      <c r="G36" s="47"/>
      <c r="H36" s="47">
        <v>2024</v>
      </c>
    </row>
    <row r="37" spans="2:9" ht="15" thickBot="1" x14ac:dyDescent="0.35">
      <c r="B37" s="39" t="s">
        <v>758</v>
      </c>
      <c r="C37" s="42" t="s">
        <v>759</v>
      </c>
      <c r="D37" s="39" t="s">
        <v>760</v>
      </c>
      <c r="F37" s="87">
        <f>F29/F31</f>
        <v>0.152628479936634</v>
      </c>
      <c r="G37" s="53"/>
      <c r="H37" s="87">
        <f>H29/H31</f>
        <v>0.13764814226928229</v>
      </c>
    </row>
    <row r="38" spans="2:9" ht="15" thickBot="1" x14ac:dyDescent="0.35">
      <c r="B38" s="39" t="s">
        <v>761</v>
      </c>
      <c r="C38" s="42" t="s">
        <v>762</v>
      </c>
      <c r="D38" s="39" t="s">
        <v>763</v>
      </c>
      <c r="F38" s="88">
        <f>'2025'!H181/Indicadores!F31</f>
        <v>0.84737152006336602</v>
      </c>
      <c r="G38" s="54"/>
      <c r="H38" s="88">
        <f>'2024'!H181/Indicadores!H31</f>
        <v>0.86235185773071765</v>
      </c>
    </row>
    <row r="39" spans="2:9" ht="15" thickBot="1" x14ac:dyDescent="0.35">
      <c r="B39" s="39" t="s">
        <v>764</v>
      </c>
      <c r="C39" s="42" t="s">
        <v>765</v>
      </c>
      <c r="D39" s="39" t="s">
        <v>766</v>
      </c>
      <c r="F39" s="85">
        <f>ABS('2025'!H232)-Indicadores!F40</f>
        <v>170130251.34571308</v>
      </c>
      <c r="G39" s="85" t="e">
        <f>ABS('2025'!I232)-Indicadores!G40</f>
        <v>#VALUE!</v>
      </c>
      <c r="H39" s="85">
        <f>ABS('2024'!H232)-Indicadores!H40</f>
        <v>94545840.116649002</v>
      </c>
    </row>
    <row r="40" spans="2:9" ht="15" thickBot="1" x14ac:dyDescent="0.35">
      <c r="B40" s="39" t="s">
        <v>767</v>
      </c>
      <c r="C40" s="42" t="s">
        <v>768</v>
      </c>
      <c r="D40" s="39" t="s">
        <v>769</v>
      </c>
      <c r="F40" s="90">
        <f>('2025'!H232*Indicadores!F41)*(-1)</f>
        <v>38129648.654286914</v>
      </c>
      <c r="G40" s="90"/>
      <c r="H40" s="90">
        <f>('2024'!H232*Indicadores!H41)*(-1)</f>
        <v>19736308.883351006</v>
      </c>
    </row>
    <row r="41" spans="2:9" ht="15" thickBot="1" x14ac:dyDescent="0.35">
      <c r="B41" s="48" t="s">
        <v>770</v>
      </c>
      <c r="C41" s="49" t="s">
        <v>771</v>
      </c>
      <c r="D41" s="48" t="s">
        <v>772</v>
      </c>
      <c r="F41" s="86">
        <f>('2025'!H236/'2025'!H234)*(-1)</f>
        <v>0.18308684799275768</v>
      </c>
      <c r="G41" s="54"/>
      <c r="H41" s="86">
        <f>('2024'!H236/'2024'!H234)*(-1)</f>
        <v>0.17269809026211963</v>
      </c>
    </row>
    <row r="42" spans="2:9" ht="15" thickBot="1" x14ac:dyDescent="0.35">
      <c r="B42" s="43" t="s">
        <v>773</v>
      </c>
      <c r="C42" s="44" t="s">
        <v>774</v>
      </c>
      <c r="D42" s="43" t="s">
        <v>775</v>
      </c>
      <c r="F42" s="86">
        <f>170130251/531275707</f>
        <v>0.32022968255162476</v>
      </c>
      <c r="G42" s="54"/>
      <c r="H42" s="86">
        <f>('2024'!H232/Indicadores!H29)*(-1)</f>
        <v>0.28673712147999419</v>
      </c>
    </row>
    <row r="43" spans="2:9" ht="15" thickBot="1" x14ac:dyDescent="0.35">
      <c r="B43" s="39" t="s">
        <v>776</v>
      </c>
      <c r="C43" s="42" t="s">
        <v>777</v>
      </c>
      <c r="D43" s="39" t="s">
        <v>778</v>
      </c>
      <c r="F43" s="89">
        <f>F37*F42+F38*0.16</f>
        <v>0.18445561288858392</v>
      </c>
      <c r="G43" s="54"/>
      <c r="H43" s="89">
        <f>H37*H42+H38*0.16</f>
        <v>0.17744512932827755</v>
      </c>
    </row>
    <row r="44" spans="2:9" ht="15" thickBot="1" x14ac:dyDescent="0.35"/>
    <row r="45" spans="2:9" ht="15" thickBot="1" x14ac:dyDescent="0.35">
      <c r="B45" s="50" t="s">
        <v>779</v>
      </c>
      <c r="C45" s="47" t="s">
        <v>678</v>
      </c>
      <c r="D45" s="47" t="s">
        <v>679</v>
      </c>
      <c r="F45" s="47">
        <v>2025</v>
      </c>
      <c r="G45" s="47"/>
      <c r="H45" s="47">
        <v>2024</v>
      </c>
    </row>
    <row r="46" spans="2:9" ht="15" thickBot="1" x14ac:dyDescent="0.35">
      <c r="B46" s="39" t="s">
        <v>780</v>
      </c>
      <c r="C46" s="42" t="s">
        <v>781</v>
      </c>
      <c r="D46" s="39" t="s">
        <v>782</v>
      </c>
      <c r="F46" s="87">
        <f>'2025'!H215/'2025'!H211</f>
        <v>0.69554017841099891</v>
      </c>
      <c r="G46" s="53"/>
      <c r="H46" s="87">
        <f>'2024'!H215/'2024'!H211</f>
        <v>0.70234624485678976</v>
      </c>
    </row>
    <row r="47" spans="2:9" ht="15" thickBot="1" x14ac:dyDescent="0.35">
      <c r="B47" s="39" t="s">
        <v>783</v>
      </c>
      <c r="C47" s="42" t="s">
        <v>783</v>
      </c>
      <c r="D47" s="39" t="s">
        <v>784</v>
      </c>
      <c r="F47" s="75" cm="1">
        <f t="array" ref="F47:G47">'Rascunho Inicial'!J6:K6</f>
        <v>889179247</v>
      </c>
      <c r="G47" s="75">
        <v>0</v>
      </c>
      <c r="H47" s="75" cm="1">
        <f t="array" ref="H47:I47">'Rascunho Inicial'!L6:M6</f>
        <v>838115320</v>
      </c>
      <c r="I47">
        <v>0</v>
      </c>
    </row>
    <row r="48" spans="2:9" ht="15" thickBot="1" x14ac:dyDescent="0.35">
      <c r="B48" s="39" t="s">
        <v>785</v>
      </c>
      <c r="C48" s="42" t="s">
        <v>786</v>
      </c>
      <c r="D48" s="39" t="s">
        <v>787</v>
      </c>
      <c r="F48" s="88">
        <f>F47/'2025'!H211</f>
        <v>0.2937899502119613</v>
      </c>
      <c r="G48" s="54"/>
      <c r="H48" s="88">
        <f>H47/'2024'!H211</f>
        <v>0.32521475945581174</v>
      </c>
    </row>
    <row r="49" spans="2:9" ht="15" thickBot="1" x14ac:dyDescent="0.35">
      <c r="B49" s="39" t="s">
        <v>788</v>
      </c>
      <c r="C49" s="42" t="s">
        <v>788</v>
      </c>
      <c r="D49" s="39" t="s">
        <v>789</v>
      </c>
      <c r="F49" s="76" cm="1">
        <f t="array" ref="F49:G49">'Rascunho Inicial'!J7:K7</f>
        <v>726321236</v>
      </c>
      <c r="G49" s="55">
        <v>0</v>
      </c>
      <c r="H49" s="76" cm="1">
        <f t="array" ref="H49:I49">'Rascunho Inicial'!L7:M7</f>
        <v>683585305</v>
      </c>
      <c r="I49">
        <v>0</v>
      </c>
    </row>
    <row r="50" spans="2:9" ht="15" thickBot="1" x14ac:dyDescent="0.35">
      <c r="B50" s="39" t="s">
        <v>790</v>
      </c>
      <c r="C50" s="42" t="s">
        <v>791</v>
      </c>
      <c r="D50" s="39" t="s">
        <v>792</v>
      </c>
      <c r="F50" s="88">
        <f>F49/'2025'!H211</f>
        <v>0.23998072433907153</v>
      </c>
      <c r="G50" s="88" t="e">
        <f>G49/'2025'!I211</f>
        <v>#VALUE!</v>
      </c>
      <c r="H50" s="88">
        <f>H49/'2024'!H211</f>
        <v>0.26525231698795659</v>
      </c>
    </row>
    <row r="51" spans="2:9" ht="15" thickBot="1" x14ac:dyDescent="0.35">
      <c r="B51" s="39" t="s">
        <v>793</v>
      </c>
      <c r="C51" s="42" t="s">
        <v>793</v>
      </c>
      <c r="D51" s="39" t="s">
        <v>794</v>
      </c>
      <c r="F51" s="75">
        <f>F49*(1-F41)</f>
        <v>593341370.27055609</v>
      </c>
      <c r="G51" s="75">
        <f>G49*(1-G41)</f>
        <v>0</v>
      </c>
      <c r="H51" s="99">
        <f>H49*(1-H41)</f>
        <v>565531428.29525149</v>
      </c>
    </row>
    <row r="52" spans="2:9" ht="15" thickBot="1" x14ac:dyDescent="0.35">
      <c r="B52" s="39" t="s">
        <v>795</v>
      </c>
      <c r="C52" s="42" t="s">
        <v>796</v>
      </c>
      <c r="D52" s="39" t="s">
        <v>797</v>
      </c>
      <c r="F52" s="88">
        <f>F51/'2025'!H211</f>
        <v>0.19604340994081204</v>
      </c>
      <c r="G52" s="88" t="e">
        <f>G51/'2025'!I211</f>
        <v>#VALUE!</v>
      </c>
      <c r="H52" s="88">
        <f>H51/'2024'!H211</f>
        <v>0.21944374840653413</v>
      </c>
    </row>
    <row r="53" spans="2:9" ht="15" thickBot="1" x14ac:dyDescent="0.35">
      <c r="B53" s="39" t="s">
        <v>798</v>
      </c>
      <c r="C53" s="42" t="s">
        <v>799</v>
      </c>
      <c r="D53" s="39" t="s">
        <v>800</v>
      </c>
      <c r="F53" s="88">
        <f>'2025'!H242/'2025'!H212</f>
        <v>0.20468713229761812</v>
      </c>
      <c r="G53" s="88" t="e">
        <f>'2025'!I242/'2025'!I212</f>
        <v>#VALUE!</v>
      </c>
      <c r="H53" s="88">
        <f>'2024'!H242/'2024'!H212</f>
        <v>0.25353713254910271</v>
      </c>
    </row>
    <row r="54" spans="2:9" ht="15" thickBot="1" x14ac:dyDescent="0.35">
      <c r="B54" s="39" t="s">
        <v>801</v>
      </c>
      <c r="C54" s="42" t="s">
        <v>802</v>
      </c>
      <c r="D54" s="39" t="s">
        <v>803</v>
      </c>
      <c r="F54" s="88">
        <f>F51/F31</f>
        <v>0.17045912364277274</v>
      </c>
      <c r="G54" s="54"/>
      <c r="H54" s="88">
        <f>H51/H31</f>
        <v>0.19531366167933906</v>
      </c>
    </row>
    <row r="55" spans="2:9" ht="15" thickBot="1" x14ac:dyDescent="0.35">
      <c r="B55" s="39" t="s">
        <v>804</v>
      </c>
      <c r="C55" s="42" t="s">
        <v>805</v>
      </c>
      <c r="D55" s="39" t="s">
        <v>806</v>
      </c>
      <c r="F55" s="88">
        <f>'2025'!H242/'2025'!H181</f>
        <v>0.2100316196902893</v>
      </c>
      <c r="G55" s="88"/>
      <c r="H55" s="88">
        <f>'2024'!H242/'2024'!H181</f>
        <v>0.26167755907996632</v>
      </c>
    </row>
    <row r="56" spans="2:9" ht="15" thickBot="1" x14ac:dyDescent="0.35">
      <c r="B56" s="39" t="s">
        <v>807</v>
      </c>
      <c r="C56" s="42" t="s">
        <v>808</v>
      </c>
      <c r="D56" s="39" t="s">
        <v>809</v>
      </c>
      <c r="F56" s="91">
        <f>F55/F54</f>
        <v>1.2321524081658881</v>
      </c>
      <c r="G56" s="54"/>
      <c r="H56" s="78">
        <f>H55/H54</f>
        <v>1.3397811337415906</v>
      </c>
    </row>
    <row r="57" spans="2:9" ht="15" thickBot="1" x14ac:dyDescent="0.35">
      <c r="C57"/>
    </row>
    <row r="58" spans="2:9" ht="15" thickBot="1" x14ac:dyDescent="0.35">
      <c r="B58" s="50" t="s">
        <v>810</v>
      </c>
      <c r="C58" s="47" t="s">
        <v>678</v>
      </c>
      <c r="D58" s="47" t="s">
        <v>679</v>
      </c>
      <c r="F58" s="47">
        <v>2025</v>
      </c>
      <c r="G58" s="47"/>
      <c r="H58" s="47">
        <v>2024</v>
      </c>
    </row>
    <row r="59" spans="2:9" ht="15" thickBot="1" x14ac:dyDescent="0.35">
      <c r="B59" s="43" t="s">
        <v>811</v>
      </c>
      <c r="C59" s="40" t="s">
        <v>812</v>
      </c>
      <c r="D59" s="41" t="s">
        <v>813</v>
      </c>
      <c r="F59" s="92">
        <f>(F54-F43)*F31</f>
        <v>-48719575.289443977</v>
      </c>
      <c r="G59" s="53"/>
      <c r="H59" s="92">
        <f>(H54-H43)*H31</f>
        <v>51738401.375251494</v>
      </c>
    </row>
    <row r="60" spans="2:9" ht="15" thickBot="1" x14ac:dyDescent="0.35">
      <c r="B60" s="39" t="s">
        <v>814</v>
      </c>
      <c r="C60" s="42" t="s">
        <v>815</v>
      </c>
      <c r="D60" s="39" t="s">
        <v>816</v>
      </c>
      <c r="F60" s="89">
        <f>F54-F43</f>
        <v>-1.3996489245811178E-2</v>
      </c>
      <c r="G60" s="54"/>
      <c r="H60" s="89">
        <f>H54-H43</f>
        <v>1.7868532351061506E-2</v>
      </c>
    </row>
    <row r="61" spans="2:9" ht="15" thickBot="1" x14ac:dyDescent="0.35">
      <c r="B61" s="48" t="s">
        <v>143</v>
      </c>
      <c r="C61" s="51" t="s">
        <v>753</v>
      </c>
      <c r="D61" s="48" t="s">
        <v>817</v>
      </c>
      <c r="F61" s="85">
        <f>F59/F43</f>
        <v>-264126282.34236434</v>
      </c>
      <c r="G61" s="85" t="e">
        <f t="shared" ref="G61:H61" si="0">G59/G43</f>
        <v>#DIV/0!</v>
      </c>
      <c r="H61" s="85">
        <f t="shared" si="0"/>
        <v>291574085.86591446</v>
      </c>
    </row>
    <row r="62" spans="2:9" ht="15" thickBot="1" x14ac:dyDescent="0.35">
      <c r="B62" s="62"/>
      <c r="C62"/>
    </row>
    <row r="63" spans="2:9" ht="15" thickBot="1" x14ac:dyDescent="0.35">
      <c r="B63" s="50" t="s">
        <v>818</v>
      </c>
      <c r="C63" s="47" t="s">
        <v>678</v>
      </c>
      <c r="D63" s="47" t="s">
        <v>679</v>
      </c>
      <c r="F63" s="47">
        <v>2025</v>
      </c>
      <c r="G63" s="82"/>
    </row>
    <row r="64" spans="2:9" ht="15" thickBot="1" x14ac:dyDescent="0.35">
      <c r="B64" s="63" t="s">
        <v>819</v>
      </c>
      <c r="C64" s="64" t="s">
        <v>753</v>
      </c>
      <c r="D64" s="65" t="s">
        <v>820</v>
      </c>
      <c r="F64" s="84" cm="1">
        <f t="array" ref="F64:G64">'Rascunho Inicial'!J11:K11</f>
        <v>236197769</v>
      </c>
      <c r="G64" s="83">
        <v>0</v>
      </c>
    </row>
    <row r="65" spans="2:7" ht="15" thickBot="1" x14ac:dyDescent="0.35">
      <c r="B65" s="39" t="s">
        <v>821</v>
      </c>
      <c r="C65" s="54" t="s">
        <v>822</v>
      </c>
      <c r="D65" s="39" t="s">
        <v>823</v>
      </c>
      <c r="F65" s="85" cm="1">
        <f t="array" ref="F65:G65">'Rascunho Inicial'!J12:K12</f>
        <v>12.48769983513265</v>
      </c>
      <c r="G65" s="83">
        <v>0</v>
      </c>
    </row>
    <row r="66" spans="2:7" ht="15" thickBot="1" x14ac:dyDescent="0.35">
      <c r="B66" s="60" t="s">
        <v>824</v>
      </c>
      <c r="C66" s="66" t="s">
        <v>825</v>
      </c>
      <c r="D66" s="39" t="s">
        <v>826</v>
      </c>
      <c r="F66" s="85">
        <v>21.29</v>
      </c>
      <c r="G66" s="83"/>
    </row>
    <row r="67" spans="2:7" ht="15" thickBot="1" x14ac:dyDescent="0.35">
      <c r="B67" s="39" t="s">
        <v>827</v>
      </c>
      <c r="C67" s="54" t="s">
        <v>828</v>
      </c>
      <c r="D67" s="48" t="s">
        <v>829</v>
      </c>
      <c r="F67" s="78">
        <f>F66/F65</f>
        <v>1.7048776220664057</v>
      </c>
      <c r="G67" s="83"/>
    </row>
    <row r="68" spans="2:7" ht="15" thickBot="1" x14ac:dyDescent="0.35">
      <c r="B68" s="39" t="s">
        <v>830</v>
      </c>
      <c r="C68" s="67" t="s">
        <v>831</v>
      </c>
      <c r="D68" s="39" t="s">
        <v>832</v>
      </c>
      <c r="F68" s="75">
        <f>(F64*F66)/'2025'!H181</f>
        <v>1.7048776220664057</v>
      </c>
      <c r="G68" s="83"/>
    </row>
    <row r="69" spans="2:7" ht="15" thickBot="1" x14ac:dyDescent="0.35">
      <c r="B69" s="58" t="s">
        <v>833</v>
      </c>
      <c r="C69" s="68" t="s">
        <v>834</v>
      </c>
      <c r="D69" s="39" t="s">
        <v>835</v>
      </c>
      <c r="F69" s="75" cm="1">
        <f t="array" ref="F69:G69">'Rascunho Inicial'!J14:K14</f>
        <v>2.6228118225790693</v>
      </c>
      <c r="G69" s="83">
        <v>0</v>
      </c>
    </row>
    <row r="70" spans="2:7" ht="15" thickBot="1" x14ac:dyDescent="0.35">
      <c r="B70" s="39" t="s">
        <v>836</v>
      </c>
      <c r="C70" s="54" t="s">
        <v>837</v>
      </c>
      <c r="D70" s="39" t="s">
        <v>838</v>
      </c>
      <c r="F70" s="78">
        <f>F66/F69</f>
        <v>8.1172426541318039</v>
      </c>
      <c r="G70" s="83"/>
    </row>
    <row r="71" spans="2:7" ht="15" thickBot="1" x14ac:dyDescent="0.35">
      <c r="B71" s="39" t="s">
        <v>839</v>
      </c>
      <c r="C71" s="54" t="s">
        <v>840</v>
      </c>
      <c r="D71" s="39" t="s">
        <v>841</v>
      </c>
      <c r="F71" s="93">
        <f>F64*F66</f>
        <v>5028650502.0100002</v>
      </c>
      <c r="G71" s="83"/>
    </row>
    <row r="72" spans="2:7" ht="15" thickBot="1" x14ac:dyDescent="0.35">
      <c r="B72" s="39" t="s">
        <v>842</v>
      </c>
      <c r="C72" s="54" t="s">
        <v>843</v>
      </c>
      <c r="D72" s="39" t="s">
        <v>844</v>
      </c>
      <c r="F72" s="85">
        <f>ABS('2025'!H305)</f>
        <v>319175185</v>
      </c>
      <c r="G72" s="83"/>
    </row>
    <row r="73" spans="2:7" ht="15" thickBot="1" x14ac:dyDescent="0.35">
      <c r="B73" s="39" t="s">
        <v>845</v>
      </c>
      <c r="C73" s="54" t="s">
        <v>846</v>
      </c>
      <c r="D73" s="39" t="s">
        <v>847</v>
      </c>
      <c r="F73" s="75">
        <f>F72/F64</f>
        <v>1.3513048254067124</v>
      </c>
      <c r="G73" s="83"/>
    </row>
    <row r="74" spans="2:7" ht="15" thickBot="1" x14ac:dyDescent="0.35">
      <c r="B74" s="39" t="s">
        <v>848</v>
      </c>
      <c r="C74" s="54" t="s">
        <v>849</v>
      </c>
      <c r="D74" s="39" t="s">
        <v>850</v>
      </c>
      <c r="F74" s="88">
        <f>F73/F66</f>
        <v>6.3471339850009981E-2</v>
      </c>
      <c r="G74" s="83"/>
    </row>
    <row r="75" spans="2:7" ht="15" thickBot="1" x14ac:dyDescent="0.35">
      <c r="B75" s="39" t="s">
        <v>851</v>
      </c>
      <c r="C75" s="54" t="s">
        <v>851</v>
      </c>
      <c r="D75" s="39" t="s">
        <v>852</v>
      </c>
      <c r="F75" s="86">
        <f>F73/F69</f>
        <v>0.5152122671453967</v>
      </c>
      <c r="G75" s="83"/>
    </row>
    <row r="76" spans="2:7" ht="15" thickBot="1" x14ac:dyDescent="0.35">
      <c r="B76" s="43" t="s">
        <v>853</v>
      </c>
      <c r="C76" s="69" t="s">
        <v>854</v>
      </c>
      <c r="D76" s="43" t="s">
        <v>855</v>
      </c>
      <c r="F76" s="75">
        <f>F66-16.8</f>
        <v>4.4899999999999984</v>
      </c>
      <c r="G76" s="83"/>
    </row>
    <row r="77" spans="2:7" ht="15" thickBot="1" x14ac:dyDescent="0.35">
      <c r="B77" s="39" t="s">
        <v>856</v>
      </c>
      <c r="C77" s="70" t="s">
        <v>753</v>
      </c>
      <c r="D77" s="39" t="s">
        <v>857</v>
      </c>
      <c r="F77" s="75">
        <f>F76/31.28</f>
        <v>0.14354219948849101</v>
      </c>
      <c r="G77" s="83"/>
    </row>
    <row r="78" spans="2:7" ht="15" thickBot="1" x14ac:dyDescent="0.35">
      <c r="B78" s="39" t="s">
        <v>858</v>
      </c>
      <c r="C78" s="54" t="s">
        <v>859</v>
      </c>
      <c r="D78" s="39" t="s">
        <v>860</v>
      </c>
      <c r="F78" s="75">
        <f>(F73+F76)/31.28</f>
        <v>0.18674248163064933</v>
      </c>
      <c r="G78" s="83"/>
    </row>
    <row r="79" spans="2:7" ht="15" thickBot="1" x14ac:dyDescent="0.35">
      <c r="B79" s="48" t="s">
        <v>861</v>
      </c>
      <c r="C79" s="71" t="s">
        <v>862</v>
      </c>
      <c r="D79" s="48" t="s">
        <v>863</v>
      </c>
      <c r="F79" s="93">
        <f>F71+F30</f>
        <v>5161281977.0100002</v>
      </c>
      <c r="G79" s="83"/>
    </row>
    <row r="80" spans="2:7" ht="15" thickBot="1" x14ac:dyDescent="0.35">
      <c r="B80" s="41" t="s">
        <v>864</v>
      </c>
      <c r="C80" s="70" t="s">
        <v>753</v>
      </c>
      <c r="D80" s="41" t="s">
        <v>864</v>
      </c>
      <c r="F80" s="78">
        <f>F79/F47</f>
        <v>5.8045461524474833</v>
      </c>
      <c r="G80" s="83"/>
    </row>
    <row r="81" spans="2:7" ht="15" thickBot="1" x14ac:dyDescent="0.35">
      <c r="B81" s="39" t="s">
        <v>865</v>
      </c>
      <c r="C81" s="70" t="s">
        <v>753</v>
      </c>
      <c r="D81" s="39" t="s">
        <v>865</v>
      </c>
      <c r="F81" s="75">
        <f>F79/'2025'!H211</f>
        <v>1.7053173251305778</v>
      </c>
      <c r="G81" s="83"/>
    </row>
    <row r="82" spans="2:7" ht="15" thickBot="1" x14ac:dyDescent="0.35">
      <c r="B82" s="48" t="s">
        <v>866</v>
      </c>
      <c r="C82" s="72" t="s">
        <v>867</v>
      </c>
      <c r="D82" s="48" t="s">
        <v>868</v>
      </c>
      <c r="F82" s="88">
        <f>F47/F79</f>
        <v>0.17227875767313017</v>
      </c>
      <c r="G82" s="83"/>
    </row>
    <row r="84" spans="2:7" x14ac:dyDescent="0.3">
      <c r="B84" s="73" t="s">
        <v>869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02FF9-6D5E-4FFC-AE2E-92FE6581FB29}">
  <dimension ref="B2:M33"/>
  <sheetViews>
    <sheetView topLeftCell="C1" zoomScale="110" workbookViewId="0">
      <selection activeCell="E33" sqref="E33"/>
    </sheetView>
  </sheetViews>
  <sheetFormatPr defaultColWidth="8.88671875" defaultRowHeight="14.4" x14ac:dyDescent="0.3"/>
  <cols>
    <col min="1" max="2" width="8.88671875" style="33"/>
    <col min="3" max="3" width="54.33203125" style="33" customWidth="1"/>
    <col min="4" max="4" width="20.88671875" style="33" customWidth="1"/>
    <col min="5" max="5" width="20.6640625" style="33" customWidth="1"/>
    <col min="6" max="6" width="19.33203125" style="33" bestFit="1" customWidth="1"/>
    <col min="7" max="7" width="17.6640625" style="33" bestFit="1" customWidth="1"/>
    <col min="8" max="10" width="8.88671875" style="33"/>
    <col min="11" max="11" width="10.33203125" style="33" customWidth="1"/>
    <col min="12" max="12" width="8.88671875" style="33" customWidth="1"/>
    <col min="13" max="13" width="10.6640625" style="33" customWidth="1"/>
    <col min="14" max="16384" width="8.88671875" style="33"/>
  </cols>
  <sheetData>
    <row r="2" spans="2:13" ht="15" thickBot="1" x14ac:dyDescent="0.35"/>
    <row r="3" spans="2:13" ht="15" thickBot="1" x14ac:dyDescent="0.35">
      <c r="C3" s="32" t="s">
        <v>870</v>
      </c>
      <c r="D3" s="32">
        <v>2025</v>
      </c>
      <c r="E3" s="32">
        <v>2024</v>
      </c>
      <c r="G3" s="100" t="s">
        <v>871</v>
      </c>
      <c r="H3" s="101"/>
      <c r="I3" s="101"/>
      <c r="J3" s="101">
        <v>2025</v>
      </c>
      <c r="K3" s="101"/>
      <c r="L3" s="101">
        <v>2024</v>
      </c>
      <c r="M3" s="102"/>
    </row>
    <row r="4" spans="2:13" x14ac:dyDescent="0.3">
      <c r="C4" s="21" t="s">
        <v>872</v>
      </c>
      <c r="D4" s="22">
        <f>'2025'!H3-'2025'!H77</f>
        <v>2220651547</v>
      </c>
      <c r="E4" s="23">
        <f>'2024'!H3-'2024'!H77</f>
        <v>1786201847</v>
      </c>
      <c r="G4" s="103" t="s">
        <v>873</v>
      </c>
      <c r="H4" s="104"/>
      <c r="I4" s="104"/>
      <c r="J4" s="116">
        <f>'2025'!H211</f>
        <v>3026581564</v>
      </c>
      <c r="K4" s="117"/>
      <c r="L4" s="107">
        <f>'2024'!H211</f>
        <v>2577113417</v>
      </c>
      <c r="M4" s="108"/>
    </row>
    <row r="5" spans="2:13" x14ac:dyDescent="0.3">
      <c r="C5" s="94" t="s">
        <v>874</v>
      </c>
      <c r="D5" s="24">
        <f>'2025'!H3/'2025'!H77</f>
        <v>3.631264849998475</v>
      </c>
      <c r="E5" s="25">
        <f>'2024'!H3/'2024'!H77</f>
        <v>2.7939411350933758</v>
      </c>
      <c r="G5" s="105" t="s">
        <v>875</v>
      </c>
      <c r="H5" s="106"/>
      <c r="I5" s="106"/>
      <c r="J5" s="109">
        <f>'2025'!H215</f>
        <v>2105109081</v>
      </c>
      <c r="K5" s="111"/>
      <c r="L5" s="109">
        <f>'2024'!H215</f>
        <v>1810025931</v>
      </c>
      <c r="M5" s="110"/>
    </row>
    <row r="6" spans="2:13" x14ac:dyDescent="0.3">
      <c r="C6" s="94" t="s">
        <v>876</v>
      </c>
      <c r="D6" s="24">
        <f>('2025'!H3-'2025'!H19)/'2025'!H77</f>
        <v>1.878875070074048</v>
      </c>
      <c r="E6" s="25">
        <f>('2024'!H3-'2024'!H19)/'2024'!H77</f>
        <v>1.4555895848734317</v>
      </c>
      <c r="G6" s="105" t="s">
        <v>877</v>
      </c>
      <c r="H6" s="106"/>
      <c r="I6" s="106"/>
      <c r="J6" s="109">
        <f>'2025'!H228+'2025'!H253</f>
        <v>889179247</v>
      </c>
      <c r="K6" s="111"/>
      <c r="L6" s="109">
        <f>'2024'!H228+'2024'!H253</f>
        <v>838115320</v>
      </c>
      <c r="M6" s="110"/>
    </row>
    <row r="7" spans="2:13" x14ac:dyDescent="0.3">
      <c r="C7" s="94" t="s">
        <v>878</v>
      </c>
      <c r="D7" s="24">
        <f>'2025'!H5/'2025'!H77</f>
        <v>0.43300441244198984</v>
      </c>
      <c r="E7" s="25">
        <f>'2024'!H5/'2024'!H77</f>
        <v>0.27935861928277189</v>
      </c>
      <c r="G7" s="105" t="s">
        <v>788</v>
      </c>
      <c r="H7" s="106"/>
      <c r="I7" s="106"/>
      <c r="J7" s="109">
        <f>'2025'!H228</f>
        <v>726321236</v>
      </c>
      <c r="K7" s="111"/>
      <c r="L7" s="109">
        <f>'2024'!H228</f>
        <v>683585305</v>
      </c>
      <c r="M7" s="111"/>
    </row>
    <row r="8" spans="2:13" ht="15" thickBot="1" x14ac:dyDescent="0.35">
      <c r="C8" s="94" t="s">
        <v>879</v>
      </c>
      <c r="D8" s="24">
        <f>('2025'!H3+'2025'!H34)/('2025'!H77+'2025'!H141)</f>
        <v>2.0908875417113699</v>
      </c>
      <c r="E8" s="25">
        <f>('2024'!H3+'2024'!H34)/('2024'!H77+'2024'!H141)</f>
        <v>1.8872448410641884</v>
      </c>
      <c r="G8" s="114" t="s">
        <v>880</v>
      </c>
      <c r="H8" s="115"/>
      <c r="I8" s="115"/>
      <c r="J8" s="112">
        <f>J7-'2025'!H234</f>
        <v>138522723</v>
      </c>
      <c r="K8" s="113"/>
      <c r="L8" s="112">
        <f>L7-'2024'!H234</f>
        <v>57347164</v>
      </c>
      <c r="M8" s="113"/>
    </row>
    <row r="9" spans="2:13" x14ac:dyDescent="0.3">
      <c r="C9" s="94" t="s">
        <v>881</v>
      </c>
      <c r="D9" s="26">
        <f>ABS((('2024'!H19+'2025'!H19)/2)/'2025'!H213)*360</f>
        <v>549.19789239110685</v>
      </c>
      <c r="E9" s="27">
        <f>ABS((('2023'!H19+'2024'!H19)/2)/'2024'!H213)*360</f>
        <v>496.3594819743937</v>
      </c>
      <c r="F9" s="34"/>
    </row>
    <row r="10" spans="2:13" ht="15" thickBot="1" x14ac:dyDescent="0.35">
      <c r="C10" s="94" t="s">
        <v>882</v>
      </c>
      <c r="D10" s="26">
        <f>360/D9</f>
        <v>0.6555014230528563</v>
      </c>
      <c r="E10" s="27">
        <f>360/E9</f>
        <v>0.72528079562016257</v>
      </c>
    </row>
    <row r="11" spans="2:13" x14ac:dyDescent="0.3">
      <c r="C11" s="94" t="s">
        <v>883</v>
      </c>
      <c r="D11" s="26">
        <f>((('2023'!H14+'2024'!H14)/2)/'2024'!H211)*360</f>
        <v>124.74704504632984</v>
      </c>
      <c r="E11" s="27">
        <f>((('2024'!H14+'2025'!H14)/2)/'2025'!H211)*360</f>
        <v>115.66373013167538</v>
      </c>
      <c r="G11" s="126" t="s">
        <v>884</v>
      </c>
      <c r="H11" s="127"/>
      <c r="I11" s="127"/>
      <c r="J11" s="130">
        <v>236197769</v>
      </c>
      <c r="K11" s="131"/>
      <c r="L11" s="33" t="s">
        <v>885</v>
      </c>
    </row>
    <row r="12" spans="2:13" x14ac:dyDescent="0.3">
      <c r="B12" s="33" t="s">
        <v>886</v>
      </c>
      <c r="C12" s="94" t="s">
        <v>887</v>
      </c>
      <c r="D12" s="24">
        <f>ABS(('2024'!H213)+'2023'!H19- '2024'!H19)</f>
        <v>1316958801</v>
      </c>
      <c r="E12" s="25">
        <f>ABS(('2025'!H213)+'2024'!H19- '2025'!H19)</f>
        <v>1067821159</v>
      </c>
      <c r="G12" s="38" t="s">
        <v>888</v>
      </c>
      <c r="H12" s="37"/>
      <c r="I12" s="37"/>
      <c r="J12" s="128">
        <f>'2025'!H181/'Rascunho Inicial'!J11</f>
        <v>12.48769983513265</v>
      </c>
      <c r="K12" s="129"/>
      <c r="L12" s="33" t="s">
        <v>889</v>
      </c>
    </row>
    <row r="13" spans="2:13" x14ac:dyDescent="0.3">
      <c r="C13" s="94" t="s">
        <v>890</v>
      </c>
      <c r="D13" s="26">
        <f>((('2024'!H84+'2025'!H84)/2)/D12)*360</f>
        <v>77.490215155181616</v>
      </c>
      <c r="E13" s="27">
        <f>((('2023'!H82+'2024'!H84)/2)/E12)*360</f>
        <v>80.241411698791779</v>
      </c>
      <c r="G13" s="118" t="s">
        <v>891</v>
      </c>
      <c r="H13" s="119"/>
      <c r="I13" s="119"/>
      <c r="J13" s="128"/>
      <c r="K13" s="129"/>
      <c r="L13" s="33" t="s">
        <v>889</v>
      </c>
    </row>
    <row r="14" spans="2:13" x14ac:dyDescent="0.3">
      <c r="C14" s="94" t="s">
        <v>892</v>
      </c>
      <c r="D14" s="26">
        <f>D9+D11</f>
        <v>673.94493743743669</v>
      </c>
      <c r="E14" s="27">
        <f>E9+E11</f>
        <v>612.02321210606908</v>
      </c>
      <c r="G14" s="118" t="s">
        <v>893</v>
      </c>
      <c r="H14" s="119"/>
      <c r="I14" s="119"/>
      <c r="J14" s="120">
        <f>'2025'!H242/'Rascunho Inicial'!J11</f>
        <v>2.6228118225790693</v>
      </c>
      <c r="K14" s="121"/>
      <c r="L14" s="33" t="s">
        <v>889</v>
      </c>
    </row>
    <row r="15" spans="2:13" ht="15" thickBot="1" x14ac:dyDescent="0.35">
      <c r="C15" s="94" t="s">
        <v>894</v>
      </c>
      <c r="D15" s="26">
        <f>D14-D13</f>
        <v>596.45472228225503</v>
      </c>
      <c r="E15" s="27">
        <f>E14-E13</f>
        <v>531.78180040727727</v>
      </c>
      <c r="G15" s="122" t="s">
        <v>895</v>
      </c>
      <c r="H15" s="123"/>
      <c r="I15" s="123"/>
      <c r="J15" s="124"/>
      <c r="K15" s="125"/>
      <c r="L15" s="33" t="s">
        <v>896</v>
      </c>
    </row>
    <row r="16" spans="2:13" x14ac:dyDescent="0.3">
      <c r="C16" s="94" t="s">
        <v>897</v>
      </c>
      <c r="D16" s="26">
        <f>D9</f>
        <v>549.19789239110685</v>
      </c>
      <c r="E16" s="27">
        <f>E9</f>
        <v>496.3594819743937</v>
      </c>
    </row>
    <row r="17" spans="3:9" x14ac:dyDescent="0.3">
      <c r="C17" s="96" t="s">
        <v>898</v>
      </c>
      <c r="D17" s="97">
        <f>'2025'!H5+'2025'!H6</f>
        <v>398644232</v>
      </c>
      <c r="E17" s="98">
        <f>'2024'!H5+'2024'!H6</f>
        <v>282683064</v>
      </c>
    </row>
    <row r="18" spans="3:9" x14ac:dyDescent="0.3">
      <c r="C18" s="94" t="s">
        <v>899</v>
      </c>
      <c r="D18" s="24">
        <f>'2025'!H13+'2025'!H19+'2025'!H22+'2025'!H26</f>
        <v>2665955634</v>
      </c>
      <c r="E18" s="25">
        <f>'2024'!H13+'2024'!H19+'2024'!H22+'2024'!H26</f>
        <v>2499204657</v>
      </c>
    </row>
    <row r="19" spans="3:9" x14ac:dyDescent="0.3">
      <c r="C19" s="94" t="s">
        <v>15</v>
      </c>
      <c r="D19" s="24">
        <f>D17+D18</f>
        <v>3064599866</v>
      </c>
      <c r="E19" s="25">
        <f t="shared" ref="E19" si="0">E17+E18</f>
        <v>2781887721</v>
      </c>
    </row>
    <row r="20" spans="3:9" x14ac:dyDescent="0.3">
      <c r="C20" s="96" t="s">
        <v>900</v>
      </c>
      <c r="D20" s="97">
        <f>'2025'!H105+'2025'!H120+'2025'!H121+'2025'!H122+'2025'!H117</f>
        <v>353385807</v>
      </c>
      <c r="E20" s="98">
        <f>'2024'!H105+'2024'!H120+'2024'!H121+'2024'!H122+'2024'!H117</f>
        <v>371559994</v>
      </c>
      <c r="F20" s="35"/>
    </row>
    <row r="21" spans="3:9" x14ac:dyDescent="0.3">
      <c r="C21" s="94" t="s">
        <v>901</v>
      </c>
      <c r="D21" s="24">
        <f>'2025'!H78+'2025'!H84+'2025'!H91+'2025'!H126+'2025'!H127+'2025'!H124</f>
        <v>490562512</v>
      </c>
      <c r="E21" s="25">
        <f>'2024'!H78+'2024'!H84+'2024'!H91+'2024'!H126+'2024'!H127+'2024'!H124</f>
        <v>624125880</v>
      </c>
      <c r="F21" s="34"/>
    </row>
    <row r="22" spans="3:9" x14ac:dyDescent="0.3">
      <c r="C22" s="94" t="s">
        <v>148</v>
      </c>
      <c r="D22" s="24">
        <f>D20+D21</f>
        <v>843948319</v>
      </c>
      <c r="E22" s="25">
        <f>E20+E21</f>
        <v>995685874</v>
      </c>
      <c r="F22" s="35"/>
      <c r="G22" s="35"/>
    </row>
    <row r="23" spans="3:9" x14ac:dyDescent="0.3">
      <c r="C23" s="96" t="s">
        <v>902</v>
      </c>
      <c r="D23" s="97">
        <f t="shared" ref="D23:E25" si="1">D17-D20</f>
        <v>45258425</v>
      </c>
      <c r="E23" s="98">
        <f t="shared" si="1"/>
        <v>-88876930</v>
      </c>
    </row>
    <row r="24" spans="3:9" x14ac:dyDescent="0.3">
      <c r="C24" s="96" t="s">
        <v>903</v>
      </c>
      <c r="D24" s="97">
        <f t="shared" si="1"/>
        <v>2175393122</v>
      </c>
      <c r="E24" s="98">
        <f t="shared" si="1"/>
        <v>1875078777</v>
      </c>
      <c r="F24" s="35"/>
    </row>
    <row r="25" spans="3:9" x14ac:dyDescent="0.3">
      <c r="C25" s="96" t="s">
        <v>904</v>
      </c>
      <c r="D25" s="97">
        <f t="shared" si="1"/>
        <v>2220651547</v>
      </c>
      <c r="E25" s="97">
        <f t="shared" si="1"/>
        <v>1786201847</v>
      </c>
      <c r="F25" s="35"/>
      <c r="I25" s="33" t="s">
        <v>146</v>
      </c>
    </row>
    <row r="26" spans="3:9" x14ac:dyDescent="0.3">
      <c r="C26" s="94" t="s">
        <v>905</v>
      </c>
      <c r="D26" s="26">
        <f>'2025'!H76/'2025'!H181</f>
        <v>1.6011481151581064</v>
      </c>
      <c r="E26" s="27">
        <f>'2024'!H76/'2024'!H181</f>
        <v>1.7115850591105226</v>
      </c>
      <c r="F26" s="35"/>
    </row>
    <row r="27" spans="3:9" x14ac:dyDescent="0.3">
      <c r="C27" s="94" t="s">
        <v>906</v>
      </c>
      <c r="D27" s="28">
        <f>'2025'!H76/('2025'!H76+'2025'!H181)</f>
        <v>0.61555437993994555</v>
      </c>
      <c r="E27" s="29">
        <f>'2024'!H76/('2024'!H76+'2024'!H181)</f>
        <v>0.63121201135101823</v>
      </c>
    </row>
    <row r="28" spans="3:9" x14ac:dyDescent="0.3">
      <c r="C28" s="94" t="s">
        <v>907</v>
      </c>
      <c r="D28" s="28">
        <f>'2025'!H2/'2025'!H76</f>
        <v>1</v>
      </c>
      <c r="E28" s="29">
        <f>'2024'!H2/'2024'!H76</f>
        <v>1</v>
      </c>
    </row>
    <row r="29" spans="3:9" x14ac:dyDescent="0.3">
      <c r="C29" s="94" t="s">
        <v>908</v>
      </c>
      <c r="D29" s="28">
        <f>'2025'!H77/'2025'!H76</f>
        <v>0.17870063746768056</v>
      </c>
      <c r="E29" s="29">
        <f>'2024'!H77/'2024'!H76</f>
        <v>0.23297817170873378</v>
      </c>
    </row>
    <row r="30" spans="3:9" ht="15" thickBot="1" x14ac:dyDescent="0.35">
      <c r="C30" s="95" t="s">
        <v>909</v>
      </c>
      <c r="D30" s="30">
        <f>'2025'!H66/'2025'!H181</f>
        <v>0.3238941110675444</v>
      </c>
      <c r="E30" s="31">
        <f>'2024'!H66/'2024'!H181</f>
        <v>0.3416864407565266</v>
      </c>
    </row>
    <row r="33" spans="4:5" x14ac:dyDescent="0.3">
      <c r="D33" s="35"/>
      <c r="E33" s="35"/>
    </row>
  </sheetData>
  <mergeCells count="27">
    <mergeCell ref="G14:I14"/>
    <mergeCell ref="J14:K14"/>
    <mergeCell ref="G15:I15"/>
    <mergeCell ref="J15:K15"/>
    <mergeCell ref="G11:I11"/>
    <mergeCell ref="J12:K12"/>
    <mergeCell ref="J11:K11"/>
    <mergeCell ref="G13:I13"/>
    <mergeCell ref="J13:K13"/>
    <mergeCell ref="L7:M7"/>
    <mergeCell ref="L8:M8"/>
    <mergeCell ref="G7:I7"/>
    <mergeCell ref="G8:I8"/>
    <mergeCell ref="J4:K4"/>
    <mergeCell ref="J5:K5"/>
    <mergeCell ref="J6:K6"/>
    <mergeCell ref="J7:K7"/>
    <mergeCell ref="J8:K8"/>
    <mergeCell ref="G6:I6"/>
    <mergeCell ref="L6:M6"/>
    <mergeCell ref="G3:I3"/>
    <mergeCell ref="J3:K3"/>
    <mergeCell ref="L3:M3"/>
    <mergeCell ref="G4:I4"/>
    <mergeCell ref="G5:I5"/>
    <mergeCell ref="L4:M4"/>
    <mergeCell ref="L5:M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2025</vt:lpstr>
      <vt:lpstr>2024</vt:lpstr>
      <vt:lpstr>2023</vt:lpstr>
      <vt:lpstr>Indicadores</vt:lpstr>
      <vt:lpstr>Rascunho Inicial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Melissa Yano</cp:lastModifiedBy>
  <cp:revision/>
  <dcterms:created xsi:type="dcterms:W3CDTF">2026-04-01T13:53:20Z</dcterms:created>
  <dcterms:modified xsi:type="dcterms:W3CDTF">2026-06-11T02:28:36Z</dcterms:modified>
  <cp:category/>
  <cp:contentStatus/>
</cp:coreProperties>
</file>