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amiliaserakides/Downloads/"/>
    </mc:Choice>
  </mc:AlternateContent>
  <xr:revisionPtr revIDLastSave="0" documentId="13_ncr:1_{CF9B54C0-3DC5-7948-8D72-BCA2AEF9A9CD}" xr6:coauthVersionLast="47" xr6:coauthVersionMax="47" xr10:uidLastSave="{00000000-0000-0000-0000-000000000000}"/>
  <bookViews>
    <workbookView xWindow="40" yWindow="800" windowWidth="27300" windowHeight="17440" activeTab="3" xr2:uid="{00000000-000D-0000-FFFF-FFFF00000000}"/>
  </bookViews>
  <sheets>
    <sheet name="2023 4" sheetId="1" r:id="rId1"/>
    <sheet name="2024 4" sheetId="2" r:id="rId2"/>
    <sheet name="2025 4" sheetId="3" r:id="rId3"/>
    <sheet name="Indicador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4" i="2" l="1"/>
  <c r="J205" i="3"/>
  <c r="H205" i="2"/>
  <c r="J200" i="2"/>
  <c r="J196" i="2"/>
  <c r="J201" i="3"/>
  <c r="J197" i="3"/>
  <c r="B24" i="4"/>
  <c r="C24" i="4"/>
  <c r="B25" i="4"/>
  <c r="C25" i="4"/>
  <c r="B26" i="4"/>
  <c r="C26" i="4"/>
  <c r="B27" i="4"/>
  <c r="C27" i="4"/>
  <c r="B28" i="4"/>
  <c r="C28" i="4"/>
  <c r="C4" i="4"/>
  <c r="B4" i="4"/>
  <c r="C6" i="4"/>
  <c r="C10" i="4"/>
  <c r="C11" i="4" s="1"/>
  <c r="B10" i="4"/>
  <c r="B11" i="4" s="1"/>
  <c r="B6" i="4"/>
  <c r="C3" i="4"/>
  <c r="B3" i="4"/>
  <c r="C20" i="4"/>
  <c r="B20" i="4"/>
  <c r="C18" i="4"/>
  <c r="C19" i="4" s="1"/>
  <c r="B18" i="4"/>
  <c r="B19" i="4" s="1"/>
  <c r="C17" i="4"/>
  <c r="C23" i="4" s="1"/>
  <c r="B17" i="4"/>
  <c r="B23" i="4" s="1"/>
  <c r="C15" i="4"/>
  <c r="B15" i="4"/>
  <c r="C7" i="4"/>
  <c r="C14" i="4" s="1"/>
  <c r="B7" i="4"/>
  <c r="B14" i="4" s="1"/>
  <c r="C9" i="4"/>
  <c r="B9" i="4"/>
  <c r="C5" i="4"/>
  <c r="B5" i="4"/>
  <c r="B2" i="4"/>
  <c r="C2" i="4"/>
  <c r="C21" i="4" l="1"/>
  <c r="C16" i="4"/>
  <c r="C22" i="4" s="1"/>
  <c r="B21" i="4"/>
  <c r="B16" i="4"/>
  <c r="B22" i="4" s="1"/>
  <c r="C12" i="4"/>
  <c r="C13" i="4" s="1"/>
  <c r="C8" i="4"/>
  <c r="B12" i="4"/>
  <c r="B13" i="4" s="1"/>
  <c r="B8" i="4"/>
</calcChain>
</file>

<file path=xl/sharedStrings.xml><?xml version="1.0" encoding="utf-8"?>
<sst xmlns="http://schemas.openxmlformats.org/spreadsheetml/2006/main" count="5095" uniqueCount="768">
  <si>
    <t>id</t>
  </si>
  <si>
    <t>empresa_tic</t>
  </si>
  <si>
    <t>ano_tri</t>
  </si>
  <si>
    <t>data_ini</t>
  </si>
  <si>
    <t>data_fim</t>
  </si>
  <si>
    <t>conta</t>
  </si>
  <si>
    <t>descricao</t>
  </si>
  <si>
    <t>valor</t>
  </si>
  <si>
    <t>tipo_balanco</t>
  </si>
  <si>
    <t>NATU</t>
  </si>
  <si>
    <t>20234T</t>
  </si>
  <si>
    <t>1</t>
  </si>
  <si>
    <t>Ativo Total</t>
  </si>
  <si>
    <t>DFs Consolidadas</t>
  </si>
  <si>
    <t>1.01</t>
  </si>
  <si>
    <t>Ativo Circulante</t>
  </si>
  <si>
    <t>1.01.01</t>
  </si>
  <si>
    <t>Caixa e Equivalentes de Caixa</t>
  </si>
  <si>
    <t>1.01.02</t>
  </si>
  <si>
    <t>Aplicações Financeiras</t>
  </si>
  <si>
    <t>1.01.02.01</t>
  </si>
  <si>
    <t>Aplicações Financeiras Avaliadas a Valor Justo através do Resultado</t>
  </si>
  <si>
    <t>1.01.02.01.01</t>
  </si>
  <si>
    <t>Títulos para Negociação</t>
  </si>
  <si>
    <t>1.01.02.01.02</t>
  </si>
  <si>
    <t>Títulos Designados a Valor Justo</t>
  </si>
  <si>
    <t>1.01.02.02</t>
  </si>
  <si>
    <t>Aplicações Financeiras Avaliadas a Valor Justo através de Outros Resultados Abrangentes</t>
  </si>
  <si>
    <t>1.01.02.03</t>
  </si>
  <si>
    <t>Aplicações Financeiras Avaliadas ao Custo Amortizado</t>
  </si>
  <si>
    <t>1.01.03</t>
  </si>
  <si>
    <t>Contas a Receber</t>
  </si>
  <si>
    <t>1.01.03.01</t>
  </si>
  <si>
    <t>Clientes</t>
  </si>
  <si>
    <t>1.01.03.01.01</t>
  </si>
  <si>
    <t>Contas a receber - Alienação de controladas</t>
  </si>
  <si>
    <t>1.01.03.01.02</t>
  </si>
  <si>
    <t>1.01.03.02</t>
  </si>
  <si>
    <t>Outras Contas a Receber</t>
  </si>
  <si>
    <t>1.01.04</t>
  </si>
  <si>
    <t>Estoques</t>
  </si>
  <si>
    <t>1.01.05</t>
  </si>
  <si>
    <t>Ativos Biológicos</t>
  </si>
  <si>
    <t>1.01.06</t>
  </si>
  <si>
    <t>Tributos a Recuperar</t>
  </si>
  <si>
    <t>1.01.06.01</t>
  </si>
  <si>
    <t>Tributos Correntes a Recuperar</t>
  </si>
  <si>
    <t>1.01.06.01.01</t>
  </si>
  <si>
    <t>1.01.06.01.02</t>
  </si>
  <si>
    <t>Imposto de Renda e Contribuição Social</t>
  </si>
  <si>
    <t>1.01.07</t>
  </si>
  <si>
    <t>Despesas Antecipadas</t>
  </si>
  <si>
    <t>1.01.08</t>
  </si>
  <si>
    <t>Outros Ativos Circulantes</t>
  </si>
  <si>
    <t>1.01.08.01</t>
  </si>
  <si>
    <t>Ativos Não-Correntes a Venda</t>
  </si>
  <si>
    <t>1.01.08.02</t>
  </si>
  <si>
    <t>Ativos de Operações Descontinuadas</t>
  </si>
  <si>
    <t>1.01.08.03</t>
  </si>
  <si>
    <t>Outros</t>
  </si>
  <si>
    <t>1.01.08.03.01</t>
  </si>
  <si>
    <t>Partes Relacionadas</t>
  </si>
  <si>
    <t>1.01.08.03.02</t>
  </si>
  <si>
    <t>Instrumentos Financeiros Derivativos</t>
  </si>
  <si>
    <t>1.01.08.03.03</t>
  </si>
  <si>
    <t>Outros Créditos</t>
  </si>
  <si>
    <t>1.02</t>
  </si>
  <si>
    <t>Ativo Não Circulante</t>
  </si>
  <si>
    <t>1.02.01</t>
  </si>
  <si>
    <t>Ativo Realizável a Longo Prazo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</si>
  <si>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</si>
  <si>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</si>
  <si>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</si>
  <si>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</si>
  <si>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</si>
  <si>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</si>
  <si>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</si>
  <si>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1.02.01.04.03</t>
  </si>
  <si>
    <t>1.02.01.05</t>
  </si>
  <si>
    <t>1.02.01.06</t>
  </si>
  <si>
    <t>1.02.01.07</t>
  </si>
  <si>
    <t>Tributos Diferidos</t>
  </si>
  <si>
    <t>1.02.01.07.01</t>
  </si>
  <si>
    <t>Imposto de Renda e Contribuição Social Diferidos</t>
  </si>
  <si>
    <t>1.02.01.08</t>
  </si>
  <si>
    <t>1.02.01.09</t>
  </si>
  <si>
    <t>Créditos com Partes Relacionadas</t>
  </si>
  <si>
    <t>1.02.01.09.01</t>
  </si>
  <si>
    <t>Créditos com Coligadas</t>
  </si>
  <si>
    <t>1.02.01.09.03</t>
  </si>
  <si>
    <t>Créditos com Controladores</t>
  </si>
  <si>
    <t>1.02.01.09.04</t>
  </si>
  <si>
    <t>Créditos com Outras Partes Relacionadas</t>
  </si>
  <si>
    <t>1.02.01.10</t>
  </si>
  <si>
    <t>Outros Ativos Não Circulantes</t>
  </si>
  <si>
    <t>1.02.01.10.01</t>
  </si>
  <si>
    <t>1.02.01.10.02</t>
  </si>
  <si>
    <t>1.02.01.10.03</t>
  </si>
  <si>
    <t>Depósitos Judiciais</t>
  </si>
  <si>
    <t>1.02.01.10.04</t>
  </si>
  <si>
    <t>Impostos a Recuperar</t>
  </si>
  <si>
    <t>1.02.01.10.05</t>
  </si>
  <si>
    <t>Outros ativos não circulantes</t>
  </si>
  <si>
    <t>1.02.01.10.06</t>
  </si>
  <si>
    <t>1.02.01.10.07</t>
  </si>
  <si>
    <t>Títulos e valores mobiliários</t>
  </si>
  <si>
    <t>1.02.01.10.08</t>
  </si>
  <si>
    <t>Imposto de renda e contribuição social</t>
  </si>
  <si>
    <t>1.02.02</t>
  </si>
  <si>
    <t>Investimentos</t>
  </si>
  <si>
    <t>1.02.02.01</t>
  </si>
  <si>
    <t>Participações Societárias</t>
  </si>
  <si>
    <t>1.02.02.01.01</t>
  </si>
  <si>
    <t>Participações em Coligadas</t>
  </si>
  <si>
    <t>1.02.02.01.04</t>
  </si>
  <si>
    <t>Participações em Controladas em Conjunto</t>
  </si>
  <si>
    <t>1.02.02.01.05</t>
  </si>
  <si>
    <t>Outros Investimentos</t>
  </si>
  <si>
    <t>1.02.02.02</t>
  </si>
  <si>
    <t>Propriedades para Investimento</t>
  </si>
  <si>
    <t>1.02.03</t>
  </si>
  <si>
    <t>Imobilizado</t>
  </si>
  <si>
    <t>1.02.03.01</t>
  </si>
  <si>
    <t>Imobilizado em Operação</t>
  </si>
  <si>
    <t>1.02.03.02</t>
  </si>
  <si>
    <t>Direito de Uso em Arrendamento</t>
  </si>
  <si>
    <t>1.02.03.03</t>
  </si>
  <si>
    <t>Imobilizado em Andamento</t>
  </si>
  <si>
    <t>1.02.04</t>
  </si>
  <si>
    <t>Intangível</t>
  </si>
  <si>
    <t>1.02.04.01</t>
  </si>
  <si>
    <t>Intangíveis</t>
  </si>
  <si>
    <t>1.02.04.01.01</t>
  </si>
  <si>
    <t>Contrato de Concessão</t>
  </si>
  <si>
    <t>1.02.04.02</t>
  </si>
  <si>
    <t>Goodwill</t>
  </si>
  <si>
    <t>2</t>
  </si>
  <si>
    <t>Passivo Total</t>
  </si>
  <si>
    <t>2.01</t>
  </si>
  <si>
    <t>Passivo Circulante</t>
  </si>
  <si>
    <t>2.01.01</t>
  </si>
  <si>
    <t>Obrigações Sociais e Trabalhistas</t>
  </si>
  <si>
    <t>2.01.01.01</t>
  </si>
  <si>
    <t>Obrigações Sociais</t>
  </si>
  <si>
    <t>2.01.01.02</t>
  </si>
  <si>
    <t>Obrigações Trabalhistas</t>
  </si>
  <si>
    <t>2.01.02</t>
  </si>
  <si>
    <t>Fornecedores</t>
  </si>
  <si>
    <t>2.01.02.01</t>
  </si>
  <si>
    <t>Fornecedores Nacionais</t>
  </si>
  <si>
    <t>2.01.02.02</t>
  </si>
  <si>
    <t>Fornecedores Estrangeiros</t>
  </si>
  <si>
    <t>2.01.03</t>
  </si>
  <si>
    <t>Obrigações Fiscais</t>
  </si>
  <si>
    <t>2.01.03.01</t>
  </si>
  <si>
    <t>Obrigações Fiscais Federais</t>
  </si>
  <si>
    <t>2.01.03.01.01</t>
  </si>
  <si>
    <t>Imposto de Renda e Contribuição Social a Pagar</t>
  </si>
  <si>
    <t>2.01.03.01.02</t>
  </si>
  <si>
    <t>Obrigações tributárias</t>
  </si>
  <si>
    <t>2.01.03.02</t>
  </si>
  <si>
    <t>Obrigações Fiscais Estaduais</t>
  </si>
  <si>
    <t>2.01.03.03</t>
  </si>
  <si>
    <t>Obrigações Fiscais Municipais</t>
  </si>
  <si>
    <t>2.01.04</t>
  </si>
  <si>
    <t>Empréstimos e Financiamentos</t>
  </si>
  <si>
    <t>2.01.04.01</t>
  </si>
  <si>
    <t>2.01.04.01.01</t>
  </si>
  <si>
    <t>Em Moeda Nacional</t>
  </si>
  <si>
    <t>2.01.04.01.02</t>
  </si>
  <si>
    <t>Em Moeda Estrangeira</t>
  </si>
  <si>
    <t>2.01.04.02</t>
  </si>
  <si>
    <t>Debêntures</t>
  </si>
  <si>
    <t>2.01.04.03</t>
  </si>
  <si>
    <t>Financiamento por Arrendamento</t>
  </si>
  <si>
    <t>2.01.05</t>
  </si>
  <si>
    <t>Outras Obrigações</t>
  </si>
  <si>
    <t>2.01.05.01</t>
  </si>
  <si>
    <t>Passivos com Partes Relacionadas</t>
  </si>
  <si>
    <t>2.01.05.01.01</t>
  </si>
  <si>
    <t>Débitos com Coligadas</t>
  </si>
  <si>
    <t>2.01.05.01.03</t>
  </si>
  <si>
    <t>Débitos com Controladores</t>
  </si>
  <si>
    <t>2.01.05.01.04</t>
  </si>
  <si>
    <t>Débitos com Outras Partes Relacionadas</t>
  </si>
  <si>
    <t>2.01.05.02</t>
  </si>
  <si>
    <t>2.01.05.02.01</t>
  </si>
  <si>
    <t>Dividendos e JCP a Pagar</t>
  </si>
  <si>
    <t>2.01.05.02.02</t>
  </si>
  <si>
    <t>Dividendo Mínimo Obrigatório a Pagar</t>
  </si>
  <si>
    <t>2.01.05.02.03</t>
  </si>
  <si>
    <t>Obrigações por Pagamentos Baseados em Ações</t>
  </si>
  <si>
    <t>2.01.05.02.04</t>
  </si>
  <si>
    <t>Instrumentos financeiros derivativos</t>
  </si>
  <si>
    <t>2.01.05.02.05</t>
  </si>
  <si>
    <t>Passivo de arrendamento</t>
  </si>
  <si>
    <t>2.01.05.02.06</t>
  </si>
  <si>
    <t>Outros passivos circulantes</t>
  </si>
  <si>
    <t>2.01.06</t>
  </si>
  <si>
    <t>Provisões</t>
  </si>
  <si>
    <t>2.01.06.01</t>
  </si>
  <si>
    <t>Provisões Fiscais Previdenciárias Trabalhistas e Cíveis</t>
  </si>
  <si>
    <t>2.01.06.01.01</t>
  </si>
  <si>
    <t>Provisões Fiscais</t>
  </si>
  <si>
    <t>2.01.06.01.02</t>
  </si>
  <si>
    <t>Provisões Previdenciárias e Trabalhistas</t>
  </si>
  <si>
    <t>2.01.06.01.03</t>
  </si>
  <si>
    <t>Provisões para Benefícios a Empregados</t>
  </si>
  <si>
    <t>2.01.06.01.04</t>
  </si>
  <si>
    <t>Provisões Cíveis</t>
  </si>
  <si>
    <t>2.01.06.02</t>
  </si>
  <si>
    <t>Outras Provisões</t>
  </si>
  <si>
    <t>2.01.06.02.01</t>
  </si>
  <si>
    <t>Provisões para Garantias</t>
  </si>
  <si>
    <t>2.01.06.02.02</t>
  </si>
  <si>
    <t>Provisões para Reestruturação</t>
  </si>
  <si>
    <t>2.01.06.02.03</t>
  </si>
  <si>
    <t>Provisões para Passivos Ambientais e de Desativação</t>
  </si>
  <si>
    <t>2.01.07</t>
  </si>
  <si>
    <t>Passivos sobre Ativos Não-Correntes a Venda e Descontinuados</t>
  </si>
  <si>
    <t>2.01.07.01</t>
  </si>
  <si>
    <t>Passivos sobre Ativos Não-Correntes a Venda</t>
  </si>
  <si>
    <t>2.01.07.02</t>
  </si>
  <si>
    <t>Passivos sobre Ativos de Operações Descontinuadas</t>
  </si>
  <si>
    <t>2.02</t>
  </si>
  <si>
    <t>Passivo Não Circulante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</si>
  <si>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</si>
  <si>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</si>
  <si>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</si>
  <si>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</si>
  <si>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</si>
  <si>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</si>
  <si>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</si>
  <si>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</si>
  <si>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</si>
  <si>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</si>
  <si>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</si>
  <si>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</si>
  <si>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</si>
  <si>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</si>
  <si>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Adiantamento para Futuro Aumento de Capital</t>
  </si>
  <si>
    <t>2.02.02.02.03</t>
  </si>
  <si>
    <t>2.02.02.02.04</t>
  </si>
  <si>
    <t>2.02.02.02.05</t>
  </si>
  <si>
    <t>Salários, participações nos resultados e encargos sociais</t>
  </si>
  <si>
    <t>2.02.02.02.06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</si>
  <si>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</si>
  <si>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</si>
  <si>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</si>
  <si>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</si>
  <si>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</si>
  <si>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</si>
  <si>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</si>
  <si>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</si>
  <si>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</si>
  <si>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</si>
  <si>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</si>
  <si>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</si>
  <si>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2.02.04.02.04</t>
  </si>
  <si>
    <t>2.02.04.02.05</t>
  </si>
  <si>
    <t>2.02.05</t>
  </si>
  <si>
    <t>2.02.05.01</t>
  </si>
  <si>
    <t>2.02.05.02</t>
  </si>
  <si>
    <t>2.02.06</t>
  </si>
  <si>
    <t>Lucros e Receitas a Apropriar</t>
  </si>
  <si>
    <t>2.02.06.01</t>
  </si>
  <si>
    <t>Lucros a Apropriar</t>
  </si>
  <si>
    <t>2.02.06.02</t>
  </si>
  <si>
    <t>Receitas a Apropriar</t>
  </si>
  <si>
    <t>2.02.06.03</t>
  </si>
  <si>
    <t>Subvenções de Investimento a Apropriar</t>
  </si>
  <si>
    <t>2.03</t>
  </si>
  <si>
    <t>Patrimônio Líquido Consolidado</t>
  </si>
  <si>
    <t>2.03.01</t>
  </si>
  <si>
    <t>Capital Social Realizado</t>
  </si>
  <si>
    <t>2.03.02</t>
  </si>
  <si>
    <t>Reservas de Capital</t>
  </si>
  <si>
    <t>2.03.02.01</t>
  </si>
  <si>
    <t>Ágio na Emissão de Ações</t>
  </si>
  <si>
    <t>2.03.02.02</t>
  </si>
  <si>
    <t>Reserva Especial de Ágio na Incorporação</t>
  </si>
  <si>
    <t>2.03.02.03</t>
  </si>
  <si>
    <t>Alienação de Bônus de Subscrição</t>
  </si>
  <si>
    <t>2.03.02.04</t>
  </si>
  <si>
    <t>Opções Outorgadas</t>
  </si>
  <si>
    <t>2.03.02.05</t>
  </si>
  <si>
    <t>Ações em Tesouraria</t>
  </si>
  <si>
    <t>2.03.02.06</t>
  </si>
  <si>
    <t>2.03.02.07</t>
  </si>
  <si>
    <t>Capital adicional integralizado</t>
  </si>
  <si>
    <t>2.03.02.08</t>
  </si>
  <si>
    <t>Ágio / deságio em transações de capital</t>
  </si>
  <si>
    <t>2.03.03</t>
  </si>
  <si>
    <t>Reservas de Reavaliação</t>
  </si>
  <si>
    <t>2.03.04</t>
  </si>
  <si>
    <t>Reservas de Lucros</t>
  </si>
  <si>
    <t>2.03.04.01</t>
  </si>
  <si>
    <t>Reserva Legal</t>
  </si>
  <si>
    <t>2.03.04.02</t>
  </si>
  <si>
    <t>Reserva Estatutária</t>
  </si>
  <si>
    <t>2.03.04.03</t>
  </si>
  <si>
    <t>Reserva para Contingências</t>
  </si>
  <si>
    <t>2.03.04.04</t>
  </si>
  <si>
    <t>Reserva de Lucros a Realizar</t>
  </si>
  <si>
    <t>2.03.04.05</t>
  </si>
  <si>
    <t>Reserva de Retenção de Lucros</t>
  </si>
  <si>
    <t>2.03.04.06</t>
  </si>
  <si>
    <t>Reserva Especial para Dividendos Não Distribuídos</t>
  </si>
  <si>
    <t>2.03.04.07</t>
  </si>
  <si>
    <t>Reserva de Incentivos Fiscais</t>
  </si>
  <si>
    <t>2.03.04.08</t>
  </si>
  <si>
    <t>Dividendo Adicional Proposto</t>
  </si>
  <si>
    <t>2.03.04.09</t>
  </si>
  <si>
    <t>2.03.04.10</t>
  </si>
  <si>
    <t>2.03.04.11</t>
  </si>
  <si>
    <t>2.03.05</t>
  </si>
  <si>
    <t>Lucros/Prejuízos Acumulados</t>
  </si>
  <si>
    <t>2.03.06</t>
  </si>
  <si>
    <t>Ajustes de Avaliação Patrimonial</t>
  </si>
  <si>
    <t>2.03.07</t>
  </si>
  <si>
    <t>Ajustes Acumulados de Conversão</t>
  </si>
  <si>
    <t>2.03.08</t>
  </si>
  <si>
    <t>Outros Resultados Abrangentes</t>
  </si>
  <si>
    <t>2.03.09</t>
  </si>
  <si>
    <t>Participação dos Acionistas Não Controladores</t>
  </si>
  <si>
    <t>3.01</t>
  </si>
  <si>
    <t>Receita de Venda de Bens e/ou Serviços</t>
  </si>
  <si>
    <t>3.02</t>
  </si>
  <si>
    <t>Custo dos Bens e/ou Serviços Vendidos</t>
  </si>
  <si>
    <t>3.03</t>
  </si>
  <si>
    <t>Resultado Bruto</t>
  </si>
  <si>
    <t>3.04</t>
  </si>
  <si>
    <t>Despesas/Receitas Operacionais</t>
  </si>
  <si>
    <t>3.04.01</t>
  </si>
  <si>
    <t>Despesas com Vendas</t>
  </si>
  <si>
    <t>3.04.02</t>
  </si>
  <si>
    <t>Despesas Gerais e Administrativas</t>
  </si>
  <si>
    <t>3.04.02.01</t>
  </si>
  <si>
    <t>3.04.02.02</t>
  </si>
  <si>
    <t>Remuneração dos administradores</t>
  </si>
  <si>
    <t>3.04.02.03</t>
  </si>
  <si>
    <t>Participação dos colab. e adm. no lucro</t>
  </si>
  <si>
    <t>3.04.03</t>
  </si>
  <si>
    <t>Perdas pela Não Recuperabilidade de Ativos</t>
  </si>
  <si>
    <t>3.04.04</t>
  </si>
  <si>
    <t>Outras Receitas Operacionais</t>
  </si>
  <si>
    <t>3.04.05</t>
  </si>
  <si>
    <t>Outras Despesas Operacionais</t>
  </si>
  <si>
    <t>3.04.06</t>
  </si>
  <si>
    <t>Resultado de Equivalência Patrimonial</t>
  </si>
  <si>
    <t>3.05</t>
  </si>
  <si>
    <t>Resultado Antes do Resultado Financeiro e dos Tributos</t>
  </si>
  <si>
    <t>3.06</t>
  </si>
  <si>
    <t>Resultado Financeiro</t>
  </si>
  <si>
    <t>3.06.01</t>
  </si>
  <si>
    <t>Receitas Financeiras</t>
  </si>
  <si>
    <t>3.06.01.01</t>
  </si>
  <si>
    <t>Resultado Financeiro Líquido</t>
  </si>
  <si>
    <t>3.06.02</t>
  </si>
  <si>
    <t>Despesas Financeiras</t>
  </si>
  <si>
    <t>3.06.02.01</t>
  </si>
  <si>
    <t>3.07</t>
  </si>
  <si>
    <t>Resultado Antes dos Tributos sobre o Lucro</t>
  </si>
  <si>
    <t>3.08</t>
  </si>
  <si>
    <t>Imposto de Renda e Contribuição Social sobre o Lucro</t>
  </si>
  <si>
    <t>3.08.01</t>
  </si>
  <si>
    <t>Corrente</t>
  </si>
  <si>
    <t>3.08.02</t>
  </si>
  <si>
    <t>Diferido</t>
  </si>
  <si>
    <t>3.09</t>
  </si>
  <si>
    <t>Resultado Líquido das Operações Continuadas</t>
  </si>
  <si>
    <t>3.10</t>
  </si>
  <si>
    <t>Resultado Líquido de Operações Descontinuadas</t>
  </si>
  <si>
    <t>3.10.01</t>
  </si>
  <si>
    <t>Lucro/Prejuízo Líquido das Operações Descontinuadas</t>
  </si>
  <si>
    <t>3.10.02</t>
  </si>
  <si>
    <t>Ganhos/Perdas Líquidas sobre Ativos de Operações Descontinuadas</t>
  </si>
  <si>
    <t>3.11</t>
  </si>
  <si>
    <t>Lucro/Prejuízo Consolidado do Período</t>
  </si>
  <si>
    <t>3.11.01</t>
  </si>
  <si>
    <t>Atribuído a Sócios da Empresa Controladora</t>
  </si>
  <si>
    <t>3.11.02</t>
  </si>
  <si>
    <t>Atribuído a Sócios Não Controladores</t>
  </si>
  <si>
    <t>3.99</t>
  </si>
  <si>
    <t>Lucro por Ação - (Reais / Ação)</t>
  </si>
  <si>
    <t>3.99.01</t>
  </si>
  <si>
    <t>Lucro Básico por Ação</t>
  </si>
  <si>
    <t>3.99.01.01</t>
  </si>
  <si>
    <t>ON</t>
  </si>
  <si>
    <t>3.99.02</t>
  </si>
  <si>
    <t>Lucro Diluído por Ação</t>
  </si>
  <si>
    <t>3.99.02.01</t>
  </si>
  <si>
    <t>6.01</t>
  </si>
  <si>
    <t>Caixa Líquido Atividades Operacionais</t>
  </si>
  <si>
    <t>6.01.01</t>
  </si>
  <si>
    <t>Caixa Gerado nas Operações</t>
  </si>
  <si>
    <t>6.01.01.01</t>
  </si>
  <si>
    <t>Depreciações e amortizações</t>
  </si>
  <si>
    <t>6.01.01.02</t>
  </si>
  <si>
    <t>Perda decorrente de operações com derivativos</t>
  </si>
  <si>
    <t>6.01.01.03</t>
  </si>
  <si>
    <t>Provisão (reversão) para riscos tributários, cíveis e trabalhistas</t>
  </si>
  <si>
    <t>6.01.01.04</t>
  </si>
  <si>
    <t>Atualização monetária de depósitos judiciais</t>
  </si>
  <si>
    <t>6.01.01.05</t>
  </si>
  <si>
    <t>6.01.01.06</t>
  </si>
  <si>
    <t>Resultado na venda e baixa de ativo imobilizado e intangível</t>
  </si>
  <si>
    <t>6.01.01.07</t>
  </si>
  <si>
    <t>Resultado de equivalência patrimonial</t>
  </si>
  <si>
    <t>6.01.01.08</t>
  </si>
  <si>
    <t>Juros, variação cambial sobre empréstimos, financiamentos e debêntures, líquido dos custos de captaç</t>
  </si>
  <si>
    <t>6.01.01.09</t>
  </si>
  <si>
    <t>Atualização e variação cambial sobre outros ativos e passivos</t>
  </si>
  <si>
    <t>6.01.01.10</t>
  </si>
  <si>
    <t>Provisão de planos de outorga de opções de compra de ações</t>
  </si>
  <si>
    <t>6.01.01.11</t>
  </si>
  <si>
    <t>Provisão para perdas de crédito esperadas, líquida de reversões</t>
  </si>
  <si>
    <t>6.01.01.12</t>
  </si>
  <si>
    <t>Provisão para perdas na realização dos estoques, líquida de reversões</t>
  </si>
  <si>
    <t>6.01.01.13</t>
  </si>
  <si>
    <t>Provisão para créditos de carbono</t>
  </si>
  <si>
    <t>6.01.01.14</t>
  </si>
  <si>
    <t>Lucro líquido do exercício</t>
  </si>
  <si>
    <t>6.01.01.15</t>
  </si>
  <si>
    <t>Atualização monetária da provisão para riscos tributários, cíveis e trabalhistas</t>
  </si>
  <si>
    <t>6.01.01.16</t>
  </si>
  <si>
    <t>Efeito de economia hiperinflacionária</t>
  </si>
  <si>
    <t>6.01.01.17</t>
  </si>
  <si>
    <t>Reversão de valor justo reconhecido em combinações de negócios</t>
  </si>
  <si>
    <t>6.01.01.18</t>
  </si>
  <si>
    <t>Reversão de provisão para impairment</t>
  </si>
  <si>
    <t>6.01.01.19</t>
  </si>
  <si>
    <t>Juros e variação cambial sobre arrendamentos</t>
  </si>
  <si>
    <t>6.01.01.20</t>
  </si>
  <si>
    <t>Ganho com juros e variação cambial sobre títulos de valores mobiliários</t>
  </si>
  <si>
    <t>6.01.02</t>
  </si>
  <si>
    <t>Variações nos Ativos e Passivos</t>
  </si>
  <si>
    <t>6.01.02.01</t>
  </si>
  <si>
    <t>(aumento)/redução - Contas a receber</t>
  </si>
  <si>
    <t>6.01.02.02</t>
  </si>
  <si>
    <t>(aumento)/redução - Estoques</t>
  </si>
  <si>
    <t>6.01.02.03</t>
  </si>
  <si>
    <t>(aumento)/redução - Impostos a recuperar</t>
  </si>
  <si>
    <t>6.01.02.04</t>
  </si>
  <si>
    <t>(aumento)/redução - Outros ativos</t>
  </si>
  <si>
    <t>6.01.02.05</t>
  </si>
  <si>
    <t>aumento/(redução) - Fornecedores</t>
  </si>
  <si>
    <t>6.01.02.06</t>
  </si>
  <si>
    <t>aumento/(redução) - Salários, participações nos resultados e encargos sociais, líquidos</t>
  </si>
  <si>
    <t>6.01.02.07</t>
  </si>
  <si>
    <t>aumento/(redução) - Obrig.Tributárias</t>
  </si>
  <si>
    <t>6.01.02.08</t>
  </si>
  <si>
    <t>aumento/(redução) - Outros passivos</t>
  </si>
  <si>
    <t>6.01.03</t>
  </si>
  <si>
    <t>6.01.03.01</t>
  </si>
  <si>
    <t>Pagamentos de imposto de renda e contribuição social</t>
  </si>
  <si>
    <t>6.01.03.02</t>
  </si>
  <si>
    <t>Depósitos judiciais realizados líquidos de levantamentos</t>
  </si>
  <si>
    <t>6.01.03.03</t>
  </si>
  <si>
    <t>Pagamento de recursos por liquidação de operações com derivativos</t>
  </si>
  <si>
    <t>6.01.03.04</t>
  </si>
  <si>
    <t>Pagamento de juros sobre empréstimos e financiamentos</t>
  </si>
  <si>
    <t>6.01.03.05</t>
  </si>
  <si>
    <t>Pagamentos relacionados a processos tributários, cíveis e trabalhistas</t>
  </si>
  <si>
    <t>6.01.03.06</t>
  </si>
  <si>
    <t>Pagamento de juros sobre arrendamentos</t>
  </si>
  <si>
    <t>6.01.03.07</t>
  </si>
  <si>
    <t>Atividades operacionais - operações descontinuadas</t>
  </si>
  <si>
    <t>6.02</t>
  </si>
  <si>
    <t>Caixa Líquido Atividades de Investimento</t>
  </si>
  <si>
    <t>6.02.01</t>
  </si>
  <si>
    <t>Adições de imobilizado e intangível</t>
  </si>
  <si>
    <t>6.02.02</t>
  </si>
  <si>
    <t>Imobilizados incorporado</t>
  </si>
  <si>
    <t>6.02.03</t>
  </si>
  <si>
    <t>Recebimento pela venda de ativo imobilizado e intangível</t>
  </si>
  <si>
    <t>6.02.04</t>
  </si>
  <si>
    <t>Aplicação em títulos e valores mobiliários</t>
  </si>
  <si>
    <t>6.02.05</t>
  </si>
  <si>
    <t>Resgate de títulos e valores mobiliários</t>
  </si>
  <si>
    <t>6.02.06</t>
  </si>
  <si>
    <t>Recebimento de dividendos de controladas</t>
  </si>
  <si>
    <t>6.02.07</t>
  </si>
  <si>
    <t>Investimentos em controladas</t>
  </si>
  <si>
    <t>6.02.08</t>
  </si>
  <si>
    <t>Resgate de juros sobre títulos de valores mobiliários</t>
  </si>
  <si>
    <t>6.02.09</t>
  </si>
  <si>
    <t>Caixa advindo de aquisição de controlada</t>
  </si>
  <si>
    <t>6.02.10</t>
  </si>
  <si>
    <t>Atividades de investimento - operações descontinuadas</t>
  </si>
  <si>
    <t>6.03</t>
  </si>
  <si>
    <t>Caixa Líquido Atividades de Financiamento</t>
  </si>
  <si>
    <t>6.03.01</t>
  </si>
  <si>
    <t>Amortização de empréstimos, financiamentos e debêntures - principal</t>
  </si>
  <si>
    <t>6.03.02</t>
  </si>
  <si>
    <t>Captações de empréstimos, financiamentos e debêntures</t>
  </si>
  <si>
    <t>6.03.03</t>
  </si>
  <si>
    <t>Compra de ações em tesouraria, líquido de recebimento do preço de exercício de opções</t>
  </si>
  <si>
    <t>6.03.04</t>
  </si>
  <si>
    <t>Pagamento de dividendos e juros sobre capital próprio referentes ao exercício anterior</t>
  </si>
  <si>
    <t>6.03.05</t>
  </si>
  <si>
    <t>(Pagamento) recebimento de recursos por liquidação de operações com derivativos financeiros</t>
  </si>
  <si>
    <t>6.03.06</t>
  </si>
  <si>
    <t>Amortização de passivo de arrendamentos - principal</t>
  </si>
  <si>
    <t>6.03.07</t>
  </si>
  <si>
    <t>Aumento de capital</t>
  </si>
  <si>
    <t>6.03.08</t>
  </si>
  <si>
    <t>Obrigação da adquirida incorrida pela adquirente</t>
  </si>
  <si>
    <t>6.03.09</t>
  </si>
  <si>
    <t>Atividades de financiamento - operações descontinuadas</t>
  </si>
  <si>
    <t>6.04</t>
  </si>
  <si>
    <t>Variação Cambial s/ Caixa e Equivalentes</t>
  </si>
  <si>
    <t>6.05</t>
  </si>
  <si>
    <t>Aumento (Redução) de Caixa e Equivalentes</t>
  </si>
  <si>
    <t>6.05.01</t>
  </si>
  <si>
    <t>Saldo Inicial de Caixa e Equivalentes</t>
  </si>
  <si>
    <t>6.05.02</t>
  </si>
  <si>
    <t>Saldo Final de Caixa e Equivalentes</t>
  </si>
  <si>
    <t>7.01</t>
  </si>
  <si>
    <t>Receitas</t>
  </si>
  <si>
    <t>7.01.01</t>
  </si>
  <si>
    <t>Vendas de Mercadorias, Produtos e Serviços</t>
  </si>
  <si>
    <t>7.01.02</t>
  </si>
  <si>
    <t>Outras Receitas</t>
  </si>
  <si>
    <t>7.01.03</t>
  </si>
  <si>
    <t>Receitas refs. à Construção de Ativos Próprios</t>
  </si>
  <si>
    <t>7.01.04</t>
  </si>
  <si>
    <t>Provisão/Reversão de Créds. Liquidação Duvidosa</t>
  </si>
  <si>
    <t>7.02</t>
  </si>
  <si>
    <t>Insumos Adquiridos de Terceiros</t>
  </si>
  <si>
    <t>7.02.01</t>
  </si>
  <si>
    <t>Custos Prods., Mercs. e Servs. Vendidos</t>
  </si>
  <si>
    <t>7.02.02</t>
  </si>
  <si>
    <t>Materiais, Energia, Servs. de Terceiros e Outros</t>
  </si>
  <si>
    <t>7.02.03</t>
  </si>
  <si>
    <t>Perda/Recuperação de Valores Ativos</t>
  </si>
  <si>
    <t>7.02.04</t>
  </si>
  <si>
    <t>7.03</t>
  </si>
  <si>
    <t>Valor Adicionado Bruto</t>
  </si>
  <si>
    <t>7.04</t>
  </si>
  <si>
    <t>Retenções</t>
  </si>
  <si>
    <t>7.04.01</t>
  </si>
  <si>
    <t>Depreciação, Amortização e Exaustão</t>
  </si>
  <si>
    <t>7.04.02</t>
  </si>
  <si>
    <t>Outras</t>
  </si>
  <si>
    <t>7.05</t>
  </si>
  <si>
    <t>Valor Adicionado Líquido Produzido</t>
  </si>
  <si>
    <t>7.06</t>
  </si>
  <si>
    <t>Vlr Adicionado Recebido em Transferência</t>
  </si>
  <si>
    <t>7.06.01</t>
  </si>
  <si>
    <t>7.06.02</t>
  </si>
  <si>
    <t>7.06.03</t>
  </si>
  <si>
    <t>7.06.03.01</t>
  </si>
  <si>
    <t>Valor adicionado total a distribuir - Operações Descontinuadas</t>
  </si>
  <si>
    <t>7.07</t>
  </si>
  <si>
    <t>Valor Adicionado Total a Distribuir</t>
  </si>
  <si>
    <t>7.08</t>
  </si>
  <si>
    <t>Distribuição do Valor Adicionado</t>
  </si>
  <si>
    <t>7.08.01</t>
  </si>
  <si>
    <t>Pessoal</t>
  </si>
  <si>
    <t>7.08.01.01</t>
  </si>
  <si>
    <t>Remuneração Direta</t>
  </si>
  <si>
    <t>7.08.01.02</t>
  </si>
  <si>
    <t>Benefícios</t>
  </si>
  <si>
    <t>7.08.01.03</t>
  </si>
  <si>
    <t>F.G.T.S.</t>
  </si>
  <si>
    <t>7.08.01.04</t>
  </si>
  <si>
    <t>7.08.02</t>
  </si>
  <si>
    <t>Impostos, Taxas e Contribuições</t>
  </si>
  <si>
    <t>7.08.02.01</t>
  </si>
  <si>
    <t>Federais</t>
  </si>
  <si>
    <t>7.08.02.02</t>
  </si>
  <si>
    <t>Estaduais</t>
  </si>
  <si>
    <t>7.08.02.03</t>
  </si>
  <si>
    <t>Municipais</t>
  </si>
  <si>
    <t>7.08.03</t>
  </si>
  <si>
    <t>Remuneração de Capitais de Terceiros</t>
  </si>
  <si>
    <t>7.08.03.01</t>
  </si>
  <si>
    <t>Juros</t>
  </si>
  <si>
    <t>7.08.03.02</t>
  </si>
  <si>
    <t>Aluguéis</t>
  </si>
  <si>
    <t>7.08.03.03</t>
  </si>
  <si>
    <t>7.08.04</t>
  </si>
  <si>
    <t>Remuneração de Capitais Próprios</t>
  </si>
  <si>
    <t>7.08.04.01</t>
  </si>
  <si>
    <t>Juros sobre o Capital Próprio</t>
  </si>
  <si>
    <t>7.08.04.02</t>
  </si>
  <si>
    <t>Dividendos</t>
  </si>
  <si>
    <t>7.08.04.03</t>
  </si>
  <si>
    <t>Lucros Retidos / Prejuízo do Período</t>
  </si>
  <si>
    <t>7.08.04.04</t>
  </si>
  <si>
    <t>Part. Não Controladores nos Lucros Retidos</t>
  </si>
  <si>
    <t>7.08.05</t>
  </si>
  <si>
    <t>7.08.05.01</t>
  </si>
  <si>
    <t>Operações Descontinuadas</t>
  </si>
  <si>
    <t>20244T</t>
  </si>
  <si>
    <t>Contas a receber de clientes</t>
  </si>
  <si>
    <t>2.01.02.01.01</t>
  </si>
  <si>
    <t>Fornecedores e operações de risco sacado</t>
  </si>
  <si>
    <t>2.02.02.02.07</t>
  </si>
  <si>
    <t>Obrigações com cotistas sêniores na Natura Pay FIDC</t>
  </si>
  <si>
    <t>Resultado financeiro liquido</t>
  </si>
  <si>
    <t>Ganho por compra vantajosa</t>
  </si>
  <si>
    <t>Ajuste ao valor justo de recebíveis associada a perda de controle coligada</t>
  </si>
  <si>
    <t>6.01.03.08</t>
  </si>
  <si>
    <t>6.01.03.09</t>
  </si>
  <si>
    <t>6.01.03.10</t>
  </si>
  <si>
    <t>Perda de créditos tributários não realizáveis</t>
  </si>
  <si>
    <t>6.01.03.11</t>
  </si>
  <si>
    <t>Provisão para perdas com imobilizado, intangível e arrendamentos</t>
  </si>
  <si>
    <t>6.03.10</t>
  </si>
  <si>
    <t>Captação FIDC</t>
  </si>
  <si>
    <t>Valor adicionado a distribuir - Operações Descontinuadas</t>
  </si>
  <si>
    <t>20254T</t>
  </si>
  <si>
    <t>1.01.03.02.01</t>
  </si>
  <si>
    <t>1.01.03.02.02</t>
  </si>
  <si>
    <t>Contas a receber de clientes - partes relacionadas</t>
  </si>
  <si>
    <t>2.01.02.01.02</t>
  </si>
  <si>
    <t>Operações de crisco sacado</t>
  </si>
  <si>
    <t>Outras Obrigações Fiscais Federais</t>
  </si>
  <si>
    <t>Arrendamento mercantil</t>
  </si>
  <si>
    <t>Outras contas a pagar</t>
  </si>
  <si>
    <t>2.01.05.02.07</t>
  </si>
  <si>
    <t>Provisão decorrente dos contratos de operações com derivativos swap e forward</t>
  </si>
  <si>
    <t>Provisões para riscos tributários, cíveis e trabalhistas</t>
  </si>
  <si>
    <t>Juros e variação cambial sobre empréstimos e financiamentos e outros passivos</t>
  </si>
  <si>
    <t>Despesas com planos de outorga de opções de compra de ações</t>
  </si>
  <si>
    <t>Juros sobre aplicações e títulos de valores mobiliários</t>
  </si>
  <si>
    <t>Perdas efetivas e provisão para perdas com clientes, líquidas de reversões</t>
  </si>
  <si>
    <t>Provisão para perdas nos estoques</t>
  </si>
  <si>
    <t>Ganho com juros e variação cambial sobre recebíveis com partes relacionadas</t>
  </si>
  <si>
    <t>Créditos tributários</t>
  </si>
  <si>
    <t>Atualização monetária de contingências</t>
  </si>
  <si>
    <t>Provisão recebíveis Aurelius</t>
  </si>
  <si>
    <t>Juros e variação cambial sobre arrendamento mercantil financeiro</t>
  </si>
  <si>
    <t>Outras movimentos para reconciliar o lucro</t>
  </si>
  <si>
    <t>(aumento) - Estoques</t>
  </si>
  <si>
    <t>redução/(aumento) - Imp. a Recuperar</t>
  </si>
  <si>
    <t>redução/(aumento) - Outros ativos</t>
  </si>
  <si>
    <t>(aumento)/redução - NC/Impostos a recuperar</t>
  </si>
  <si>
    <t>(aumento)/redução - NC/Outros ativos</t>
  </si>
  <si>
    <t>(redução) - Salários</t>
  </si>
  <si>
    <t>6.01.02.09</t>
  </si>
  <si>
    <t>(redução)/aumento - Obrig.Tributárias</t>
  </si>
  <si>
    <t>6.01.02.10</t>
  </si>
  <si>
    <t>aumento/(redução) - PC/ Participação de acionistas não controladores</t>
  </si>
  <si>
    <t>6.01.02.11</t>
  </si>
  <si>
    <t>(redução) - Outros passivos</t>
  </si>
  <si>
    <t>6.01.02.12</t>
  </si>
  <si>
    <t>aumento/(redução) - PC/Obrig.Tributárias</t>
  </si>
  <si>
    <t>6.01.02.13</t>
  </si>
  <si>
    <t>(aumento)/redução - Contas a receber venda de controladas</t>
  </si>
  <si>
    <t>Pagamentos de recursos por liquidação de operações com derivativos</t>
  </si>
  <si>
    <t>Depósitos judiciais realizados, líquido de levantamentos</t>
  </si>
  <si>
    <t>Pagamentos de juros sobre arrendamento mercantil financeiro</t>
  </si>
  <si>
    <t>Atualização e variação cambial sobre outros ativos e passivos financeiros</t>
  </si>
  <si>
    <t>Resgate de juros sobre aplicações e títulos de valores mobiliários</t>
  </si>
  <si>
    <t>Caixa adivindo de incorporação de controlada</t>
  </si>
  <si>
    <t>Amortização de empréstimos e financiamentos - principal</t>
  </si>
  <si>
    <t>Captações de empréstimos e financiamentos</t>
  </si>
  <si>
    <t>Pagamento de dividendos e juros sobre capital próprio</t>
  </si>
  <si>
    <t>Amortização de arrendamento mercantil financeiro - principal</t>
  </si>
  <si>
    <t>Utilização de ações em tesouraria pelo exercício de opções de opções de compra de opções</t>
  </si>
  <si>
    <t>Aquisição adicional de açoes da Emeis</t>
  </si>
  <si>
    <t>Distribuição de dividendos às contas de reservas de lucros</t>
  </si>
  <si>
    <t>6.03.11</t>
  </si>
  <si>
    <t>PME</t>
  </si>
  <si>
    <t>PMPF</t>
  </si>
  <si>
    <t>CO</t>
  </si>
  <si>
    <t>Sigla</t>
  </si>
  <si>
    <t>Ciclo Operacional</t>
  </si>
  <si>
    <t>ACF</t>
  </si>
  <si>
    <t>ACO</t>
  </si>
  <si>
    <t>AC</t>
  </si>
  <si>
    <t>PCF</t>
  </si>
  <si>
    <t>Ativo Circulante Financeiro</t>
  </si>
  <si>
    <t>Ativo Circulante Operacional</t>
  </si>
  <si>
    <t>Passivo Circulante Operacional</t>
  </si>
  <si>
    <t>Necessidade de Capital de Giro</t>
  </si>
  <si>
    <t>PCO</t>
  </si>
  <si>
    <t>PC</t>
  </si>
  <si>
    <t>ST</t>
  </si>
  <si>
    <t>NCG</t>
  </si>
  <si>
    <t>CGL</t>
  </si>
  <si>
    <t>Indicadores</t>
  </si>
  <si>
    <t>Capital Circulante Líquido (AC-PC)</t>
  </si>
  <si>
    <t>Liquidez Corrente (AC/PC)</t>
  </si>
  <si>
    <t>Liquidez Seca ((AC-Est-DA)/PC)</t>
  </si>
  <si>
    <t>Liquidez Absoluta (Caixa e Equiv/PC)</t>
  </si>
  <si>
    <t>Liquidez Geral ((AC + ARLP)/(PC + PNC))</t>
  </si>
  <si>
    <t>PME (((EstInic + EstFin)/2)/CMV)x360</t>
  </si>
  <si>
    <t>Giro de Estoque (360/PME)</t>
  </si>
  <si>
    <t>PMRV (((ClientesInic + ClientesFin)/2)/Receita)x360</t>
  </si>
  <si>
    <t>Compras</t>
  </si>
  <si>
    <t>PMPF (((FornecedorInic + FornecedorFin)/2)/Compras)x360</t>
  </si>
  <si>
    <t>Ciclo Operacional (PME + PMRV)</t>
  </si>
  <si>
    <t>Ciclo Financeiro (CO - PMPF)</t>
  </si>
  <si>
    <t>Ciclo Econômico (PME)</t>
  </si>
  <si>
    <t>Saldo em Tesouraria - ST (ACF-PCF)</t>
  </si>
  <si>
    <t>Necessidade de Capital de Giro - NCG (ACO-PCO)</t>
  </si>
  <si>
    <t>Capital de Giro Líquido - CGL (AC-PC)</t>
  </si>
  <si>
    <t>Relação de Capitais (Passivo/PL)</t>
  </si>
  <si>
    <t>Endividamento Geral (Passivo/(Passivo + PL))</t>
  </si>
  <si>
    <t>Solvência Geral (Ativo/Passivo)</t>
  </si>
  <si>
    <t>Composição do Endividamento (PC/Passivo)</t>
  </si>
  <si>
    <t>Imobilização do PL (Ativos Fixos/PL)</t>
  </si>
  <si>
    <t>Significado</t>
  </si>
  <si>
    <t>Onde aparece</t>
  </si>
  <si>
    <t>Balanço Patrimonial</t>
  </si>
  <si>
    <t>PL</t>
  </si>
  <si>
    <t>Patrimônio Líquido</t>
  </si>
  <si>
    <t>PNC</t>
  </si>
  <si>
    <t>ARLP</t>
  </si>
  <si>
    <t>Est</t>
  </si>
  <si>
    <t>Estoque</t>
  </si>
  <si>
    <t>EstInic</t>
  </si>
  <si>
    <t>Estoque Inicial</t>
  </si>
  <si>
    <t>EstFin</t>
  </si>
  <si>
    <t>Estoque Final</t>
  </si>
  <si>
    <t>DA</t>
  </si>
  <si>
    <t>CMV</t>
  </si>
  <si>
    <t>Custo das Mercadorias Vendidas</t>
  </si>
  <si>
    <t>DRE</t>
  </si>
  <si>
    <t>ClientesInic</t>
  </si>
  <si>
    <t>Saldo de Clientes no início do período</t>
  </si>
  <si>
    <t>ClientesFin</t>
  </si>
  <si>
    <t>Saldo de Clientes no fim do período</t>
  </si>
  <si>
    <t>FornecedorInic</t>
  </si>
  <si>
    <t>Saldo de Fornecedores no início do período</t>
  </si>
  <si>
    <t>FornecedorFin</t>
  </si>
  <si>
    <t>Saldo de Fornecedores no fim do período</t>
  </si>
  <si>
    <t>Receita</t>
  </si>
  <si>
    <t>Receita Líquida de Vendas</t>
  </si>
  <si>
    <t>Total de Compras do período</t>
  </si>
  <si>
    <t>DRE / Apuração de estoque</t>
  </si>
  <si>
    <t>Caixa e Equiv</t>
  </si>
  <si>
    <t>Ativos Fixos</t>
  </si>
  <si>
    <t>Ativo Imobilizado</t>
  </si>
  <si>
    <t>Passivo</t>
  </si>
  <si>
    <t>Passivo Total (PC + PNC)</t>
  </si>
  <si>
    <t>Prazo Médio de Estocagem</t>
  </si>
  <si>
    <t>Indicador calculado</t>
  </si>
  <si>
    <t>PMRV</t>
  </si>
  <si>
    <t>Prazo Médio de Recebimento de Vendas</t>
  </si>
  <si>
    <t>Prazo Médio de Pagamento a Fornecedores</t>
  </si>
  <si>
    <t>Modelo Fleuriet</t>
  </si>
  <si>
    <t>Passivo Circulante Financeiro</t>
  </si>
  <si>
    <t>Saldo em Tesouraria</t>
  </si>
  <si>
    <t>Capital de Giro Líquido</t>
  </si>
  <si>
    <t>›</t>
  </si>
  <si>
    <t>Compras ((CMV) + EstInic - EstFin)</t>
  </si>
  <si>
    <t>Ativo Circulante Financeiro (CEC + AF)</t>
  </si>
  <si>
    <t>Ativo Circulante Operacional (AC - ACF)</t>
  </si>
  <si>
    <t>Passivo Circulante Financeiro (EF + DE)</t>
  </si>
  <si>
    <t>Passivo Circulante Operacional (PC - PCF)</t>
  </si>
  <si>
    <t xml:space="preserve">DRE GERENCIAL </t>
  </si>
  <si>
    <t>Coluna1</t>
  </si>
  <si>
    <t>Receita Líquida: 21823488</t>
  </si>
  <si>
    <t>Lucro Bruto: 14536320</t>
  </si>
  <si>
    <t xml:space="preserve">EBIT: </t>
  </si>
  <si>
    <t>EBITDA = EBIT + Dep/Amort:</t>
  </si>
  <si>
    <t>NOPAT = EBIT - IR/CSLL corrente:</t>
  </si>
  <si>
    <t>Receita Líquida: 24089804</t>
  </si>
  <si>
    <t>Lucro Bruto: 15717207</t>
  </si>
  <si>
    <t>DRE GERENCIAL  2024</t>
  </si>
  <si>
    <t xml:space="preserve">CCL </t>
  </si>
  <si>
    <t xml:space="preserve">Capital Circulante Liquido 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</si>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</sst>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yyyy\-mm\-dd"/>
    <numFmt numFmtId="165" formatCode="&quot;R$&quot;\ #,##0.0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2"/>
      <name val="Calibri (Corpo)"/>
    </font>
    <font>
      <sz val="12"/>
      <color theme="1"/>
      <name val="Calibri (Corpo)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 (Corpo)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0" fontId="7" fillId="0" borderId="0" xfId="0" applyFont="1" applyAlignment="1">
      <alignment horizontal="center"/>
    </xf>
    <xf numFmtId="164" fontId="7" fillId="0" borderId="0" xfId="0" applyNumberFormat="1" applyFont="1"/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/>
    </xf>
    <xf numFmtId="164" fontId="7" fillId="3" borderId="0" xfId="0" applyNumberFormat="1" applyFont="1" applyFill="1" applyAlignment="1">
      <alignment horizontal="center"/>
    </xf>
    <xf numFmtId="164" fontId="7" fillId="3" borderId="0" xfId="0" applyNumberFormat="1" applyFont="1" applyFill="1" applyAlignment="1">
      <alignment horizontal="center" vertical="center"/>
    </xf>
    <xf numFmtId="0" fontId="7" fillId="3" borderId="0" xfId="0" applyFont="1" applyFill="1"/>
    <xf numFmtId="0" fontId="7" fillId="3" borderId="0" xfId="0" applyFont="1" applyFill="1" applyAlignment="1">
      <alignment horizontal="left"/>
    </xf>
    <xf numFmtId="164" fontId="7" fillId="3" borderId="0" xfId="0" applyNumberFormat="1" applyFont="1" applyFill="1"/>
    <xf numFmtId="0" fontId="9" fillId="0" borderId="0" xfId="0" applyFont="1"/>
    <xf numFmtId="0" fontId="9" fillId="0" borderId="0" xfId="0" applyFont="1" applyAlignment="1">
      <alignment horizontal="center" vertical="center"/>
    </xf>
    <xf numFmtId="2" fontId="9" fillId="0" borderId="0" xfId="0" applyNumberFormat="1" applyFont="1"/>
    <xf numFmtId="164" fontId="2" fillId="0" borderId="0" xfId="0" applyNumberFormat="1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4" fontId="10" fillId="2" borderId="0" xfId="0" applyNumberFormat="1" applyFont="1" applyFill="1" applyAlignment="1">
      <alignment horizontal="center"/>
    </xf>
    <xf numFmtId="0" fontId="10" fillId="2" borderId="0" xfId="0" applyFont="1" applyFill="1"/>
    <xf numFmtId="164" fontId="10" fillId="0" borderId="0" xfId="0" applyNumberFormat="1" applyFont="1" applyAlignment="1">
      <alignment horizontal="center"/>
    </xf>
    <xf numFmtId="0" fontId="10" fillId="0" borderId="0" xfId="0" applyFont="1"/>
    <xf numFmtId="0" fontId="2" fillId="3" borderId="0" xfId="0" applyFont="1" applyFill="1"/>
    <xf numFmtId="0" fontId="7" fillId="5" borderId="0" xfId="0" applyFont="1" applyFill="1" applyAlignment="1">
      <alignment horizontal="left"/>
    </xf>
    <xf numFmtId="0" fontId="2" fillId="5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/>
    <xf numFmtId="0" fontId="9" fillId="0" borderId="2" xfId="0" applyFont="1" applyBorder="1" applyAlignment="1">
      <alignment horizontal="center" vertical="center"/>
    </xf>
    <xf numFmtId="0" fontId="9" fillId="0" borderId="2" xfId="0" applyFont="1" applyBorder="1"/>
    <xf numFmtId="2" fontId="9" fillId="0" borderId="2" xfId="0" applyNumberFormat="1" applyFont="1" applyBorder="1"/>
    <xf numFmtId="1" fontId="9" fillId="0" borderId="2" xfId="0" applyNumberFormat="1" applyFont="1" applyBorder="1"/>
    <xf numFmtId="2" fontId="9" fillId="0" borderId="2" xfId="0" applyNumberFormat="1" applyFont="1" applyBorder="1" applyAlignment="1">
      <alignment horizontal="right"/>
    </xf>
    <xf numFmtId="165" fontId="9" fillId="0" borderId="2" xfId="0" applyNumberFormat="1" applyFont="1" applyBorder="1"/>
    <xf numFmtId="44" fontId="9" fillId="0" borderId="2" xfId="0" applyNumberFormat="1" applyFont="1" applyBorder="1"/>
    <xf numFmtId="0" fontId="2" fillId="7" borderId="0" xfId="0" applyFont="1" applyFill="1"/>
    <xf numFmtId="164" fontId="2" fillId="7" borderId="0" xfId="0" applyNumberFormat="1" applyFont="1" applyFill="1" applyAlignment="1">
      <alignment horizontal="center"/>
    </xf>
    <xf numFmtId="0" fontId="11" fillId="7" borderId="0" xfId="0" applyFont="1" applyFill="1"/>
    <xf numFmtId="0" fontId="1" fillId="0" borderId="0" xfId="0" applyFont="1"/>
    <xf numFmtId="0" fontId="1" fillId="2" borderId="0" xfId="0" applyFont="1" applyFill="1"/>
    <xf numFmtId="0" fontId="1" fillId="7" borderId="0" xfId="0" applyFont="1" applyFill="1"/>
    <xf numFmtId="0" fontId="7" fillId="8" borderId="0" xfId="0" applyFont="1" applyFill="1"/>
    <xf numFmtId="0" fontId="7" fillId="8" borderId="0" xfId="0" applyFont="1" applyFill="1" applyAlignment="1">
      <alignment horizontal="center"/>
    </xf>
    <xf numFmtId="164" fontId="7" fillId="8" borderId="0" xfId="0" applyNumberFormat="1" applyFont="1" applyFill="1"/>
    <xf numFmtId="164" fontId="7" fillId="8" borderId="0" xfId="0" applyNumberFormat="1" applyFont="1" applyFill="1" applyAlignment="1">
      <alignment horizontal="center"/>
    </xf>
    <xf numFmtId="0" fontId="7" fillId="8" borderId="0" xfId="0" applyFont="1" applyFill="1" applyAlignment="1">
      <alignment horizontal="left"/>
    </xf>
    <xf numFmtId="0" fontId="12" fillId="8" borderId="0" xfId="0" applyFont="1" applyFill="1"/>
    <xf numFmtId="0" fontId="3" fillId="8" borderId="0" xfId="0" applyFont="1" applyFill="1" applyAlignment="1">
      <alignment horizontal="left"/>
    </xf>
    <xf numFmtId="0" fontId="3" fillId="8" borderId="0" xfId="0" applyFont="1" applyFill="1"/>
    <xf numFmtId="0" fontId="7" fillId="9" borderId="3" xfId="0" applyFont="1" applyFill="1" applyBorder="1"/>
    <xf numFmtId="0" fontId="7" fillId="6" borderId="3" xfId="0" applyFont="1" applyFill="1" applyBorder="1"/>
    <xf numFmtId="0" fontId="12" fillId="6" borderId="3" xfId="0" applyFont="1" applyFill="1" applyBorder="1"/>
    <xf numFmtId="0" fontId="9" fillId="6" borderId="0" xfId="0" applyFont="1" applyFill="1"/>
  </cellXfs>
  <cellStyles count="1">
    <cellStyle name="Normal" xfId="0" builtinId="0"/>
  </cellStyles>
  <dxfs count="41"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yyyy\-mm\-dd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yyyy\-mm\-dd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 (Corpo)"/>
      </font>
    </dxf>
    <dxf>
      <font>
        <strike val="0"/>
        <outline val="0"/>
        <shadow val="0"/>
        <u val="none"/>
        <vertAlign val="baseline"/>
        <sz val="12"/>
        <name val="Calibri (Corpo)"/>
      </font>
    </dxf>
    <dxf>
      <font>
        <strike val="0"/>
        <outline val="0"/>
        <shadow val="0"/>
        <u val="none"/>
        <vertAlign val="baseline"/>
        <sz val="12"/>
        <name val="Calibri (Corpo)"/>
      </font>
    </dxf>
    <dxf>
      <font>
        <strike val="0"/>
        <outline val="0"/>
        <shadow val="0"/>
        <u val="none"/>
        <vertAlign val="baseline"/>
        <sz val="12"/>
        <name val="Calibri (Corpo)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(Corpo)"/>
      </font>
    </dxf>
    <dxf>
      <font>
        <strike val="0"/>
        <outline val="0"/>
        <shadow val="0"/>
        <u val="none"/>
        <vertAlign val="baseline"/>
        <sz val="12"/>
        <name val="Calibri (Corpo)"/>
      </font>
      <numFmt numFmtId="164" formatCode="yyyy\-mm\-dd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(Corpo)"/>
      </font>
      <numFmt numFmtId="164" formatCode="yyyy\-mm\-dd"/>
    </dxf>
    <dxf>
      <font>
        <strike val="0"/>
        <outline val="0"/>
        <shadow val="0"/>
        <u val="none"/>
        <vertAlign val="baseline"/>
        <sz val="12"/>
        <name val="Calibri (Corpo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(Corpo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(Corpo)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name val="Calibri (Corpo)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(Corpo)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 (Corpo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(Corpo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(Corpo)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(Corpo)"/>
      </font>
    </dxf>
    <dxf>
      <font>
        <strike val="0"/>
        <outline val="0"/>
        <shadow val="0"/>
        <u val="none"/>
        <vertAlign val="baseline"/>
        <sz val="12"/>
        <name val="Calibri (Corpo)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(Corpo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(Corpo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(Corpo)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(Corpo)"/>
      </font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name val="Calibri (Corpo)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(Corpo)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1E560C-5B86-4448-B4E1-04E92E6CC92C}" name="Tabela1" displayName="Tabela1" ref="A1:I1048576" totalsRowShown="0" headerRowDxfId="40" dataDxfId="38" headerRowBorderDxfId="39" tableBorderDxfId="37">
  <autoFilter ref="A1:I1048576" xr:uid="{841E560C-5B86-4448-B4E1-04E92E6CC92C}"/>
  <tableColumns count="9">
    <tableColumn id="1" xr3:uid="{DCBBB4BD-68E3-414E-93C1-FDF148E70BD9}" name="id" dataDxfId="36"/>
    <tableColumn id="2" xr3:uid="{74640BA3-F208-9C41-8AA5-099660892E4C}" name="empresa_tic" dataDxfId="35"/>
    <tableColumn id="3" xr3:uid="{E84F2267-6E97-3C46-81A8-5ADD031D18F7}" name="ano_tri" dataDxfId="34"/>
    <tableColumn id="4" xr3:uid="{675117BF-D8C7-BA4A-BEE8-DA93EB4EDDE7}" name="data_ini" dataDxfId="33"/>
    <tableColumn id="5" xr3:uid="{E10D9E88-EF49-CA45-B504-56037AA696BB}" name="data_fim" dataDxfId="32"/>
    <tableColumn id="6" xr3:uid="{2EF651B1-DF5F-1F4E-AF9E-52017B47CE51}" name="conta" dataDxfId="31"/>
    <tableColumn id="7" xr3:uid="{69D56231-D9C7-9542-A603-5B81BBC229C4}" name="descricao" dataDxfId="30"/>
    <tableColumn id="8" xr3:uid="{70A45337-C2AD-3543-BB0A-AD8E0F605CE7}" name="valor" dataDxfId="29"/>
    <tableColumn id="9" xr3:uid="{75C1F55B-EA45-7A4A-8B80-CDE5D6A7FBAC}" name="tipo_balanco" dataDxfId="2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433044-D8D4-5341-A841-DF71F67FF084}" name="Tabela2" displayName="Tabela2" ref="A1:J330" totalsRowShown="0" headerRowDxfId="27" dataDxfId="25" headerRowBorderDxfId="26" tableBorderDxfId="24">
  <autoFilter ref="A1:J330" xr:uid="{23433044-D8D4-5341-A841-DF71F67FF084}"/>
  <tableColumns count="10">
    <tableColumn id="1" xr3:uid="{A7C6641D-16C1-9A4E-848C-FA751A5D4AAE}" name="id" dataDxfId="23"/>
    <tableColumn id="2" xr3:uid="{50D0F1E4-0662-7142-BEBB-4AADDC11FF92}" name="empresa_tic" dataDxfId="22"/>
    <tableColumn id="3" xr3:uid="{42958119-F803-224C-A790-FC13124F150D}" name="ano_tri" dataDxfId="21"/>
    <tableColumn id="4" xr3:uid="{22395855-6D7B-F945-B26B-9D1421C0558B}" name="data_ini" dataDxfId="20"/>
    <tableColumn id="5" xr3:uid="{7604EE3F-985D-E044-9C8D-7303F9750946}" name="data_fim" dataDxfId="19"/>
    <tableColumn id="6" xr3:uid="{4E7D2870-B123-174D-97FE-98AD1EF9905E}" name="conta" dataDxfId="18"/>
    <tableColumn id="7" xr3:uid="{59C564A6-F718-3F46-AA53-6255FEAE3C53}" name="descricao" dataDxfId="17"/>
    <tableColumn id="8" xr3:uid="{F6345B5D-CE8F-EC4F-AACF-CF992234502C}" name="valor" dataDxfId="16"/>
    <tableColumn id="9" xr3:uid="{C0D20488-AE6D-2648-937A-B4C3B9E7D788}" name="tipo_balanco" dataDxfId="15"/>
    <tableColumn id="10" xr3:uid="{9ABF2A68-B7FD-6043-A8FB-2917752B3746}" name="Coluna1" dataDxfId="1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97E13A-09BA-AA47-AFCC-D16B5DF00AE0}" name="Tabela3" displayName="Tabela3" ref="A1:J333" totalsRowShown="0" headerRowDxfId="13" dataDxfId="11" headerRowBorderDxfId="12" tableBorderDxfId="10">
  <autoFilter ref="A1:J333" xr:uid="{A797E13A-09BA-AA47-AFCC-D16B5DF00AE0}"/>
  <tableColumns count="10">
    <tableColumn id="1" xr3:uid="{781538B7-37EB-EF49-A6A9-140C3D5E4C2D}" name="id" dataDxfId="9"/>
    <tableColumn id="2" xr3:uid="{2B42292F-DEE7-D647-9223-504EE05E9E48}" name="empresa_tic" dataDxfId="8"/>
    <tableColumn id="3" xr3:uid="{3C3BD62A-11A5-2B4B-8DAF-1284167AFEFD}" name="ano_tri" dataDxfId="7"/>
    <tableColumn id="4" xr3:uid="{FC5C2928-BDA6-434F-BECE-F6B935787D9E}" name="data_ini" dataDxfId="6"/>
    <tableColumn id="5" xr3:uid="{E4ADADB6-78B8-1C40-BBCB-54B3C41C9662}" name="data_fim" dataDxfId="5"/>
    <tableColumn id="6" xr3:uid="{5C61204D-17DE-F948-938E-460D3721A1A2}" name="conta" dataDxfId="4"/>
    <tableColumn id="7" xr3:uid="{241EC43D-39AB-A049-A9BA-6C713643358D}" name="descricao" dataDxfId="3"/>
    <tableColumn id="8" xr3:uid="{803E9104-A2D0-C642-87FB-D64C058D09C0}" name="valor" dataDxfId="2"/>
    <tableColumn id="9" xr3:uid="{606313E0-C191-554D-B240-D8FDDDE9AC42}" name="tipo_balanco" dataDxfId="1"/>
    <tableColumn id="10" xr3:uid="{9490925A-F264-0E4F-A586-CD90EAF593D4}" name="Coluna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6"/>
  <sheetViews>
    <sheetView topLeftCell="A98" zoomScaleNormal="100" workbookViewId="0">
      <selection activeCell="A98" sqref="A1:XFD1048576"/>
    </sheetView>
  </sheetViews>
  <sheetFormatPr baseColWidth="10" defaultColWidth="8.83203125" defaultRowHeight="16" x14ac:dyDescent="0.2"/>
  <cols>
    <col min="1" max="1" width="11.5" style="8" customWidth="1"/>
    <col min="2" max="2" width="13" style="8" customWidth="1"/>
    <col min="3" max="3" width="9" style="8" customWidth="1"/>
    <col min="4" max="4" width="11.83203125" style="8" customWidth="1"/>
    <col min="5" max="5" width="13.33203125" style="15" customWidth="1"/>
    <col min="6" max="6" width="12.83203125" style="7" customWidth="1"/>
    <col min="7" max="7" width="67.33203125" style="11" customWidth="1"/>
    <col min="8" max="8" width="11.1640625" style="8" customWidth="1"/>
    <col min="9" max="9" width="18" style="8" customWidth="1"/>
    <col min="10" max="16384" width="8.83203125" style="7"/>
  </cols>
  <sheetData>
    <row r="1" spans="1:9" x14ac:dyDescent="0.2">
      <c r="A1" s="6" t="s">
        <v>0</v>
      </c>
      <c r="B1" s="6" t="s">
        <v>1</v>
      </c>
      <c r="C1" s="6" t="s">
        <v>2</v>
      </c>
      <c r="D1" s="6" t="s">
        <v>3</v>
      </c>
      <c r="E1" s="12" t="s">
        <v>4</v>
      </c>
      <c r="F1" s="6" t="s">
        <v>5</v>
      </c>
      <c r="G1" s="13" t="s">
        <v>6</v>
      </c>
      <c r="H1" s="6" t="s">
        <v>7</v>
      </c>
      <c r="I1" s="6" t="s">
        <v>8</v>
      </c>
    </row>
    <row r="2" spans="1:9" x14ac:dyDescent="0.2">
      <c r="A2" s="8">
        <v>5646687</v>
      </c>
      <c r="B2" s="8" t="s">
        <v>9</v>
      </c>
      <c r="C2" s="8" t="s">
        <v>10</v>
      </c>
      <c r="D2" s="10">
        <v>45291</v>
      </c>
      <c r="E2" s="14">
        <v>45291</v>
      </c>
      <c r="F2" s="7" t="s">
        <v>11</v>
      </c>
      <c r="G2" s="11" t="s">
        <v>12</v>
      </c>
      <c r="H2" s="8">
        <v>42747015</v>
      </c>
      <c r="I2" s="8" t="s">
        <v>13</v>
      </c>
    </row>
    <row r="3" spans="1:9" s="19" customFormat="1" ht="15" customHeight="1" x14ac:dyDescent="0.2">
      <c r="A3" s="16">
        <v>5646688</v>
      </c>
      <c r="B3" s="16" t="s">
        <v>9</v>
      </c>
      <c r="C3" s="16" t="s">
        <v>10</v>
      </c>
      <c r="D3" s="17">
        <v>45291</v>
      </c>
      <c r="E3" s="18">
        <v>45291</v>
      </c>
      <c r="F3" s="19" t="s">
        <v>14</v>
      </c>
      <c r="G3" s="20" t="s">
        <v>15</v>
      </c>
      <c r="H3" s="16">
        <v>15987222</v>
      </c>
      <c r="I3" s="16" t="s">
        <v>13</v>
      </c>
    </row>
    <row r="4" spans="1:9" s="19" customFormat="1" x14ac:dyDescent="0.2">
      <c r="A4" s="16">
        <v>5646689</v>
      </c>
      <c r="B4" s="16" t="s">
        <v>9</v>
      </c>
      <c r="C4" s="16" t="s">
        <v>10</v>
      </c>
      <c r="D4" s="17">
        <v>45291</v>
      </c>
      <c r="E4" s="18">
        <v>45291</v>
      </c>
      <c r="F4" s="19" t="s">
        <v>16</v>
      </c>
      <c r="G4" s="20" t="s">
        <v>17</v>
      </c>
      <c r="H4" s="16">
        <v>3750944</v>
      </c>
      <c r="I4" s="16" t="s">
        <v>13</v>
      </c>
    </row>
    <row r="5" spans="1:9" s="19" customFormat="1" x14ac:dyDescent="0.2">
      <c r="A5" s="16">
        <v>5646690</v>
      </c>
      <c r="B5" s="16" t="s">
        <v>9</v>
      </c>
      <c r="C5" s="16" t="s">
        <v>10</v>
      </c>
      <c r="D5" s="17">
        <v>45291</v>
      </c>
      <c r="E5" s="18">
        <v>45291</v>
      </c>
      <c r="F5" s="19" t="s">
        <v>18</v>
      </c>
      <c r="G5" s="20" t="s">
        <v>19</v>
      </c>
      <c r="H5" s="16">
        <v>4024056</v>
      </c>
      <c r="I5" s="16" t="s">
        <v>13</v>
      </c>
    </row>
    <row r="6" spans="1:9" s="19" customFormat="1" x14ac:dyDescent="0.2">
      <c r="A6" s="16">
        <v>5646691</v>
      </c>
      <c r="B6" s="16" t="s">
        <v>9</v>
      </c>
      <c r="C6" s="16" t="s">
        <v>10</v>
      </c>
      <c r="D6" s="17">
        <v>45291</v>
      </c>
      <c r="E6" s="18">
        <v>45291</v>
      </c>
      <c r="F6" s="19" t="s">
        <v>20</v>
      </c>
      <c r="G6" s="20" t="s">
        <v>21</v>
      </c>
      <c r="H6" s="16">
        <v>0</v>
      </c>
      <c r="I6" s="16" t="s">
        <v>13</v>
      </c>
    </row>
    <row r="7" spans="1:9" s="19" customFormat="1" x14ac:dyDescent="0.2">
      <c r="A7" s="16">
        <v>5646692</v>
      </c>
      <c r="B7" s="16" t="s">
        <v>9</v>
      </c>
      <c r="C7" s="16" t="s">
        <v>10</v>
      </c>
      <c r="D7" s="17">
        <v>45291</v>
      </c>
      <c r="E7" s="18">
        <v>45291</v>
      </c>
      <c r="F7" s="19" t="s">
        <v>22</v>
      </c>
      <c r="G7" s="20" t="s">
        <v>23</v>
      </c>
      <c r="H7" s="16">
        <v>0</v>
      </c>
      <c r="I7" s="16" t="s">
        <v>13</v>
      </c>
    </row>
    <row r="8" spans="1:9" s="19" customFormat="1" x14ac:dyDescent="0.2">
      <c r="A8" s="16">
        <v>5646693</v>
      </c>
      <c r="B8" s="16" t="s">
        <v>9</v>
      </c>
      <c r="C8" s="16" t="s">
        <v>10</v>
      </c>
      <c r="D8" s="17">
        <v>45291</v>
      </c>
      <c r="E8" s="18">
        <v>45291</v>
      </c>
      <c r="F8" s="19" t="s">
        <v>24</v>
      </c>
      <c r="G8" s="20" t="s">
        <v>25</v>
      </c>
      <c r="H8" s="16">
        <v>0</v>
      </c>
      <c r="I8" s="16" t="s">
        <v>13</v>
      </c>
    </row>
    <row r="9" spans="1:9" s="19" customFormat="1" x14ac:dyDescent="0.2">
      <c r="A9" s="16">
        <v>5646694</v>
      </c>
      <c r="B9" s="16" t="s">
        <v>9</v>
      </c>
      <c r="C9" s="16" t="s">
        <v>10</v>
      </c>
      <c r="D9" s="17">
        <v>45291</v>
      </c>
      <c r="E9" s="18">
        <v>45291</v>
      </c>
      <c r="F9" s="19" t="s">
        <v>26</v>
      </c>
      <c r="G9" s="20" t="s">
        <v>27</v>
      </c>
      <c r="H9" s="16">
        <v>0</v>
      </c>
      <c r="I9" s="16" t="s">
        <v>13</v>
      </c>
    </row>
    <row r="10" spans="1:9" s="19" customFormat="1" x14ac:dyDescent="0.2">
      <c r="A10" s="16">
        <v>5646695</v>
      </c>
      <c r="B10" s="16" t="s">
        <v>9</v>
      </c>
      <c r="C10" s="16" t="s">
        <v>10</v>
      </c>
      <c r="D10" s="17">
        <v>45291</v>
      </c>
      <c r="E10" s="18">
        <v>45291</v>
      </c>
      <c r="F10" s="19" t="s">
        <v>28</v>
      </c>
      <c r="G10" s="20" t="s">
        <v>29</v>
      </c>
      <c r="H10" s="16">
        <v>0</v>
      </c>
      <c r="I10" s="16" t="s">
        <v>13</v>
      </c>
    </row>
    <row r="11" spans="1:9" s="19" customFormat="1" x14ac:dyDescent="0.2">
      <c r="A11" s="16">
        <v>5646696</v>
      </c>
      <c r="B11" s="16" t="s">
        <v>9</v>
      </c>
      <c r="C11" s="16" t="s">
        <v>10</v>
      </c>
      <c r="D11" s="17">
        <v>45291</v>
      </c>
      <c r="E11" s="18">
        <v>45291</v>
      </c>
      <c r="F11" s="19" t="s">
        <v>30</v>
      </c>
      <c r="G11" s="20" t="s">
        <v>31</v>
      </c>
      <c r="H11" s="16">
        <v>3547310</v>
      </c>
      <c r="I11" s="16" t="s">
        <v>13</v>
      </c>
    </row>
    <row r="12" spans="1:9" s="19" customFormat="1" x14ac:dyDescent="0.2">
      <c r="A12" s="16">
        <v>5646697</v>
      </c>
      <c r="B12" s="16" t="s">
        <v>9</v>
      </c>
      <c r="C12" s="16" t="s">
        <v>10</v>
      </c>
      <c r="D12" s="17">
        <v>45291</v>
      </c>
      <c r="E12" s="18">
        <v>45291</v>
      </c>
      <c r="F12" s="19" t="s">
        <v>32</v>
      </c>
      <c r="G12" s="20" t="s">
        <v>33</v>
      </c>
      <c r="H12" s="16">
        <v>3547310</v>
      </c>
      <c r="I12" s="16" t="s">
        <v>13</v>
      </c>
    </row>
    <row r="13" spans="1:9" s="19" customFormat="1" x14ac:dyDescent="0.2">
      <c r="A13" s="16">
        <v>5646698</v>
      </c>
      <c r="B13" s="16" t="s">
        <v>9</v>
      </c>
      <c r="C13" s="16" t="s">
        <v>10</v>
      </c>
      <c r="D13" s="17">
        <v>45291</v>
      </c>
      <c r="E13" s="18">
        <v>45291</v>
      </c>
      <c r="F13" s="19" t="s">
        <v>34</v>
      </c>
      <c r="G13" s="20" t="s">
        <v>35</v>
      </c>
      <c r="H13" s="16">
        <v>22915</v>
      </c>
      <c r="I13" s="16" t="s">
        <v>13</v>
      </c>
    </row>
    <row r="14" spans="1:9" s="19" customFormat="1" x14ac:dyDescent="0.2">
      <c r="A14" s="16">
        <v>5646699</v>
      </c>
      <c r="B14" s="16" t="s">
        <v>9</v>
      </c>
      <c r="C14" s="16" t="s">
        <v>10</v>
      </c>
      <c r="D14" s="17">
        <v>45291</v>
      </c>
      <c r="E14" s="18">
        <v>45291</v>
      </c>
      <c r="F14" s="19" t="s">
        <v>36</v>
      </c>
      <c r="G14" s="20" t="s">
        <v>33</v>
      </c>
      <c r="H14" s="16">
        <v>3524395</v>
      </c>
      <c r="I14" s="16" t="s">
        <v>13</v>
      </c>
    </row>
    <row r="15" spans="1:9" s="19" customFormat="1" x14ac:dyDescent="0.2">
      <c r="A15" s="16">
        <v>5646700</v>
      </c>
      <c r="B15" s="16" t="s">
        <v>9</v>
      </c>
      <c r="C15" s="16" t="s">
        <v>10</v>
      </c>
      <c r="D15" s="17">
        <v>45291</v>
      </c>
      <c r="E15" s="18">
        <v>45291</v>
      </c>
      <c r="F15" s="19" t="s">
        <v>37</v>
      </c>
      <c r="G15" s="20" t="s">
        <v>38</v>
      </c>
      <c r="H15" s="16">
        <v>0</v>
      </c>
      <c r="I15" s="16" t="s">
        <v>13</v>
      </c>
    </row>
    <row r="16" spans="1:9" s="19" customFormat="1" x14ac:dyDescent="0.2">
      <c r="A16" s="16">
        <v>5646701</v>
      </c>
      <c r="B16" s="16" t="s">
        <v>9</v>
      </c>
      <c r="C16" s="16" t="s">
        <v>10</v>
      </c>
      <c r="D16" s="17">
        <v>45291</v>
      </c>
      <c r="E16" s="18">
        <v>45291</v>
      </c>
      <c r="F16" s="19" t="s">
        <v>39</v>
      </c>
      <c r="G16" s="20" t="s">
        <v>40</v>
      </c>
      <c r="H16" s="16">
        <v>3087395</v>
      </c>
      <c r="I16" s="16" t="s">
        <v>13</v>
      </c>
    </row>
    <row r="17" spans="1:9" s="19" customFormat="1" x14ac:dyDescent="0.2">
      <c r="A17" s="16">
        <v>5646702</v>
      </c>
      <c r="B17" s="16" t="s">
        <v>9</v>
      </c>
      <c r="C17" s="16" t="s">
        <v>10</v>
      </c>
      <c r="D17" s="17">
        <v>45291</v>
      </c>
      <c r="E17" s="18">
        <v>45291</v>
      </c>
      <c r="F17" s="19" t="s">
        <v>41</v>
      </c>
      <c r="G17" s="20" t="s">
        <v>42</v>
      </c>
      <c r="H17" s="16">
        <v>0</v>
      </c>
      <c r="I17" s="16" t="s">
        <v>13</v>
      </c>
    </row>
    <row r="18" spans="1:9" s="19" customFormat="1" x14ac:dyDescent="0.2">
      <c r="A18" s="16">
        <v>5646703</v>
      </c>
      <c r="B18" s="16" t="s">
        <v>9</v>
      </c>
      <c r="C18" s="16" t="s">
        <v>10</v>
      </c>
      <c r="D18" s="17">
        <v>45291</v>
      </c>
      <c r="E18" s="18">
        <v>45291</v>
      </c>
      <c r="F18" s="19" t="s">
        <v>43</v>
      </c>
      <c r="G18" s="20" t="s">
        <v>44</v>
      </c>
      <c r="H18" s="16">
        <v>784093</v>
      </c>
      <c r="I18" s="16" t="s">
        <v>13</v>
      </c>
    </row>
    <row r="19" spans="1:9" s="19" customFormat="1" x14ac:dyDescent="0.2">
      <c r="A19" s="16">
        <v>5646704</v>
      </c>
      <c r="B19" s="16" t="s">
        <v>9</v>
      </c>
      <c r="C19" s="16" t="s">
        <v>10</v>
      </c>
      <c r="D19" s="17">
        <v>45291</v>
      </c>
      <c r="E19" s="18">
        <v>45291</v>
      </c>
      <c r="F19" s="19" t="s">
        <v>45</v>
      </c>
      <c r="G19" s="20" t="s">
        <v>46</v>
      </c>
      <c r="H19" s="16">
        <v>784093</v>
      </c>
      <c r="I19" s="16" t="s">
        <v>13</v>
      </c>
    </row>
    <row r="20" spans="1:9" s="19" customFormat="1" x14ac:dyDescent="0.2">
      <c r="A20" s="16">
        <v>5646705</v>
      </c>
      <c r="B20" s="16" t="s">
        <v>9</v>
      </c>
      <c r="C20" s="16" t="s">
        <v>10</v>
      </c>
      <c r="D20" s="17">
        <v>45291</v>
      </c>
      <c r="E20" s="18">
        <v>45291</v>
      </c>
      <c r="F20" s="19" t="s">
        <v>47</v>
      </c>
      <c r="G20" s="20" t="s">
        <v>46</v>
      </c>
      <c r="H20" s="16">
        <v>608530</v>
      </c>
      <c r="I20" s="16" t="s">
        <v>13</v>
      </c>
    </row>
    <row r="21" spans="1:9" s="19" customFormat="1" x14ac:dyDescent="0.2">
      <c r="A21" s="16">
        <v>5646706</v>
      </c>
      <c r="B21" s="16" t="s">
        <v>9</v>
      </c>
      <c r="C21" s="16" t="s">
        <v>10</v>
      </c>
      <c r="D21" s="17">
        <v>45291</v>
      </c>
      <c r="E21" s="18">
        <v>45291</v>
      </c>
      <c r="F21" s="19" t="s">
        <v>48</v>
      </c>
      <c r="G21" s="20" t="s">
        <v>49</v>
      </c>
      <c r="H21" s="16">
        <v>175563</v>
      </c>
      <c r="I21" s="16" t="s">
        <v>13</v>
      </c>
    </row>
    <row r="22" spans="1:9" s="19" customFormat="1" x14ac:dyDescent="0.2">
      <c r="A22" s="16">
        <v>5646707</v>
      </c>
      <c r="B22" s="16" t="s">
        <v>9</v>
      </c>
      <c r="C22" s="16" t="s">
        <v>10</v>
      </c>
      <c r="D22" s="17">
        <v>45291</v>
      </c>
      <c r="E22" s="18">
        <v>45291</v>
      </c>
      <c r="F22" s="19" t="s">
        <v>50</v>
      </c>
      <c r="G22" s="20" t="s">
        <v>51</v>
      </c>
      <c r="H22" s="16">
        <v>0</v>
      </c>
      <c r="I22" s="16" t="s">
        <v>13</v>
      </c>
    </row>
    <row r="23" spans="1:9" s="19" customFormat="1" x14ac:dyDescent="0.2">
      <c r="A23" s="16">
        <v>5646708</v>
      </c>
      <c r="B23" s="16" t="s">
        <v>9</v>
      </c>
      <c r="C23" s="16" t="s">
        <v>10</v>
      </c>
      <c r="D23" s="17">
        <v>45291</v>
      </c>
      <c r="E23" s="18">
        <v>45291</v>
      </c>
      <c r="F23" s="19" t="s">
        <v>52</v>
      </c>
      <c r="G23" s="20" t="s">
        <v>53</v>
      </c>
      <c r="H23" s="16">
        <v>793424</v>
      </c>
      <c r="I23" s="16" t="s">
        <v>13</v>
      </c>
    </row>
    <row r="24" spans="1:9" s="19" customFormat="1" x14ac:dyDescent="0.2">
      <c r="A24" s="16">
        <v>5646709</v>
      </c>
      <c r="B24" s="16" t="s">
        <v>9</v>
      </c>
      <c r="C24" s="16" t="s">
        <v>10</v>
      </c>
      <c r="D24" s="17">
        <v>45291</v>
      </c>
      <c r="E24" s="18">
        <v>45291</v>
      </c>
      <c r="F24" s="19" t="s">
        <v>54</v>
      </c>
      <c r="G24" s="20" t="s">
        <v>55</v>
      </c>
      <c r="H24" s="16">
        <v>0</v>
      </c>
      <c r="I24" s="16" t="s">
        <v>13</v>
      </c>
    </row>
    <row r="25" spans="1:9" s="19" customFormat="1" x14ac:dyDescent="0.2">
      <c r="A25" s="16">
        <v>5646710</v>
      </c>
      <c r="B25" s="16" t="s">
        <v>9</v>
      </c>
      <c r="C25" s="16" t="s">
        <v>10</v>
      </c>
      <c r="D25" s="17">
        <v>45291</v>
      </c>
      <c r="E25" s="18">
        <v>45291</v>
      </c>
      <c r="F25" s="19" t="s">
        <v>56</v>
      </c>
      <c r="G25" s="20" t="s">
        <v>57</v>
      </c>
      <c r="H25" s="16">
        <v>0</v>
      </c>
      <c r="I25" s="16" t="s">
        <v>13</v>
      </c>
    </row>
    <row r="26" spans="1:9" s="19" customFormat="1" x14ac:dyDescent="0.2">
      <c r="A26" s="16">
        <v>5646711</v>
      </c>
      <c r="B26" s="16" t="s">
        <v>9</v>
      </c>
      <c r="C26" s="16" t="s">
        <v>10</v>
      </c>
      <c r="D26" s="17">
        <v>45291</v>
      </c>
      <c r="E26" s="18">
        <v>45291</v>
      </c>
      <c r="F26" s="19" t="s">
        <v>58</v>
      </c>
      <c r="G26" s="20" t="s">
        <v>59</v>
      </c>
      <c r="H26" s="16">
        <v>793424</v>
      </c>
      <c r="I26" s="16" t="s">
        <v>13</v>
      </c>
    </row>
    <row r="27" spans="1:9" x14ac:dyDescent="0.2">
      <c r="A27" s="8">
        <v>5646712</v>
      </c>
      <c r="B27" s="8" t="s">
        <v>9</v>
      </c>
      <c r="C27" s="8" t="s">
        <v>10</v>
      </c>
      <c r="D27" s="10">
        <v>45291</v>
      </c>
      <c r="E27" s="14">
        <v>45291</v>
      </c>
      <c r="F27" s="7" t="s">
        <v>60</v>
      </c>
      <c r="G27" s="11" t="s">
        <v>61</v>
      </c>
      <c r="H27" s="8">
        <v>0</v>
      </c>
      <c r="I27" s="8" t="s">
        <v>13</v>
      </c>
    </row>
    <row r="28" spans="1:9" x14ac:dyDescent="0.2">
      <c r="A28" s="8">
        <v>5646713</v>
      </c>
      <c r="B28" s="8" t="s">
        <v>9</v>
      </c>
      <c r="C28" s="8" t="s">
        <v>10</v>
      </c>
      <c r="D28" s="10">
        <v>45291</v>
      </c>
      <c r="E28" s="14">
        <v>45291</v>
      </c>
      <c r="F28" s="7" t="s">
        <v>62</v>
      </c>
      <c r="G28" s="11" t="s">
        <v>63</v>
      </c>
      <c r="H28" s="8">
        <v>188997</v>
      </c>
      <c r="I28" s="8" t="s">
        <v>13</v>
      </c>
    </row>
    <row r="29" spans="1:9" x14ac:dyDescent="0.2">
      <c r="A29" s="8">
        <v>5646714</v>
      </c>
      <c r="B29" s="8" t="s">
        <v>9</v>
      </c>
      <c r="C29" s="8" t="s">
        <v>10</v>
      </c>
      <c r="D29" s="10">
        <v>45291</v>
      </c>
      <c r="E29" s="14">
        <v>45291</v>
      </c>
      <c r="F29" s="7" t="s">
        <v>64</v>
      </c>
      <c r="G29" s="11" t="s">
        <v>65</v>
      </c>
      <c r="H29" s="8">
        <v>604427</v>
      </c>
      <c r="I29" s="8" t="s">
        <v>13</v>
      </c>
    </row>
    <row r="30" spans="1:9" x14ac:dyDescent="0.2">
      <c r="A30" s="8">
        <v>5646715</v>
      </c>
      <c r="B30" s="8" t="s">
        <v>9</v>
      </c>
      <c r="C30" s="8" t="s">
        <v>10</v>
      </c>
      <c r="D30" s="10">
        <v>45291</v>
      </c>
      <c r="E30" s="14">
        <v>45291</v>
      </c>
      <c r="F30" s="7" t="s">
        <v>66</v>
      </c>
      <c r="G30" s="11" t="s">
        <v>67</v>
      </c>
      <c r="H30" s="8">
        <v>26759793</v>
      </c>
      <c r="I30" s="8" t="s">
        <v>13</v>
      </c>
    </row>
    <row r="31" spans="1:9" x14ac:dyDescent="0.2">
      <c r="A31" s="8">
        <v>5646716</v>
      </c>
      <c r="B31" s="8" t="s">
        <v>9</v>
      </c>
      <c r="C31" s="8" t="s">
        <v>10</v>
      </c>
      <c r="D31" s="10">
        <v>45291</v>
      </c>
      <c r="E31" s="14">
        <v>45291</v>
      </c>
      <c r="F31" s="7" t="s">
        <v>68</v>
      </c>
      <c r="G31" s="11" t="s">
        <v>69</v>
      </c>
      <c r="H31" s="8">
        <v>5681544</v>
      </c>
      <c r="I31" s="8" t="s">
        <v>13</v>
      </c>
    </row>
    <row r="32" spans="1:9" x14ac:dyDescent="0.2">
      <c r="A32" s="8">
        <v>5646717</v>
      </c>
      <c r="B32" s="8" t="s">
        <v>9</v>
      </c>
      <c r="C32" s="8" t="s">
        <v>10</v>
      </c>
      <c r="D32" s="10">
        <v>45291</v>
      </c>
      <c r="E32" s="14">
        <v>45291</v>
      </c>
      <c r="F32" s="7" t="s">
        <v>70</v>
      </c>
      <c r="G32" s="11" t="s">
        <v>21</v>
      </c>
      <c r="H32" s="8">
        <v>0</v>
      </c>
      <c r="I32" s="8" t="s">
        <v>13</v>
      </c>
    </row>
    <row r="33" spans="1:9" x14ac:dyDescent="0.2">
      <c r="A33" s="8">
        <v>5646718</v>
      </c>
      <c r="B33" s="8" t="s">
        <v>9</v>
      </c>
      <c r="C33" s="8" t="s">
        <v>10</v>
      </c>
      <c r="D33" s="10">
        <v>45291</v>
      </c>
      <c r="E33" s="14">
        <v>45291</v>
      </c>
      <c r="F33" s="7" t="s">
        <v>71</v>
      </c>
      <c r="G33" s="11" t="s">
        <v>25</v>
      </c>
      <c r="H33" s="8">
        <v>0</v>
      </c>
      <c r="I33" s="8" t="s">
        <v>13</v>
      </c>
    </row>
    <row r="34" spans="1:9" x14ac:dyDescent="0.2">
      <c r="A34" s="8">
        <v>5646719</v>
      </c>
      <c r="B34" s="8" t="s">
        <v>9</v>
      </c>
      <c r="C34" s="8" t="s">
        <v>10</v>
      </c>
      <c r="D34" s="10">
        <v>45291</v>
      </c>
      <c r="E34" s="14">
        <v>45291</v>
      </c>
      <c r="F34" s="7" t="s">
        <v>72</v>
      </c>
      <c r="G34" s="11" t="s">
        <v>27</v>
      </c>
      <c r="H34" s="8">
        <v>0</v>
      </c>
      <c r="I34" s="8" t="s">
        <v>13</v>
      </c>
    </row>
    <row r="35" spans="1:9" x14ac:dyDescent="0.2">
      <c r="A35" s="8">
        <v>5646720</v>
      </c>
      <c r="B35" s="8" t="s">
        <v>9</v>
      </c>
      <c r="C35" s="8" t="s">
        <v>10</v>
      </c>
      <c r="D35" s="10">
        <v>45291</v>
      </c>
      <c r="E35" s="14">
        <v>45291</v>
      </c>
      <c r="F35" s="7" t="s">
        <v>73</v>
      </c>
      <c r="G35" s="11" t="s">
        <v>29</v>
      </c>
      <c r="H35" s="8">
        <v>0</v>
      </c>
      <c r="I35" s="8" t="s">
        <v>13</v>
      </c>
    </row>
    <row r="36" spans="1:9" x14ac:dyDescent="0.2">
      <c r="A36" s="8">
        <v>5646721</v>
      </c>
      <c r="B36" s="8" t="s">
        <v>9</v>
      </c>
      <c r="C36" s="8" t="s">
        <v>10</v>
      </c>
      <c r="D36" s="10">
        <v>45291</v>
      </c>
      <c r="E36" s="14">
        <v>45291</v>
      </c>
      <c r="F36" s="7" t="s">
        <v>74</v>
      </c>
      <c r="G36" s="11" t="s">
        <v>31</v>
      </c>
      <c r="H36" s="8">
        <v>806582</v>
      </c>
      <c r="I36" s="8" t="s">
        <v>13</v>
      </c>
    </row>
    <row r="37" spans="1:9" x14ac:dyDescent="0.2">
      <c r="A37" s="8">
        <v>5646722</v>
      </c>
      <c r="B37" s="8" t="s">
        <v>9</v>
      </c>
      <c r="C37" s="8" t="s">
        <v>10</v>
      </c>
      <c r="D37" s="10">
        <v>45291</v>
      </c>
      <c r="E37" s="14">
        <v>45291</v>
      </c>
      <c r="F37" s="7" t="s">
        <v>75</v>
      </c>
      <c r="G37" s="11" t="s">
        <v>33</v>
      </c>
      <c r="H37" s="8">
        <v>0</v>
      </c>
      <c r="I37" s="8" t="s">
        <v>13</v>
      </c>
    </row>
    <row r="38" spans="1:9" x14ac:dyDescent="0.2">
      <c r="A38" s="8">
        <v>5646723</v>
      </c>
      <c r="B38" s="8" t="s">
        <v>9</v>
      </c>
      <c r="C38" s="8" t="s">
        <v>10</v>
      </c>
      <c r="D38" s="10">
        <v>45291</v>
      </c>
      <c r="E38" s="14">
        <v>45291</v>
      </c>
      <c r="F38" s="7" t="s">
        <v>76</v>
      </c>
      <c r="G38" s="11" t="s">
        <v>38</v>
      </c>
      <c r="H38" s="8">
        <v>0</v>
      </c>
      <c r="I38" s="8" t="s">
        <v>13</v>
      </c>
    </row>
    <row r="39" spans="1:9" x14ac:dyDescent="0.2">
      <c r="A39" s="8">
        <v>5646724</v>
      </c>
      <c r="B39" s="8" t="s">
        <v>9</v>
      </c>
      <c r="C39" s="8" t="s">
        <v>10</v>
      </c>
      <c r="D39" s="10">
        <v>45291</v>
      </c>
      <c r="E39" s="14">
        <v>45291</v>
      </c>
      <c r="F39" s="7" t="s">
        <v>77</v>
      </c>
      <c r="G39" s="11" t="s">
        <v>35</v>
      </c>
      <c r="H39" s="8">
        <v>806582</v>
      </c>
      <c r="I39" s="8" t="s">
        <v>13</v>
      </c>
    </row>
    <row r="40" spans="1:9" x14ac:dyDescent="0.2">
      <c r="A40" s="8">
        <v>5646725</v>
      </c>
      <c r="B40" s="8" t="s">
        <v>9</v>
      </c>
      <c r="C40" s="8" t="s">
        <v>10</v>
      </c>
      <c r="D40" s="10">
        <v>45291</v>
      </c>
      <c r="E40" s="14">
        <v>45291</v>
      </c>
      <c r="F40" s="7" t="s">
        <v>78</v>
      </c>
      <c r="G40" s="11" t="s">
        <v>40</v>
      </c>
      <c r="H40" s="8">
        <v>0</v>
      </c>
      <c r="I40" s="8" t="s">
        <v>13</v>
      </c>
    </row>
    <row r="41" spans="1:9" x14ac:dyDescent="0.2">
      <c r="A41" s="8">
        <v>5646726</v>
      </c>
      <c r="B41" s="8" t="s">
        <v>9</v>
      </c>
      <c r="C41" s="8" t="s">
        <v>10</v>
      </c>
      <c r="D41" s="10">
        <v>45291</v>
      </c>
      <c r="E41" s="14">
        <v>45291</v>
      </c>
      <c r="F41" s="7" t="s">
        <v>79</v>
      </c>
      <c r="G41" s="11" t="s">
        <v>42</v>
      </c>
      <c r="H41" s="8">
        <v>0</v>
      </c>
      <c r="I41" s="8" t="s">
        <v>13</v>
      </c>
    </row>
    <row r="42" spans="1:9" x14ac:dyDescent="0.2">
      <c r="A42" s="8">
        <v>5646727</v>
      </c>
      <c r="B42" s="8" t="s">
        <v>9</v>
      </c>
      <c r="C42" s="8" t="s">
        <v>10</v>
      </c>
      <c r="D42" s="10">
        <v>45291</v>
      </c>
      <c r="E42" s="14">
        <v>45291</v>
      </c>
      <c r="F42" s="7" t="s">
        <v>80</v>
      </c>
      <c r="G42" s="11" t="s">
        <v>81</v>
      </c>
      <c r="H42" s="8">
        <v>2200695</v>
      </c>
      <c r="I42" s="8" t="s">
        <v>13</v>
      </c>
    </row>
    <row r="43" spans="1:9" x14ac:dyDescent="0.2">
      <c r="A43" s="8">
        <v>5646728</v>
      </c>
      <c r="B43" s="8" t="s">
        <v>9</v>
      </c>
      <c r="C43" s="8" t="s">
        <v>10</v>
      </c>
      <c r="D43" s="10">
        <v>45291</v>
      </c>
      <c r="E43" s="14">
        <v>45291</v>
      </c>
      <c r="F43" s="7" t="s">
        <v>82</v>
      </c>
      <c r="G43" s="11" t="s">
        <v>83</v>
      </c>
      <c r="H43" s="8">
        <v>2200695</v>
      </c>
      <c r="I43" s="8" t="s">
        <v>13</v>
      </c>
    </row>
    <row r="44" spans="1:9" x14ac:dyDescent="0.2">
      <c r="A44" s="8">
        <v>5646729</v>
      </c>
      <c r="B44" s="8" t="s">
        <v>9</v>
      </c>
      <c r="C44" s="8" t="s">
        <v>10</v>
      </c>
      <c r="D44" s="10">
        <v>45291</v>
      </c>
      <c r="E44" s="14">
        <v>45291</v>
      </c>
      <c r="F44" s="7" t="s">
        <v>84</v>
      </c>
      <c r="G44" s="11" t="s">
        <v>51</v>
      </c>
      <c r="H44" s="8">
        <v>0</v>
      </c>
      <c r="I44" s="8" t="s">
        <v>13</v>
      </c>
    </row>
    <row r="45" spans="1:9" x14ac:dyDescent="0.2">
      <c r="A45" s="8">
        <v>5646730</v>
      </c>
      <c r="B45" s="8" t="s">
        <v>9</v>
      </c>
      <c r="C45" s="8" t="s">
        <v>10</v>
      </c>
      <c r="D45" s="10">
        <v>45291</v>
      </c>
      <c r="E45" s="14">
        <v>45291</v>
      </c>
      <c r="F45" s="7" t="s">
        <v>85</v>
      </c>
      <c r="G45" s="11" t="s">
        <v>86</v>
      </c>
      <c r="H45" s="8">
        <v>0</v>
      </c>
      <c r="I45" s="8" t="s">
        <v>13</v>
      </c>
    </row>
    <row r="46" spans="1:9" x14ac:dyDescent="0.2">
      <c r="A46" s="8">
        <v>5646731</v>
      </c>
      <c r="B46" s="8" t="s">
        <v>9</v>
      </c>
      <c r="C46" s="8" t="s">
        <v>10</v>
      </c>
      <c r="D46" s="10">
        <v>45291</v>
      </c>
      <c r="E46" s="14">
        <v>45291</v>
      </c>
      <c r="F46" s="7" t="s">
        <v>87</v>
      </c>
      <c r="G46" s="11" t="s">
        <v>88</v>
      </c>
      <c r="H46" s="8">
        <v>0</v>
      </c>
      <c r="I46" s="8" t="s">
        <v>13</v>
      </c>
    </row>
    <row r="47" spans="1:9" x14ac:dyDescent="0.2">
      <c r="A47" s="8">
        <v>5646732</v>
      </c>
      <c r="B47" s="8" t="s">
        <v>9</v>
      </c>
      <c r="C47" s="8" t="s">
        <v>10</v>
      </c>
      <c r="D47" s="10">
        <v>45291</v>
      </c>
      <c r="E47" s="14">
        <v>45291</v>
      </c>
      <c r="F47" s="7" t="s">
        <v>89</v>
      </c>
      <c r="G47" s="11" t="s">
        <v>90</v>
      </c>
      <c r="H47" s="8">
        <v>0</v>
      </c>
      <c r="I47" s="8" t="s">
        <v>13</v>
      </c>
    </row>
    <row r="48" spans="1:9" x14ac:dyDescent="0.2">
      <c r="A48" s="8">
        <v>5646733</v>
      </c>
      <c r="B48" s="8" t="s">
        <v>9</v>
      </c>
      <c r="C48" s="8" t="s">
        <v>10</v>
      </c>
      <c r="D48" s="10">
        <v>45291</v>
      </c>
      <c r="E48" s="14">
        <v>45291</v>
      </c>
      <c r="F48" s="7" t="s">
        <v>91</v>
      </c>
      <c r="G48" s="11" t="s">
        <v>92</v>
      </c>
      <c r="H48" s="8">
        <v>0</v>
      </c>
      <c r="I48" s="8" t="s">
        <v>13</v>
      </c>
    </row>
    <row r="49" spans="1:9" x14ac:dyDescent="0.2">
      <c r="A49" s="8">
        <v>5646734</v>
      </c>
      <c r="B49" s="8" t="s">
        <v>9</v>
      </c>
      <c r="C49" s="8" t="s">
        <v>10</v>
      </c>
      <c r="D49" s="10">
        <v>45291</v>
      </c>
      <c r="E49" s="14">
        <v>45291</v>
      </c>
      <c r="F49" s="7" t="s">
        <v>93</v>
      </c>
      <c r="G49" s="11" t="s">
        <v>94</v>
      </c>
      <c r="H49" s="8">
        <v>2674267</v>
      </c>
      <c r="I49" s="8" t="s">
        <v>13</v>
      </c>
    </row>
    <row r="50" spans="1:9" x14ac:dyDescent="0.2">
      <c r="A50" s="8">
        <v>5646735</v>
      </c>
      <c r="B50" s="8" t="s">
        <v>9</v>
      </c>
      <c r="C50" s="8" t="s">
        <v>10</v>
      </c>
      <c r="D50" s="10">
        <v>45291</v>
      </c>
      <c r="E50" s="14">
        <v>45291</v>
      </c>
      <c r="F50" s="7" t="s">
        <v>95</v>
      </c>
      <c r="G50" s="11" t="s">
        <v>55</v>
      </c>
      <c r="H50" s="8">
        <v>0</v>
      </c>
      <c r="I50" s="8" t="s">
        <v>13</v>
      </c>
    </row>
    <row r="51" spans="1:9" x14ac:dyDescent="0.2">
      <c r="A51" s="8">
        <v>5646736</v>
      </c>
      <c r="B51" s="8" t="s">
        <v>9</v>
      </c>
      <c r="C51" s="8" t="s">
        <v>10</v>
      </c>
      <c r="D51" s="10">
        <v>45291</v>
      </c>
      <c r="E51" s="14">
        <v>45291</v>
      </c>
      <c r="F51" s="7" t="s">
        <v>96</v>
      </c>
      <c r="G51" s="11" t="s">
        <v>57</v>
      </c>
      <c r="H51" s="8">
        <v>0</v>
      </c>
      <c r="I51" s="8" t="s">
        <v>13</v>
      </c>
    </row>
    <row r="52" spans="1:9" x14ac:dyDescent="0.2">
      <c r="A52" s="8">
        <v>5646737</v>
      </c>
      <c r="B52" s="8" t="s">
        <v>9</v>
      </c>
      <c r="C52" s="8" t="s">
        <v>10</v>
      </c>
      <c r="D52" s="10">
        <v>45291</v>
      </c>
      <c r="E52" s="14">
        <v>45291</v>
      </c>
      <c r="F52" s="7" t="s">
        <v>97</v>
      </c>
      <c r="G52" s="11" t="s">
        <v>98</v>
      </c>
      <c r="H52" s="8">
        <v>408030</v>
      </c>
      <c r="I52" s="8" t="s">
        <v>13</v>
      </c>
    </row>
    <row r="53" spans="1:9" x14ac:dyDescent="0.2">
      <c r="A53" s="8">
        <v>5646738</v>
      </c>
      <c r="B53" s="8" t="s">
        <v>9</v>
      </c>
      <c r="C53" s="8" t="s">
        <v>10</v>
      </c>
      <c r="D53" s="10">
        <v>45291</v>
      </c>
      <c r="E53" s="14">
        <v>45291</v>
      </c>
      <c r="F53" s="7" t="s">
        <v>99</v>
      </c>
      <c r="G53" s="11" t="s">
        <v>100</v>
      </c>
      <c r="H53" s="8">
        <v>1112407</v>
      </c>
      <c r="I53" s="8" t="s">
        <v>13</v>
      </c>
    </row>
    <row r="54" spans="1:9" x14ac:dyDescent="0.2">
      <c r="A54" s="8">
        <v>5646739</v>
      </c>
      <c r="B54" s="8" t="s">
        <v>9</v>
      </c>
      <c r="C54" s="8" t="s">
        <v>10</v>
      </c>
      <c r="D54" s="10">
        <v>45291</v>
      </c>
      <c r="E54" s="14">
        <v>45291</v>
      </c>
      <c r="F54" s="7" t="s">
        <v>101</v>
      </c>
      <c r="G54" s="11" t="s">
        <v>102</v>
      </c>
      <c r="H54" s="8">
        <v>1027679</v>
      </c>
      <c r="I54" s="8" t="s">
        <v>13</v>
      </c>
    </row>
    <row r="55" spans="1:9" x14ac:dyDescent="0.2">
      <c r="A55" s="8">
        <v>5646740</v>
      </c>
      <c r="B55" s="8" t="s">
        <v>9</v>
      </c>
      <c r="C55" s="8" t="s">
        <v>10</v>
      </c>
      <c r="D55" s="10">
        <v>45291</v>
      </c>
      <c r="E55" s="14">
        <v>45291</v>
      </c>
      <c r="F55" s="7" t="s">
        <v>103</v>
      </c>
      <c r="G55" s="11" t="s">
        <v>63</v>
      </c>
      <c r="H55" s="8">
        <v>89453</v>
      </c>
      <c r="I55" s="8" t="s">
        <v>13</v>
      </c>
    </row>
    <row r="56" spans="1:9" x14ac:dyDescent="0.2">
      <c r="A56" s="8">
        <v>5646741</v>
      </c>
      <c r="B56" s="8" t="s">
        <v>9</v>
      </c>
      <c r="C56" s="8" t="s">
        <v>10</v>
      </c>
      <c r="D56" s="10">
        <v>45291</v>
      </c>
      <c r="E56" s="14">
        <v>45291</v>
      </c>
      <c r="F56" s="7" t="s">
        <v>104</v>
      </c>
      <c r="G56" s="11" t="s">
        <v>105</v>
      </c>
      <c r="H56" s="8">
        <v>36698</v>
      </c>
      <c r="I56" s="8" t="s">
        <v>13</v>
      </c>
    </row>
    <row r="57" spans="1:9" x14ac:dyDescent="0.2">
      <c r="A57" s="8">
        <v>5646742</v>
      </c>
      <c r="B57" s="8" t="s">
        <v>9</v>
      </c>
      <c r="C57" s="8" t="s">
        <v>10</v>
      </c>
      <c r="D57" s="10">
        <v>45291</v>
      </c>
      <c r="E57" s="14">
        <v>45291</v>
      </c>
      <c r="F57" s="7" t="s">
        <v>106</v>
      </c>
      <c r="G57" s="11" t="s">
        <v>107</v>
      </c>
      <c r="H57" s="8">
        <v>0</v>
      </c>
      <c r="I57" s="8" t="s">
        <v>13</v>
      </c>
    </row>
    <row r="58" spans="1:9" x14ac:dyDescent="0.2">
      <c r="A58" s="8">
        <v>5646743</v>
      </c>
      <c r="B58" s="8" t="s">
        <v>9</v>
      </c>
      <c r="C58" s="8" t="s">
        <v>10</v>
      </c>
      <c r="D58" s="10">
        <v>45291</v>
      </c>
      <c r="E58" s="14">
        <v>45291</v>
      </c>
      <c r="F58" s="7" t="s">
        <v>108</v>
      </c>
      <c r="G58" s="11" t="s">
        <v>109</v>
      </c>
      <c r="H58" s="8">
        <v>0</v>
      </c>
      <c r="I58" s="8" t="s">
        <v>13</v>
      </c>
    </row>
    <row r="59" spans="1:9" x14ac:dyDescent="0.2">
      <c r="A59" s="8">
        <v>5646744</v>
      </c>
      <c r="B59" s="8" t="s">
        <v>9</v>
      </c>
      <c r="C59" s="8" t="s">
        <v>10</v>
      </c>
      <c r="D59" s="10">
        <v>45291</v>
      </c>
      <c r="E59" s="14">
        <v>45291</v>
      </c>
      <c r="F59" s="7" t="s">
        <v>110</v>
      </c>
      <c r="G59" s="11" t="s">
        <v>111</v>
      </c>
      <c r="H59" s="8">
        <v>0</v>
      </c>
      <c r="I59" s="8" t="s">
        <v>13</v>
      </c>
    </row>
    <row r="60" spans="1:9" x14ac:dyDescent="0.2">
      <c r="A60" s="8">
        <v>5646745</v>
      </c>
      <c r="B60" s="8" t="s">
        <v>9</v>
      </c>
      <c r="C60" s="8" t="s">
        <v>10</v>
      </c>
      <c r="D60" s="10">
        <v>45291</v>
      </c>
      <c r="E60" s="14">
        <v>45291</v>
      </c>
      <c r="F60" s="7" t="s">
        <v>112</v>
      </c>
      <c r="G60" s="11" t="s">
        <v>113</v>
      </c>
      <c r="H60" s="8">
        <v>0</v>
      </c>
      <c r="I60" s="8" t="s">
        <v>13</v>
      </c>
    </row>
    <row r="61" spans="1:9" x14ac:dyDescent="0.2">
      <c r="A61" s="8">
        <v>5646746</v>
      </c>
      <c r="B61" s="8" t="s">
        <v>9</v>
      </c>
      <c r="C61" s="8" t="s">
        <v>10</v>
      </c>
      <c r="D61" s="10">
        <v>45291</v>
      </c>
      <c r="E61" s="14">
        <v>45291</v>
      </c>
      <c r="F61" s="7" t="s">
        <v>114</v>
      </c>
      <c r="G61" s="11" t="s">
        <v>115</v>
      </c>
      <c r="H61" s="8">
        <v>0</v>
      </c>
      <c r="I61" s="8" t="s">
        <v>13</v>
      </c>
    </row>
    <row r="62" spans="1:9" x14ac:dyDescent="0.2">
      <c r="A62" s="8">
        <v>5646747</v>
      </c>
      <c r="B62" s="8" t="s">
        <v>9</v>
      </c>
      <c r="C62" s="8" t="s">
        <v>10</v>
      </c>
      <c r="D62" s="10">
        <v>45291</v>
      </c>
      <c r="E62" s="14">
        <v>45291</v>
      </c>
      <c r="F62" s="7" t="s">
        <v>116</v>
      </c>
      <c r="G62" s="11" t="s">
        <v>117</v>
      </c>
      <c r="H62" s="8">
        <v>0</v>
      </c>
      <c r="I62" s="8" t="s">
        <v>13</v>
      </c>
    </row>
    <row r="63" spans="1:9" x14ac:dyDescent="0.2">
      <c r="A63" s="8">
        <v>5646748</v>
      </c>
      <c r="B63" s="8" t="s">
        <v>9</v>
      </c>
      <c r="C63" s="8" t="s">
        <v>10</v>
      </c>
      <c r="D63" s="10">
        <v>45291</v>
      </c>
      <c r="E63" s="14">
        <v>45291</v>
      </c>
      <c r="F63" s="7" t="s">
        <v>118</v>
      </c>
      <c r="G63" s="11" t="s">
        <v>119</v>
      </c>
      <c r="H63" s="8">
        <v>0</v>
      </c>
      <c r="I63" s="8" t="s">
        <v>13</v>
      </c>
    </row>
    <row r="64" spans="1:9" x14ac:dyDescent="0.2">
      <c r="A64" s="8">
        <v>5646749</v>
      </c>
      <c r="B64" s="8" t="s">
        <v>9</v>
      </c>
      <c r="C64" s="8" t="s">
        <v>10</v>
      </c>
      <c r="D64" s="10">
        <v>45291</v>
      </c>
      <c r="E64" s="14">
        <v>45291</v>
      </c>
      <c r="F64" s="7" t="s">
        <v>120</v>
      </c>
      <c r="G64" s="11" t="s">
        <v>121</v>
      </c>
      <c r="H64" s="8">
        <v>4508383</v>
      </c>
      <c r="I64" s="8" t="s">
        <v>13</v>
      </c>
    </row>
    <row r="65" spans="1:9" x14ac:dyDescent="0.2">
      <c r="A65" s="8">
        <v>5646750</v>
      </c>
      <c r="B65" s="8" t="s">
        <v>9</v>
      </c>
      <c r="C65" s="8" t="s">
        <v>10</v>
      </c>
      <c r="D65" s="10">
        <v>45291</v>
      </c>
      <c r="E65" s="14">
        <v>45291</v>
      </c>
      <c r="F65" s="7" t="s">
        <v>122</v>
      </c>
      <c r="G65" s="11" t="s">
        <v>123</v>
      </c>
      <c r="H65" s="8">
        <v>3457574</v>
      </c>
      <c r="I65" s="8" t="s">
        <v>13</v>
      </c>
    </row>
    <row r="66" spans="1:9" x14ac:dyDescent="0.2">
      <c r="A66" s="8">
        <v>5646751</v>
      </c>
      <c r="B66" s="8" t="s">
        <v>9</v>
      </c>
      <c r="C66" s="8" t="s">
        <v>10</v>
      </c>
      <c r="D66" s="10">
        <v>45291</v>
      </c>
      <c r="E66" s="14">
        <v>45291</v>
      </c>
      <c r="F66" s="7" t="s">
        <v>124</v>
      </c>
      <c r="G66" s="11" t="s">
        <v>125</v>
      </c>
      <c r="H66" s="8">
        <v>1050809</v>
      </c>
      <c r="I66" s="8" t="s">
        <v>13</v>
      </c>
    </row>
    <row r="67" spans="1:9" x14ac:dyDescent="0.2">
      <c r="A67" s="8">
        <v>5646752</v>
      </c>
      <c r="B67" s="8" t="s">
        <v>9</v>
      </c>
      <c r="C67" s="8" t="s">
        <v>10</v>
      </c>
      <c r="D67" s="10">
        <v>45291</v>
      </c>
      <c r="E67" s="14">
        <v>45291</v>
      </c>
      <c r="F67" s="7" t="s">
        <v>126</v>
      </c>
      <c r="G67" s="11" t="s">
        <v>127</v>
      </c>
      <c r="H67" s="8">
        <v>0</v>
      </c>
      <c r="I67" s="8" t="s">
        <v>13</v>
      </c>
    </row>
    <row r="68" spans="1:9" x14ac:dyDescent="0.2">
      <c r="A68" s="8">
        <v>5646753</v>
      </c>
      <c r="B68" s="8" t="s">
        <v>9</v>
      </c>
      <c r="C68" s="8" t="s">
        <v>10</v>
      </c>
      <c r="D68" s="10">
        <v>45291</v>
      </c>
      <c r="E68" s="14">
        <v>45291</v>
      </c>
      <c r="F68" s="7" t="s">
        <v>128</v>
      </c>
      <c r="G68" s="11" t="s">
        <v>129</v>
      </c>
      <c r="H68" s="8">
        <v>16569866</v>
      </c>
      <c r="I68" s="8" t="s">
        <v>13</v>
      </c>
    </row>
    <row r="69" spans="1:9" x14ac:dyDescent="0.2">
      <c r="A69" s="8">
        <v>5646754</v>
      </c>
      <c r="B69" s="8" t="s">
        <v>9</v>
      </c>
      <c r="C69" s="8" t="s">
        <v>10</v>
      </c>
      <c r="D69" s="10">
        <v>45291</v>
      </c>
      <c r="E69" s="14">
        <v>45291</v>
      </c>
      <c r="F69" s="7" t="s">
        <v>130</v>
      </c>
      <c r="G69" s="11" t="s">
        <v>131</v>
      </c>
      <c r="H69" s="8">
        <v>16569866</v>
      </c>
      <c r="I69" s="8" t="s">
        <v>13</v>
      </c>
    </row>
    <row r="70" spans="1:9" x14ac:dyDescent="0.2">
      <c r="A70" s="8">
        <v>5646755</v>
      </c>
      <c r="B70" s="8" t="s">
        <v>9</v>
      </c>
      <c r="C70" s="8" t="s">
        <v>10</v>
      </c>
      <c r="D70" s="10">
        <v>45291</v>
      </c>
      <c r="E70" s="14">
        <v>45291</v>
      </c>
      <c r="F70" s="7" t="s">
        <v>132</v>
      </c>
      <c r="G70" s="11" t="s">
        <v>133</v>
      </c>
      <c r="H70" s="8">
        <v>0</v>
      </c>
      <c r="I70" s="8" t="s">
        <v>13</v>
      </c>
    </row>
    <row r="71" spans="1:9" x14ac:dyDescent="0.2">
      <c r="A71" s="8">
        <v>5646756</v>
      </c>
      <c r="B71" s="8" t="s">
        <v>9</v>
      </c>
      <c r="C71" s="8" t="s">
        <v>10</v>
      </c>
      <c r="D71" s="10">
        <v>45291</v>
      </c>
      <c r="E71" s="14">
        <v>45291</v>
      </c>
      <c r="F71" s="7" t="s">
        <v>134</v>
      </c>
      <c r="G71" s="11" t="s">
        <v>135</v>
      </c>
      <c r="H71" s="8">
        <v>0</v>
      </c>
      <c r="I71" s="8" t="s">
        <v>13</v>
      </c>
    </row>
    <row r="72" spans="1:9" x14ac:dyDescent="0.2">
      <c r="A72" s="8">
        <v>5646757</v>
      </c>
      <c r="B72" s="8" t="s">
        <v>9</v>
      </c>
      <c r="C72" s="8" t="s">
        <v>10</v>
      </c>
      <c r="D72" s="10">
        <v>45291</v>
      </c>
      <c r="E72" s="14">
        <v>45291</v>
      </c>
      <c r="F72" s="7" t="s">
        <v>136</v>
      </c>
      <c r="G72" s="11" t="s">
        <v>137</v>
      </c>
      <c r="H72" s="8">
        <v>42747015</v>
      </c>
      <c r="I72" s="8" t="s">
        <v>13</v>
      </c>
    </row>
    <row r="73" spans="1:9" s="19" customFormat="1" x14ac:dyDescent="0.2">
      <c r="A73" s="16">
        <v>5646758</v>
      </c>
      <c r="B73" s="16" t="s">
        <v>9</v>
      </c>
      <c r="C73" s="16" t="s">
        <v>10</v>
      </c>
      <c r="D73" s="17">
        <v>45291</v>
      </c>
      <c r="E73" s="18">
        <v>45291</v>
      </c>
      <c r="F73" s="19" t="s">
        <v>138</v>
      </c>
      <c r="G73" s="20" t="s">
        <v>139</v>
      </c>
      <c r="H73" s="16">
        <v>10413499</v>
      </c>
      <c r="I73" s="16" t="s">
        <v>13</v>
      </c>
    </row>
    <row r="74" spans="1:9" s="19" customFormat="1" x14ac:dyDescent="0.2">
      <c r="A74" s="16">
        <v>5646759</v>
      </c>
      <c r="B74" s="16" t="s">
        <v>9</v>
      </c>
      <c r="C74" s="16" t="s">
        <v>10</v>
      </c>
      <c r="D74" s="17">
        <v>45291</v>
      </c>
      <c r="E74" s="18">
        <v>45291</v>
      </c>
      <c r="F74" s="19" t="s">
        <v>140</v>
      </c>
      <c r="G74" s="20" t="s">
        <v>141</v>
      </c>
      <c r="H74" s="16">
        <v>1019688</v>
      </c>
      <c r="I74" s="16" t="s">
        <v>13</v>
      </c>
    </row>
    <row r="75" spans="1:9" s="19" customFormat="1" x14ac:dyDescent="0.2">
      <c r="A75" s="16">
        <v>5646760</v>
      </c>
      <c r="B75" s="16" t="s">
        <v>9</v>
      </c>
      <c r="C75" s="16" t="s">
        <v>10</v>
      </c>
      <c r="D75" s="17">
        <v>45291</v>
      </c>
      <c r="E75" s="18">
        <v>45291</v>
      </c>
      <c r="F75" s="19" t="s">
        <v>142</v>
      </c>
      <c r="G75" s="20" t="s">
        <v>143</v>
      </c>
      <c r="H75" s="16">
        <v>0</v>
      </c>
      <c r="I75" s="16" t="s">
        <v>13</v>
      </c>
    </row>
    <row r="76" spans="1:9" s="19" customFormat="1" x14ac:dyDescent="0.2">
      <c r="A76" s="16">
        <v>5646761</v>
      </c>
      <c r="B76" s="16" t="s">
        <v>9</v>
      </c>
      <c r="C76" s="16" t="s">
        <v>10</v>
      </c>
      <c r="D76" s="17">
        <v>45291</v>
      </c>
      <c r="E76" s="18">
        <v>45291</v>
      </c>
      <c r="F76" s="19" t="s">
        <v>144</v>
      </c>
      <c r="G76" s="20" t="s">
        <v>145</v>
      </c>
      <c r="H76" s="16">
        <v>1019688</v>
      </c>
      <c r="I76" s="16" t="s">
        <v>13</v>
      </c>
    </row>
    <row r="77" spans="1:9" s="19" customFormat="1" x14ac:dyDescent="0.2">
      <c r="A77" s="16">
        <v>5646762</v>
      </c>
      <c r="B77" s="16" t="s">
        <v>9</v>
      </c>
      <c r="C77" s="16" t="s">
        <v>10</v>
      </c>
      <c r="D77" s="17">
        <v>45291</v>
      </c>
      <c r="E77" s="18">
        <v>45291</v>
      </c>
      <c r="F77" s="19" t="s">
        <v>146</v>
      </c>
      <c r="G77" s="20" t="s">
        <v>147</v>
      </c>
      <c r="H77" s="16">
        <v>5302478</v>
      </c>
      <c r="I77" s="16" t="s">
        <v>13</v>
      </c>
    </row>
    <row r="78" spans="1:9" s="19" customFormat="1" x14ac:dyDescent="0.2">
      <c r="A78" s="16">
        <v>5646763</v>
      </c>
      <c r="B78" s="16" t="s">
        <v>9</v>
      </c>
      <c r="C78" s="16" t="s">
        <v>10</v>
      </c>
      <c r="D78" s="17">
        <v>45291</v>
      </c>
      <c r="E78" s="18">
        <v>45291</v>
      </c>
      <c r="F78" s="19" t="s">
        <v>148</v>
      </c>
      <c r="G78" s="20" t="s">
        <v>149</v>
      </c>
      <c r="H78" s="16">
        <v>5302478</v>
      </c>
      <c r="I78" s="16" t="s">
        <v>13</v>
      </c>
    </row>
    <row r="79" spans="1:9" s="19" customFormat="1" x14ac:dyDescent="0.2">
      <c r="A79" s="16">
        <v>5646764</v>
      </c>
      <c r="B79" s="16" t="s">
        <v>9</v>
      </c>
      <c r="C79" s="16" t="s">
        <v>10</v>
      </c>
      <c r="D79" s="17">
        <v>45291</v>
      </c>
      <c r="E79" s="18">
        <v>45291</v>
      </c>
      <c r="F79" s="19" t="s">
        <v>150</v>
      </c>
      <c r="G79" s="20" t="s">
        <v>151</v>
      </c>
      <c r="H79" s="16">
        <v>0</v>
      </c>
      <c r="I79" s="16" t="s">
        <v>13</v>
      </c>
    </row>
    <row r="80" spans="1:9" s="19" customFormat="1" x14ac:dyDescent="0.2">
      <c r="A80" s="16">
        <v>5646765</v>
      </c>
      <c r="B80" s="16" t="s">
        <v>9</v>
      </c>
      <c r="C80" s="16" t="s">
        <v>10</v>
      </c>
      <c r="D80" s="17">
        <v>45291</v>
      </c>
      <c r="E80" s="18">
        <v>45291</v>
      </c>
      <c r="F80" s="19" t="s">
        <v>152</v>
      </c>
      <c r="G80" s="20" t="s">
        <v>153</v>
      </c>
      <c r="H80" s="16">
        <v>1543202</v>
      </c>
      <c r="I80" s="16" t="s">
        <v>13</v>
      </c>
    </row>
    <row r="81" spans="1:9" s="19" customFormat="1" x14ac:dyDescent="0.2">
      <c r="A81" s="16">
        <v>5646766</v>
      </c>
      <c r="B81" s="16" t="s">
        <v>9</v>
      </c>
      <c r="C81" s="16" t="s">
        <v>10</v>
      </c>
      <c r="D81" s="17">
        <v>45291</v>
      </c>
      <c r="E81" s="18">
        <v>45291</v>
      </c>
      <c r="F81" s="19" t="s">
        <v>154</v>
      </c>
      <c r="G81" s="20" t="s">
        <v>155</v>
      </c>
      <c r="H81" s="16">
        <v>1543202</v>
      </c>
      <c r="I81" s="16" t="s">
        <v>13</v>
      </c>
    </row>
    <row r="82" spans="1:9" s="19" customFormat="1" x14ac:dyDescent="0.2">
      <c r="A82" s="16">
        <v>5646767</v>
      </c>
      <c r="B82" s="16" t="s">
        <v>9</v>
      </c>
      <c r="C82" s="16" t="s">
        <v>10</v>
      </c>
      <c r="D82" s="17">
        <v>45291</v>
      </c>
      <c r="E82" s="18">
        <v>45291</v>
      </c>
      <c r="F82" s="19" t="s">
        <v>156</v>
      </c>
      <c r="G82" s="20" t="s">
        <v>157</v>
      </c>
      <c r="H82" s="16">
        <v>908442</v>
      </c>
      <c r="I82" s="16" t="s">
        <v>13</v>
      </c>
    </row>
    <row r="83" spans="1:9" s="19" customFormat="1" x14ac:dyDescent="0.2">
      <c r="A83" s="16">
        <v>5646768</v>
      </c>
      <c r="B83" s="16" t="s">
        <v>9</v>
      </c>
      <c r="C83" s="16" t="s">
        <v>10</v>
      </c>
      <c r="D83" s="17">
        <v>45291</v>
      </c>
      <c r="E83" s="18">
        <v>45291</v>
      </c>
      <c r="F83" s="19" t="s">
        <v>158</v>
      </c>
      <c r="G83" s="20" t="s">
        <v>159</v>
      </c>
      <c r="H83" s="16">
        <v>634760</v>
      </c>
      <c r="I83" s="16" t="s">
        <v>13</v>
      </c>
    </row>
    <row r="84" spans="1:9" s="19" customFormat="1" x14ac:dyDescent="0.2">
      <c r="A84" s="16">
        <v>5646769</v>
      </c>
      <c r="B84" s="16" t="s">
        <v>9</v>
      </c>
      <c r="C84" s="16" t="s">
        <v>10</v>
      </c>
      <c r="D84" s="17">
        <v>45291</v>
      </c>
      <c r="E84" s="18">
        <v>45291</v>
      </c>
      <c r="F84" s="19" t="s">
        <v>160</v>
      </c>
      <c r="G84" s="20" t="s">
        <v>161</v>
      </c>
      <c r="H84" s="16">
        <v>0</v>
      </c>
      <c r="I84" s="16" t="s">
        <v>13</v>
      </c>
    </row>
    <row r="85" spans="1:9" s="19" customFormat="1" x14ac:dyDescent="0.2">
      <c r="A85" s="16">
        <v>5646770</v>
      </c>
      <c r="B85" s="16" t="s">
        <v>9</v>
      </c>
      <c r="C85" s="16" t="s">
        <v>10</v>
      </c>
      <c r="D85" s="17">
        <v>45291</v>
      </c>
      <c r="E85" s="18">
        <v>45291</v>
      </c>
      <c r="F85" s="19" t="s">
        <v>162</v>
      </c>
      <c r="G85" s="20" t="s">
        <v>163</v>
      </c>
      <c r="H85" s="16">
        <v>0</v>
      </c>
      <c r="I85" s="16" t="s">
        <v>13</v>
      </c>
    </row>
    <row r="86" spans="1:9" s="19" customFormat="1" x14ac:dyDescent="0.2">
      <c r="A86" s="16">
        <v>5646771</v>
      </c>
      <c r="B86" s="16" t="s">
        <v>9</v>
      </c>
      <c r="C86" s="16" t="s">
        <v>10</v>
      </c>
      <c r="D86" s="17">
        <v>45291</v>
      </c>
      <c r="E86" s="18">
        <v>45291</v>
      </c>
      <c r="F86" s="19" t="s">
        <v>164</v>
      </c>
      <c r="G86" s="20" t="s">
        <v>165</v>
      </c>
      <c r="H86" s="16">
        <v>163844</v>
      </c>
      <c r="I86" s="16" t="s">
        <v>13</v>
      </c>
    </row>
    <row r="87" spans="1:9" s="19" customFormat="1" x14ac:dyDescent="0.2">
      <c r="A87" s="16">
        <v>5646772</v>
      </c>
      <c r="B87" s="16" t="s">
        <v>9</v>
      </c>
      <c r="C87" s="16" t="s">
        <v>10</v>
      </c>
      <c r="D87" s="17">
        <v>45291</v>
      </c>
      <c r="E87" s="18">
        <v>45291</v>
      </c>
      <c r="F87" s="19" t="s">
        <v>166</v>
      </c>
      <c r="G87" s="20" t="s">
        <v>165</v>
      </c>
      <c r="H87" s="16">
        <v>163844</v>
      </c>
      <c r="I87" s="16" t="s">
        <v>13</v>
      </c>
    </row>
    <row r="88" spans="1:9" s="19" customFormat="1" x14ac:dyDescent="0.2">
      <c r="A88" s="16">
        <v>5646773</v>
      </c>
      <c r="B88" s="16" t="s">
        <v>9</v>
      </c>
      <c r="C88" s="16" t="s">
        <v>10</v>
      </c>
      <c r="D88" s="17">
        <v>45291</v>
      </c>
      <c r="E88" s="18">
        <v>45291</v>
      </c>
      <c r="F88" s="19" t="s">
        <v>167</v>
      </c>
      <c r="G88" s="20" t="s">
        <v>168</v>
      </c>
      <c r="H88" s="16">
        <v>163844</v>
      </c>
      <c r="I88" s="16" t="s">
        <v>13</v>
      </c>
    </row>
    <row r="89" spans="1:9" s="19" customFormat="1" x14ac:dyDescent="0.2">
      <c r="A89" s="16">
        <v>5646774</v>
      </c>
      <c r="B89" s="16" t="s">
        <v>9</v>
      </c>
      <c r="C89" s="16" t="s">
        <v>10</v>
      </c>
      <c r="D89" s="17">
        <v>45291</v>
      </c>
      <c r="E89" s="18">
        <v>45291</v>
      </c>
      <c r="F89" s="19" t="s">
        <v>169</v>
      </c>
      <c r="G89" s="20" t="s">
        <v>170</v>
      </c>
      <c r="H89" s="16">
        <v>0</v>
      </c>
      <c r="I89" s="16" t="s">
        <v>13</v>
      </c>
    </row>
    <row r="90" spans="1:9" s="19" customFormat="1" x14ac:dyDescent="0.2">
      <c r="A90" s="16">
        <v>5646775</v>
      </c>
      <c r="B90" s="16" t="s">
        <v>9</v>
      </c>
      <c r="C90" s="16" t="s">
        <v>10</v>
      </c>
      <c r="D90" s="17">
        <v>45291</v>
      </c>
      <c r="E90" s="18">
        <v>45291</v>
      </c>
      <c r="F90" s="19" t="s">
        <v>171</v>
      </c>
      <c r="G90" s="20" t="s">
        <v>172</v>
      </c>
      <c r="H90" s="16">
        <v>0</v>
      </c>
      <c r="I90" s="16" t="s">
        <v>13</v>
      </c>
    </row>
    <row r="91" spans="1:9" s="19" customFormat="1" x14ac:dyDescent="0.2">
      <c r="A91" s="16">
        <v>5646776</v>
      </c>
      <c r="B91" s="16" t="s">
        <v>9</v>
      </c>
      <c r="C91" s="16" t="s">
        <v>10</v>
      </c>
      <c r="D91" s="17">
        <v>45291</v>
      </c>
      <c r="E91" s="18">
        <v>45291</v>
      </c>
      <c r="F91" s="19" t="s">
        <v>173</v>
      </c>
      <c r="G91" s="20" t="s">
        <v>174</v>
      </c>
      <c r="H91" s="16">
        <v>0</v>
      </c>
      <c r="I91" s="16" t="s">
        <v>13</v>
      </c>
    </row>
    <row r="92" spans="1:9" s="19" customFormat="1" x14ac:dyDescent="0.2">
      <c r="A92" s="16">
        <v>5646777</v>
      </c>
      <c r="B92" s="16" t="s">
        <v>9</v>
      </c>
      <c r="C92" s="16" t="s">
        <v>10</v>
      </c>
      <c r="D92" s="17">
        <v>45291</v>
      </c>
      <c r="E92" s="18">
        <v>45291</v>
      </c>
      <c r="F92" s="19" t="s">
        <v>175</v>
      </c>
      <c r="G92" s="20" t="s">
        <v>176</v>
      </c>
      <c r="H92" s="16">
        <v>1892986</v>
      </c>
      <c r="I92" s="16" t="s">
        <v>13</v>
      </c>
    </row>
    <row r="93" spans="1:9" s="19" customFormat="1" x14ac:dyDescent="0.2">
      <c r="A93" s="16">
        <v>5646778</v>
      </c>
      <c r="B93" s="16" t="s">
        <v>9</v>
      </c>
      <c r="C93" s="16" t="s">
        <v>10</v>
      </c>
      <c r="D93" s="17">
        <v>45291</v>
      </c>
      <c r="E93" s="18">
        <v>45291</v>
      </c>
      <c r="F93" s="19" t="s">
        <v>177</v>
      </c>
      <c r="G93" s="20" t="s">
        <v>178</v>
      </c>
      <c r="H93" s="16">
        <v>0</v>
      </c>
      <c r="I93" s="16" t="s">
        <v>13</v>
      </c>
    </row>
    <row r="94" spans="1:9" s="19" customFormat="1" x14ac:dyDescent="0.2">
      <c r="A94" s="16">
        <v>5646779</v>
      </c>
      <c r="B94" s="16" t="s">
        <v>9</v>
      </c>
      <c r="C94" s="16" t="s">
        <v>10</v>
      </c>
      <c r="D94" s="17">
        <v>45291</v>
      </c>
      <c r="E94" s="18">
        <v>45291</v>
      </c>
      <c r="F94" s="19" t="s">
        <v>179</v>
      </c>
      <c r="G94" s="20" t="s">
        <v>180</v>
      </c>
      <c r="H94" s="16">
        <v>0</v>
      </c>
      <c r="I94" s="16" t="s">
        <v>13</v>
      </c>
    </row>
    <row r="95" spans="1:9" s="19" customFormat="1" x14ac:dyDescent="0.2">
      <c r="A95" s="16">
        <v>5646780</v>
      </c>
      <c r="B95" s="16" t="s">
        <v>9</v>
      </c>
      <c r="C95" s="16" t="s">
        <v>10</v>
      </c>
      <c r="D95" s="17">
        <v>45291</v>
      </c>
      <c r="E95" s="18">
        <v>45291</v>
      </c>
      <c r="F95" s="19" t="s">
        <v>181</v>
      </c>
      <c r="G95" s="20" t="s">
        <v>182</v>
      </c>
      <c r="H95" s="16">
        <v>0</v>
      </c>
      <c r="I95" s="16" t="s">
        <v>13</v>
      </c>
    </row>
    <row r="96" spans="1:9" s="19" customFormat="1" x14ac:dyDescent="0.2">
      <c r="A96" s="16">
        <v>5646781</v>
      </c>
      <c r="B96" s="16" t="s">
        <v>9</v>
      </c>
      <c r="C96" s="16" t="s">
        <v>10</v>
      </c>
      <c r="D96" s="17">
        <v>45291</v>
      </c>
      <c r="E96" s="18">
        <v>45291</v>
      </c>
      <c r="F96" s="19" t="s">
        <v>183</v>
      </c>
      <c r="G96" s="20" t="s">
        <v>184</v>
      </c>
      <c r="H96" s="16">
        <v>0</v>
      </c>
      <c r="I96" s="16" t="s">
        <v>13</v>
      </c>
    </row>
    <row r="97" spans="1:9" s="19" customFormat="1" x14ac:dyDescent="0.2">
      <c r="A97" s="16">
        <v>5646782</v>
      </c>
      <c r="B97" s="16" t="s">
        <v>9</v>
      </c>
      <c r="C97" s="16" t="s">
        <v>10</v>
      </c>
      <c r="D97" s="17">
        <v>45291</v>
      </c>
      <c r="E97" s="18">
        <v>45291</v>
      </c>
      <c r="F97" s="19" t="s">
        <v>185</v>
      </c>
      <c r="G97" s="20" t="s">
        <v>59</v>
      </c>
      <c r="H97" s="16">
        <v>1892986</v>
      </c>
      <c r="I97" s="16" t="s">
        <v>13</v>
      </c>
    </row>
    <row r="98" spans="1:9" s="19" customFormat="1" x14ac:dyDescent="0.2">
      <c r="A98" s="16">
        <v>5646783</v>
      </c>
      <c r="B98" s="16" t="s">
        <v>9</v>
      </c>
      <c r="C98" s="16" t="s">
        <v>10</v>
      </c>
      <c r="D98" s="17">
        <v>45291</v>
      </c>
      <c r="E98" s="18">
        <v>45291</v>
      </c>
      <c r="F98" s="19" t="s">
        <v>186</v>
      </c>
      <c r="G98" s="20" t="s">
        <v>187</v>
      </c>
      <c r="H98" s="16">
        <v>294231</v>
      </c>
      <c r="I98" s="16" t="s">
        <v>13</v>
      </c>
    </row>
    <row r="99" spans="1:9" s="19" customFormat="1" x14ac:dyDescent="0.2">
      <c r="A99" s="16">
        <v>5646784</v>
      </c>
      <c r="B99" s="16" t="s">
        <v>9</v>
      </c>
      <c r="C99" s="16" t="s">
        <v>10</v>
      </c>
      <c r="D99" s="17">
        <v>45291</v>
      </c>
      <c r="E99" s="18">
        <v>45291</v>
      </c>
      <c r="F99" s="19" t="s">
        <v>188</v>
      </c>
      <c r="G99" s="20" t="s">
        <v>189</v>
      </c>
      <c r="H99" s="16">
        <v>0</v>
      </c>
      <c r="I99" s="16" t="s">
        <v>13</v>
      </c>
    </row>
    <row r="100" spans="1:9" s="19" customFormat="1" x14ac:dyDescent="0.2">
      <c r="A100" s="16">
        <v>5646785</v>
      </c>
      <c r="B100" s="16" t="s">
        <v>9</v>
      </c>
      <c r="C100" s="16" t="s">
        <v>10</v>
      </c>
      <c r="D100" s="17">
        <v>45291</v>
      </c>
      <c r="E100" s="18">
        <v>45291</v>
      </c>
      <c r="F100" s="19" t="s">
        <v>190</v>
      </c>
      <c r="G100" s="20" t="s">
        <v>191</v>
      </c>
      <c r="H100" s="16">
        <v>0</v>
      </c>
      <c r="I100" s="16" t="s">
        <v>13</v>
      </c>
    </row>
    <row r="101" spans="1:9" s="19" customFormat="1" x14ac:dyDescent="0.2">
      <c r="A101" s="16">
        <v>5646786</v>
      </c>
      <c r="B101" s="16" t="s">
        <v>9</v>
      </c>
      <c r="C101" s="16" t="s">
        <v>10</v>
      </c>
      <c r="D101" s="17">
        <v>45291</v>
      </c>
      <c r="E101" s="18">
        <v>45291</v>
      </c>
      <c r="F101" s="19" t="s">
        <v>192</v>
      </c>
      <c r="G101" s="20" t="s">
        <v>193</v>
      </c>
      <c r="H101" s="16">
        <v>329676</v>
      </c>
      <c r="I101" s="16" t="s">
        <v>13</v>
      </c>
    </row>
    <row r="102" spans="1:9" s="19" customFormat="1" x14ac:dyDescent="0.2">
      <c r="A102" s="16">
        <v>5646787</v>
      </c>
      <c r="B102" s="16" t="s">
        <v>9</v>
      </c>
      <c r="C102" s="16" t="s">
        <v>10</v>
      </c>
      <c r="D102" s="17">
        <v>45291</v>
      </c>
      <c r="E102" s="18">
        <v>45291</v>
      </c>
      <c r="F102" s="19" t="s">
        <v>194</v>
      </c>
      <c r="G102" s="20" t="s">
        <v>195</v>
      </c>
      <c r="H102" s="16">
        <v>298600</v>
      </c>
      <c r="I102" s="16" t="s">
        <v>13</v>
      </c>
    </row>
    <row r="103" spans="1:9" s="19" customFormat="1" x14ac:dyDescent="0.2">
      <c r="A103" s="16">
        <v>5646788</v>
      </c>
      <c r="B103" s="16" t="s">
        <v>9</v>
      </c>
      <c r="C103" s="16" t="s">
        <v>10</v>
      </c>
      <c r="D103" s="17">
        <v>45291</v>
      </c>
      <c r="E103" s="18">
        <v>45291</v>
      </c>
      <c r="F103" s="19" t="s">
        <v>196</v>
      </c>
      <c r="G103" s="20" t="s">
        <v>197</v>
      </c>
      <c r="H103" s="16">
        <v>970479</v>
      </c>
      <c r="I103" s="16" t="s">
        <v>13</v>
      </c>
    </row>
    <row r="104" spans="1:9" s="19" customFormat="1" x14ac:dyDescent="0.2">
      <c r="A104" s="16">
        <v>5646789</v>
      </c>
      <c r="B104" s="16" t="s">
        <v>9</v>
      </c>
      <c r="C104" s="16" t="s">
        <v>10</v>
      </c>
      <c r="D104" s="17">
        <v>45291</v>
      </c>
      <c r="E104" s="18">
        <v>45291</v>
      </c>
      <c r="F104" s="19" t="s">
        <v>198</v>
      </c>
      <c r="G104" s="20" t="s">
        <v>199</v>
      </c>
      <c r="H104" s="16">
        <v>491301</v>
      </c>
      <c r="I104" s="16" t="s">
        <v>13</v>
      </c>
    </row>
    <row r="105" spans="1:9" s="19" customFormat="1" x14ac:dyDescent="0.2">
      <c r="A105" s="16">
        <v>5646790</v>
      </c>
      <c r="B105" s="16" t="s">
        <v>9</v>
      </c>
      <c r="C105" s="16" t="s">
        <v>10</v>
      </c>
      <c r="D105" s="17">
        <v>45291</v>
      </c>
      <c r="E105" s="18">
        <v>45291</v>
      </c>
      <c r="F105" s="19" t="s">
        <v>200</v>
      </c>
      <c r="G105" s="20" t="s">
        <v>201</v>
      </c>
      <c r="H105" s="16">
        <v>491301</v>
      </c>
      <c r="I105" s="16" t="s">
        <v>13</v>
      </c>
    </row>
    <row r="106" spans="1:9" s="19" customFormat="1" x14ac:dyDescent="0.2">
      <c r="A106" s="16">
        <v>5646791</v>
      </c>
      <c r="B106" s="16" t="s">
        <v>9</v>
      </c>
      <c r="C106" s="16" t="s">
        <v>10</v>
      </c>
      <c r="D106" s="17">
        <v>45291</v>
      </c>
      <c r="E106" s="18">
        <v>45291</v>
      </c>
      <c r="F106" s="19" t="s">
        <v>202</v>
      </c>
      <c r="G106" s="20" t="s">
        <v>203</v>
      </c>
      <c r="H106" s="16">
        <v>0</v>
      </c>
      <c r="I106" s="16" t="s">
        <v>13</v>
      </c>
    </row>
    <row r="107" spans="1:9" s="19" customFormat="1" x14ac:dyDescent="0.2">
      <c r="A107" s="16">
        <v>5646792</v>
      </c>
      <c r="B107" s="16" t="s">
        <v>9</v>
      </c>
      <c r="C107" s="16" t="s">
        <v>10</v>
      </c>
      <c r="D107" s="17">
        <v>45291</v>
      </c>
      <c r="E107" s="18">
        <v>45291</v>
      </c>
      <c r="F107" s="19" t="s">
        <v>204</v>
      </c>
      <c r="G107" s="20" t="s">
        <v>205</v>
      </c>
      <c r="H107" s="16">
        <v>0</v>
      </c>
      <c r="I107" s="16" t="s">
        <v>13</v>
      </c>
    </row>
    <row r="108" spans="1:9" s="19" customFormat="1" x14ac:dyDescent="0.2">
      <c r="A108" s="16">
        <v>5646793</v>
      </c>
      <c r="B108" s="16" t="s">
        <v>9</v>
      </c>
      <c r="C108" s="16" t="s">
        <v>10</v>
      </c>
      <c r="D108" s="17">
        <v>45291</v>
      </c>
      <c r="E108" s="18">
        <v>45291</v>
      </c>
      <c r="F108" s="19" t="s">
        <v>206</v>
      </c>
      <c r="G108" s="20" t="s">
        <v>207</v>
      </c>
      <c r="H108" s="16">
        <v>0</v>
      </c>
      <c r="I108" s="16" t="s">
        <v>13</v>
      </c>
    </row>
    <row r="109" spans="1:9" s="19" customFormat="1" x14ac:dyDescent="0.2">
      <c r="A109" s="16">
        <v>5646794</v>
      </c>
      <c r="B109" s="16" t="s">
        <v>9</v>
      </c>
      <c r="C109" s="16" t="s">
        <v>10</v>
      </c>
      <c r="D109" s="17">
        <v>45291</v>
      </c>
      <c r="E109" s="18">
        <v>45291</v>
      </c>
      <c r="F109" s="19" t="s">
        <v>208</v>
      </c>
      <c r="G109" s="20" t="s">
        <v>209</v>
      </c>
      <c r="H109" s="16">
        <v>0</v>
      </c>
      <c r="I109" s="16" t="s">
        <v>13</v>
      </c>
    </row>
    <row r="110" spans="1:9" s="19" customFormat="1" x14ac:dyDescent="0.2">
      <c r="A110" s="16">
        <v>5646795</v>
      </c>
      <c r="B110" s="16" t="s">
        <v>9</v>
      </c>
      <c r="C110" s="16" t="s">
        <v>10</v>
      </c>
      <c r="D110" s="17">
        <v>45291</v>
      </c>
      <c r="E110" s="18">
        <v>45291</v>
      </c>
      <c r="F110" s="19" t="s">
        <v>210</v>
      </c>
      <c r="G110" s="20" t="s">
        <v>211</v>
      </c>
      <c r="H110" s="16">
        <v>0</v>
      </c>
      <c r="I110" s="16" t="s">
        <v>13</v>
      </c>
    </row>
    <row r="111" spans="1:9" s="19" customFormat="1" x14ac:dyDescent="0.2">
      <c r="A111" s="16">
        <v>5646796</v>
      </c>
      <c r="B111" s="16" t="s">
        <v>9</v>
      </c>
      <c r="C111" s="16" t="s">
        <v>10</v>
      </c>
      <c r="D111" s="17">
        <v>45291</v>
      </c>
      <c r="E111" s="18">
        <v>45291</v>
      </c>
      <c r="F111" s="19" t="s">
        <v>212</v>
      </c>
      <c r="G111" s="20" t="s">
        <v>213</v>
      </c>
      <c r="H111" s="16">
        <v>0</v>
      </c>
      <c r="I111" s="16" t="s">
        <v>13</v>
      </c>
    </row>
    <row r="112" spans="1:9" s="19" customFormat="1" x14ac:dyDescent="0.2">
      <c r="A112" s="16">
        <v>5646797</v>
      </c>
      <c r="B112" s="16" t="s">
        <v>9</v>
      </c>
      <c r="C112" s="16" t="s">
        <v>10</v>
      </c>
      <c r="D112" s="17">
        <v>45291</v>
      </c>
      <c r="E112" s="18">
        <v>45291</v>
      </c>
      <c r="F112" s="19" t="s">
        <v>214</v>
      </c>
      <c r="G112" s="20" t="s">
        <v>215</v>
      </c>
      <c r="H112" s="16">
        <v>0</v>
      </c>
      <c r="I112" s="16" t="s">
        <v>13</v>
      </c>
    </row>
    <row r="113" spans="1:9" s="19" customFormat="1" x14ac:dyDescent="0.2">
      <c r="A113" s="16">
        <v>5646798</v>
      </c>
      <c r="B113" s="16" t="s">
        <v>9</v>
      </c>
      <c r="C113" s="16" t="s">
        <v>10</v>
      </c>
      <c r="D113" s="17">
        <v>45291</v>
      </c>
      <c r="E113" s="18">
        <v>45291</v>
      </c>
      <c r="F113" s="19" t="s">
        <v>216</v>
      </c>
      <c r="G113" s="20" t="s">
        <v>217</v>
      </c>
      <c r="H113" s="16">
        <v>0</v>
      </c>
      <c r="I113" s="16" t="s">
        <v>13</v>
      </c>
    </row>
    <row r="114" spans="1:9" s="19" customFormat="1" x14ac:dyDescent="0.2">
      <c r="A114" s="16">
        <v>5646799</v>
      </c>
      <c r="B114" s="16" t="s">
        <v>9</v>
      </c>
      <c r="C114" s="16" t="s">
        <v>10</v>
      </c>
      <c r="D114" s="17">
        <v>45291</v>
      </c>
      <c r="E114" s="18">
        <v>45291</v>
      </c>
      <c r="F114" s="19" t="s">
        <v>218</v>
      </c>
      <c r="G114" s="20" t="s">
        <v>219</v>
      </c>
      <c r="H114" s="16">
        <v>0</v>
      </c>
      <c r="I114" s="16" t="s">
        <v>13</v>
      </c>
    </row>
    <row r="115" spans="1:9" s="19" customFormat="1" x14ac:dyDescent="0.2">
      <c r="A115" s="16">
        <v>5646800</v>
      </c>
      <c r="B115" s="16" t="s">
        <v>9</v>
      </c>
      <c r="C115" s="16" t="s">
        <v>10</v>
      </c>
      <c r="D115" s="17">
        <v>45291</v>
      </c>
      <c r="E115" s="18">
        <v>45291</v>
      </c>
      <c r="F115" s="19" t="s">
        <v>220</v>
      </c>
      <c r="G115" s="20" t="s">
        <v>221</v>
      </c>
      <c r="H115" s="16">
        <v>0</v>
      </c>
      <c r="I115" s="16" t="s">
        <v>13</v>
      </c>
    </row>
    <row r="116" spans="1:9" s="19" customFormat="1" x14ac:dyDescent="0.2">
      <c r="A116" s="16">
        <v>5646801</v>
      </c>
      <c r="B116" s="16" t="s">
        <v>9</v>
      </c>
      <c r="C116" s="16" t="s">
        <v>10</v>
      </c>
      <c r="D116" s="17">
        <v>45291</v>
      </c>
      <c r="E116" s="18">
        <v>45291</v>
      </c>
      <c r="F116" s="19" t="s">
        <v>222</v>
      </c>
      <c r="G116" s="20" t="s">
        <v>223</v>
      </c>
      <c r="H116" s="16">
        <v>0</v>
      </c>
      <c r="I116" s="16" t="s">
        <v>13</v>
      </c>
    </row>
    <row r="117" spans="1:9" x14ac:dyDescent="0.2">
      <c r="A117" s="8">
        <v>5646802</v>
      </c>
      <c r="B117" s="8" t="s">
        <v>9</v>
      </c>
      <c r="C117" s="8" t="s">
        <v>10</v>
      </c>
      <c r="D117" s="10">
        <v>45291</v>
      </c>
      <c r="E117" s="14">
        <v>45291</v>
      </c>
      <c r="F117" s="7" t="s">
        <v>224</v>
      </c>
      <c r="G117" s="11" t="s">
        <v>225</v>
      </c>
      <c r="H117" s="8">
        <v>9213051</v>
      </c>
      <c r="I117" s="8" t="s">
        <v>13</v>
      </c>
    </row>
    <row r="118" spans="1:9" x14ac:dyDescent="0.2">
      <c r="A118" s="8">
        <v>5646803</v>
      </c>
      <c r="B118" s="8" t="s">
        <v>9</v>
      </c>
      <c r="C118" s="8" t="s">
        <v>10</v>
      </c>
      <c r="D118" s="10">
        <v>45291</v>
      </c>
      <c r="E118" s="14">
        <v>45291</v>
      </c>
      <c r="F118" s="7" t="s">
        <v>226</v>
      </c>
      <c r="G118" s="11" t="s">
        <v>165</v>
      </c>
      <c r="H118" s="8">
        <v>5947858</v>
      </c>
      <c r="I118" s="8" t="s">
        <v>13</v>
      </c>
    </row>
    <row r="119" spans="1:9" x14ac:dyDescent="0.2">
      <c r="A119" s="8">
        <v>5646804</v>
      </c>
      <c r="B119" s="8" t="s">
        <v>9</v>
      </c>
      <c r="C119" s="8" t="s">
        <v>10</v>
      </c>
      <c r="D119" s="10">
        <v>45291</v>
      </c>
      <c r="E119" s="14">
        <v>45291</v>
      </c>
      <c r="F119" s="7" t="s">
        <v>227</v>
      </c>
      <c r="G119" s="11" t="s">
        <v>165</v>
      </c>
      <c r="H119" s="8">
        <v>5947858</v>
      </c>
      <c r="I119" s="8" t="s">
        <v>13</v>
      </c>
    </row>
    <row r="120" spans="1:9" x14ac:dyDescent="0.2">
      <c r="A120" s="8">
        <v>5646805</v>
      </c>
      <c r="B120" s="8" t="s">
        <v>9</v>
      </c>
      <c r="C120" s="8" t="s">
        <v>10</v>
      </c>
      <c r="D120" s="10">
        <v>45291</v>
      </c>
      <c r="E120" s="14">
        <v>45291</v>
      </c>
      <c r="F120" s="7" t="s">
        <v>228</v>
      </c>
      <c r="G120" s="11" t="s">
        <v>168</v>
      </c>
      <c r="H120" s="8">
        <v>5947858</v>
      </c>
      <c r="I120" s="8" t="s">
        <v>13</v>
      </c>
    </row>
    <row r="121" spans="1:9" x14ac:dyDescent="0.2">
      <c r="A121" s="8">
        <v>5646806</v>
      </c>
      <c r="B121" s="8" t="s">
        <v>9</v>
      </c>
      <c r="C121" s="8" t="s">
        <v>10</v>
      </c>
      <c r="D121" s="10">
        <v>45291</v>
      </c>
      <c r="E121" s="14">
        <v>45291</v>
      </c>
      <c r="F121" s="7" t="s">
        <v>229</v>
      </c>
      <c r="G121" s="11" t="s">
        <v>170</v>
      </c>
      <c r="H121" s="8">
        <v>0</v>
      </c>
      <c r="I121" s="8" t="s">
        <v>13</v>
      </c>
    </row>
    <row r="122" spans="1:9" x14ac:dyDescent="0.2">
      <c r="A122" s="8">
        <v>5646807</v>
      </c>
      <c r="B122" s="8" t="s">
        <v>9</v>
      </c>
      <c r="C122" s="8" t="s">
        <v>10</v>
      </c>
      <c r="D122" s="10">
        <v>45291</v>
      </c>
      <c r="E122" s="14">
        <v>45291</v>
      </c>
      <c r="F122" s="7" t="s">
        <v>230</v>
      </c>
      <c r="G122" s="11" t="s">
        <v>172</v>
      </c>
      <c r="H122" s="8">
        <v>0</v>
      </c>
      <c r="I122" s="8" t="s">
        <v>13</v>
      </c>
    </row>
    <row r="123" spans="1:9" x14ac:dyDescent="0.2">
      <c r="A123" s="8">
        <v>5646808</v>
      </c>
      <c r="B123" s="8" t="s">
        <v>9</v>
      </c>
      <c r="C123" s="8" t="s">
        <v>10</v>
      </c>
      <c r="D123" s="10">
        <v>45291</v>
      </c>
      <c r="E123" s="14">
        <v>45291</v>
      </c>
      <c r="F123" s="7" t="s">
        <v>231</v>
      </c>
      <c r="G123" s="11" t="s">
        <v>174</v>
      </c>
      <c r="H123" s="8">
        <v>0</v>
      </c>
      <c r="I123" s="8" t="s">
        <v>13</v>
      </c>
    </row>
    <row r="124" spans="1:9" x14ac:dyDescent="0.2">
      <c r="A124" s="8">
        <v>5646809</v>
      </c>
      <c r="B124" s="8" t="s">
        <v>9</v>
      </c>
      <c r="C124" s="8" t="s">
        <v>10</v>
      </c>
      <c r="D124" s="10">
        <v>45291</v>
      </c>
      <c r="E124" s="14">
        <v>45291</v>
      </c>
      <c r="F124" s="7" t="s">
        <v>232</v>
      </c>
      <c r="G124" s="11" t="s">
        <v>176</v>
      </c>
      <c r="H124" s="8">
        <v>1375279</v>
      </c>
      <c r="I124" s="8" t="s">
        <v>13</v>
      </c>
    </row>
    <row r="125" spans="1:9" x14ac:dyDescent="0.2">
      <c r="A125" s="8">
        <v>5646810</v>
      </c>
      <c r="B125" s="8" t="s">
        <v>9</v>
      </c>
      <c r="C125" s="8" t="s">
        <v>10</v>
      </c>
      <c r="D125" s="10">
        <v>45291</v>
      </c>
      <c r="E125" s="14">
        <v>45291</v>
      </c>
      <c r="F125" s="7" t="s">
        <v>233</v>
      </c>
      <c r="G125" s="11" t="s">
        <v>178</v>
      </c>
      <c r="H125" s="8">
        <v>0</v>
      </c>
      <c r="I125" s="8" t="s">
        <v>13</v>
      </c>
    </row>
    <row r="126" spans="1:9" x14ac:dyDescent="0.2">
      <c r="A126" s="8">
        <v>5646811</v>
      </c>
      <c r="B126" s="8" t="s">
        <v>9</v>
      </c>
      <c r="C126" s="8" t="s">
        <v>10</v>
      </c>
      <c r="D126" s="10">
        <v>45291</v>
      </c>
      <c r="E126" s="14">
        <v>45291</v>
      </c>
      <c r="F126" s="7" t="s">
        <v>234</v>
      </c>
      <c r="G126" s="11" t="s">
        <v>180</v>
      </c>
      <c r="H126" s="8">
        <v>0</v>
      </c>
      <c r="I126" s="8" t="s">
        <v>13</v>
      </c>
    </row>
    <row r="127" spans="1:9" x14ac:dyDescent="0.2">
      <c r="A127" s="8">
        <v>5646812</v>
      </c>
      <c r="B127" s="8" t="s">
        <v>9</v>
      </c>
      <c r="C127" s="8" t="s">
        <v>10</v>
      </c>
      <c r="D127" s="10">
        <v>45291</v>
      </c>
      <c r="E127" s="14">
        <v>45291</v>
      </c>
      <c r="F127" s="7" t="s">
        <v>235</v>
      </c>
      <c r="G127" s="11" t="s">
        <v>182</v>
      </c>
      <c r="H127" s="8">
        <v>0</v>
      </c>
      <c r="I127" s="8" t="s">
        <v>13</v>
      </c>
    </row>
    <row r="128" spans="1:9" x14ac:dyDescent="0.2">
      <c r="A128" s="8">
        <v>5646813</v>
      </c>
      <c r="B128" s="8" t="s">
        <v>9</v>
      </c>
      <c r="C128" s="8" t="s">
        <v>10</v>
      </c>
      <c r="D128" s="10">
        <v>45291</v>
      </c>
      <c r="E128" s="14">
        <v>45291</v>
      </c>
      <c r="F128" s="7" t="s">
        <v>236</v>
      </c>
      <c r="G128" s="11" t="s">
        <v>184</v>
      </c>
      <c r="H128" s="8">
        <v>0</v>
      </c>
      <c r="I128" s="8" t="s">
        <v>13</v>
      </c>
    </row>
    <row r="129" spans="1:9" x14ac:dyDescent="0.2">
      <c r="A129" s="8">
        <v>5646814</v>
      </c>
      <c r="B129" s="8" t="s">
        <v>9</v>
      </c>
      <c r="C129" s="8" t="s">
        <v>10</v>
      </c>
      <c r="D129" s="10">
        <v>45291</v>
      </c>
      <c r="E129" s="14">
        <v>45291</v>
      </c>
      <c r="F129" s="7" t="s">
        <v>237</v>
      </c>
      <c r="G129" s="11" t="s">
        <v>59</v>
      </c>
      <c r="H129" s="8">
        <v>1375279</v>
      </c>
      <c r="I129" s="8" t="s">
        <v>13</v>
      </c>
    </row>
    <row r="130" spans="1:9" x14ac:dyDescent="0.2">
      <c r="A130" s="8">
        <v>5646815</v>
      </c>
      <c r="B130" s="8" t="s">
        <v>9</v>
      </c>
      <c r="C130" s="8" t="s">
        <v>10</v>
      </c>
      <c r="D130" s="10">
        <v>45291</v>
      </c>
      <c r="E130" s="14">
        <v>45291</v>
      </c>
      <c r="F130" s="7" t="s">
        <v>238</v>
      </c>
      <c r="G130" s="11" t="s">
        <v>191</v>
      </c>
      <c r="H130" s="8">
        <v>0</v>
      </c>
      <c r="I130" s="8" t="s">
        <v>13</v>
      </c>
    </row>
    <row r="131" spans="1:9" x14ac:dyDescent="0.2">
      <c r="A131" s="8">
        <v>5646816</v>
      </c>
      <c r="B131" s="8" t="s">
        <v>9</v>
      </c>
      <c r="C131" s="8" t="s">
        <v>10</v>
      </c>
      <c r="D131" s="10">
        <v>45291</v>
      </c>
      <c r="E131" s="14">
        <v>45291</v>
      </c>
      <c r="F131" s="7" t="s">
        <v>239</v>
      </c>
      <c r="G131" s="11" t="s">
        <v>240</v>
      </c>
      <c r="H131" s="8">
        <v>0</v>
      </c>
      <c r="I131" s="8" t="s">
        <v>13</v>
      </c>
    </row>
    <row r="132" spans="1:9" x14ac:dyDescent="0.2">
      <c r="A132" s="8">
        <v>5646817</v>
      </c>
      <c r="B132" s="8" t="s">
        <v>9</v>
      </c>
      <c r="C132" s="8" t="s">
        <v>10</v>
      </c>
      <c r="D132" s="10">
        <v>45291</v>
      </c>
      <c r="E132" s="14">
        <v>45291</v>
      </c>
      <c r="F132" s="7" t="s">
        <v>241</v>
      </c>
      <c r="G132" s="11" t="s">
        <v>159</v>
      </c>
      <c r="H132" s="8">
        <v>127194</v>
      </c>
      <c r="I132" s="8" t="s">
        <v>13</v>
      </c>
    </row>
    <row r="133" spans="1:9" x14ac:dyDescent="0.2">
      <c r="A133" s="8">
        <v>5646818</v>
      </c>
      <c r="B133" s="8" t="s">
        <v>9</v>
      </c>
      <c r="C133" s="8" t="s">
        <v>10</v>
      </c>
      <c r="D133" s="10">
        <v>45291</v>
      </c>
      <c r="E133" s="14">
        <v>45291</v>
      </c>
      <c r="F133" s="7" t="s">
        <v>242</v>
      </c>
      <c r="G133" s="11" t="s">
        <v>195</v>
      </c>
      <c r="H133" s="8">
        <v>851840</v>
      </c>
      <c r="I133" s="8" t="s">
        <v>13</v>
      </c>
    </row>
    <row r="134" spans="1:9" x14ac:dyDescent="0.2">
      <c r="A134" s="8">
        <v>5646819</v>
      </c>
      <c r="B134" s="8" t="s">
        <v>9</v>
      </c>
      <c r="C134" s="8" t="s">
        <v>10</v>
      </c>
      <c r="D134" s="10">
        <v>45291</v>
      </c>
      <c r="E134" s="14">
        <v>45291</v>
      </c>
      <c r="F134" s="7" t="s">
        <v>243</v>
      </c>
      <c r="G134" s="11" t="s">
        <v>244</v>
      </c>
      <c r="H134" s="8">
        <v>16069</v>
      </c>
      <c r="I134" s="8" t="s">
        <v>13</v>
      </c>
    </row>
    <row r="135" spans="1:9" x14ac:dyDescent="0.2">
      <c r="A135" s="8">
        <v>5646820</v>
      </c>
      <c r="B135" s="8" t="s">
        <v>9</v>
      </c>
      <c r="C135" s="8" t="s">
        <v>10</v>
      </c>
      <c r="D135" s="10">
        <v>45291</v>
      </c>
      <c r="E135" s="14">
        <v>45291</v>
      </c>
      <c r="F135" s="7" t="s">
        <v>245</v>
      </c>
      <c r="G135" s="11" t="s">
        <v>157</v>
      </c>
      <c r="H135" s="8">
        <v>380176</v>
      </c>
      <c r="I135" s="8" t="s">
        <v>13</v>
      </c>
    </row>
    <row r="136" spans="1:9" x14ac:dyDescent="0.2">
      <c r="A136" s="8">
        <v>5646821</v>
      </c>
      <c r="B136" s="8" t="s">
        <v>9</v>
      </c>
      <c r="C136" s="8" t="s">
        <v>10</v>
      </c>
      <c r="D136" s="10">
        <v>45291</v>
      </c>
      <c r="E136" s="14">
        <v>45291</v>
      </c>
      <c r="F136" s="7" t="s">
        <v>246</v>
      </c>
      <c r="G136" s="11" t="s">
        <v>81</v>
      </c>
      <c r="H136" s="8">
        <v>328090</v>
      </c>
      <c r="I136" s="8" t="s">
        <v>13</v>
      </c>
    </row>
    <row r="137" spans="1:9" x14ac:dyDescent="0.2">
      <c r="A137" s="8">
        <v>5646822</v>
      </c>
      <c r="B137" s="8" t="s">
        <v>9</v>
      </c>
      <c r="C137" s="8" t="s">
        <v>10</v>
      </c>
      <c r="D137" s="10">
        <v>45291</v>
      </c>
      <c r="E137" s="14">
        <v>45291</v>
      </c>
      <c r="F137" s="7" t="s">
        <v>247</v>
      </c>
      <c r="G137" s="11" t="s">
        <v>83</v>
      </c>
      <c r="H137" s="8">
        <v>328090</v>
      </c>
      <c r="I137" s="8" t="s">
        <v>13</v>
      </c>
    </row>
    <row r="138" spans="1:9" x14ac:dyDescent="0.2">
      <c r="A138" s="8">
        <v>5646823</v>
      </c>
      <c r="B138" s="8" t="s">
        <v>9</v>
      </c>
      <c r="C138" s="8" t="s">
        <v>10</v>
      </c>
      <c r="D138" s="10">
        <v>45291</v>
      </c>
      <c r="E138" s="14">
        <v>45291</v>
      </c>
      <c r="F138" s="7" t="s">
        <v>248</v>
      </c>
      <c r="G138" s="11" t="s">
        <v>199</v>
      </c>
      <c r="H138" s="8">
        <v>1561824</v>
      </c>
      <c r="I138" s="8" t="s">
        <v>13</v>
      </c>
    </row>
    <row r="139" spans="1:9" x14ac:dyDescent="0.2">
      <c r="A139" s="8">
        <v>5646824</v>
      </c>
      <c r="B139" s="8" t="s">
        <v>9</v>
      </c>
      <c r="C139" s="8" t="s">
        <v>10</v>
      </c>
      <c r="D139" s="10">
        <v>45291</v>
      </c>
      <c r="E139" s="14">
        <v>45291</v>
      </c>
      <c r="F139" s="7" t="s">
        <v>249</v>
      </c>
      <c r="G139" s="11" t="s">
        <v>201</v>
      </c>
      <c r="H139" s="8">
        <v>875291</v>
      </c>
      <c r="I139" s="8" t="s">
        <v>13</v>
      </c>
    </row>
    <row r="140" spans="1:9" x14ac:dyDescent="0.2">
      <c r="A140" s="8">
        <v>5646825</v>
      </c>
      <c r="B140" s="8" t="s">
        <v>9</v>
      </c>
      <c r="C140" s="8" t="s">
        <v>10</v>
      </c>
      <c r="D140" s="10">
        <v>45291</v>
      </c>
      <c r="E140" s="14">
        <v>45291</v>
      </c>
      <c r="F140" s="7" t="s">
        <v>250</v>
      </c>
      <c r="G140" s="11" t="s">
        <v>203</v>
      </c>
      <c r="H140" s="8">
        <v>0</v>
      </c>
      <c r="I140" s="8" t="s">
        <v>13</v>
      </c>
    </row>
    <row r="141" spans="1:9" x14ac:dyDescent="0.2">
      <c r="A141" s="8">
        <v>5646826</v>
      </c>
      <c r="B141" s="8" t="s">
        <v>9</v>
      </c>
      <c r="C141" s="8" t="s">
        <v>10</v>
      </c>
      <c r="D141" s="10">
        <v>45291</v>
      </c>
      <c r="E141" s="14">
        <v>45291</v>
      </c>
      <c r="F141" s="7" t="s">
        <v>251</v>
      </c>
      <c r="G141" s="11" t="s">
        <v>205</v>
      </c>
      <c r="H141" s="8">
        <v>0</v>
      </c>
      <c r="I141" s="8" t="s">
        <v>13</v>
      </c>
    </row>
    <row r="142" spans="1:9" x14ac:dyDescent="0.2">
      <c r="A142" s="8">
        <v>5646827</v>
      </c>
      <c r="B142" s="8" t="s">
        <v>9</v>
      </c>
      <c r="C142" s="8" t="s">
        <v>10</v>
      </c>
      <c r="D142" s="10">
        <v>45291</v>
      </c>
      <c r="E142" s="14">
        <v>45291</v>
      </c>
      <c r="F142" s="7" t="s">
        <v>252</v>
      </c>
      <c r="G142" s="11" t="s">
        <v>207</v>
      </c>
      <c r="H142" s="8">
        <v>0</v>
      </c>
      <c r="I142" s="8" t="s">
        <v>13</v>
      </c>
    </row>
    <row r="143" spans="1:9" x14ac:dyDescent="0.2">
      <c r="A143" s="8">
        <v>5646828</v>
      </c>
      <c r="B143" s="8" t="s">
        <v>9</v>
      </c>
      <c r="C143" s="8" t="s">
        <v>10</v>
      </c>
      <c r="D143" s="10">
        <v>45291</v>
      </c>
      <c r="E143" s="14">
        <v>45291</v>
      </c>
      <c r="F143" s="7" t="s">
        <v>253</v>
      </c>
      <c r="G143" s="11" t="s">
        <v>209</v>
      </c>
      <c r="H143" s="8">
        <v>0</v>
      </c>
      <c r="I143" s="8" t="s">
        <v>13</v>
      </c>
    </row>
    <row r="144" spans="1:9" x14ac:dyDescent="0.2">
      <c r="A144" s="8">
        <v>5646829</v>
      </c>
      <c r="B144" s="8" t="s">
        <v>9</v>
      </c>
      <c r="C144" s="8" t="s">
        <v>10</v>
      </c>
      <c r="D144" s="10">
        <v>45291</v>
      </c>
      <c r="E144" s="14">
        <v>45291</v>
      </c>
      <c r="F144" s="7" t="s">
        <v>254</v>
      </c>
      <c r="G144" s="11" t="s">
        <v>211</v>
      </c>
      <c r="H144" s="8">
        <v>686533</v>
      </c>
      <c r="I144" s="8" t="s">
        <v>13</v>
      </c>
    </row>
    <row r="145" spans="1:9" x14ac:dyDescent="0.2">
      <c r="A145" s="8">
        <v>5646830</v>
      </c>
      <c r="B145" s="8" t="s">
        <v>9</v>
      </c>
      <c r="C145" s="8" t="s">
        <v>10</v>
      </c>
      <c r="D145" s="10">
        <v>45291</v>
      </c>
      <c r="E145" s="14">
        <v>45291</v>
      </c>
      <c r="F145" s="7" t="s">
        <v>255</v>
      </c>
      <c r="G145" s="11" t="s">
        <v>213</v>
      </c>
      <c r="H145" s="8">
        <v>0</v>
      </c>
      <c r="I145" s="8" t="s">
        <v>13</v>
      </c>
    </row>
    <row r="146" spans="1:9" x14ac:dyDescent="0.2">
      <c r="A146" s="8">
        <v>5646831</v>
      </c>
      <c r="B146" s="8" t="s">
        <v>9</v>
      </c>
      <c r="C146" s="8" t="s">
        <v>10</v>
      </c>
      <c r="D146" s="10">
        <v>45291</v>
      </c>
      <c r="E146" s="14">
        <v>45291</v>
      </c>
      <c r="F146" s="7" t="s">
        <v>256</v>
      </c>
      <c r="G146" s="11" t="s">
        <v>215</v>
      </c>
      <c r="H146" s="8">
        <v>0</v>
      </c>
      <c r="I146" s="8" t="s">
        <v>13</v>
      </c>
    </row>
    <row r="147" spans="1:9" x14ac:dyDescent="0.2">
      <c r="A147" s="8">
        <v>5646832</v>
      </c>
      <c r="B147" s="8" t="s">
        <v>9</v>
      </c>
      <c r="C147" s="8" t="s">
        <v>10</v>
      </c>
      <c r="D147" s="10">
        <v>45291</v>
      </c>
      <c r="E147" s="14">
        <v>45291</v>
      </c>
      <c r="F147" s="7" t="s">
        <v>257</v>
      </c>
      <c r="G147" s="11" t="s">
        <v>217</v>
      </c>
      <c r="H147" s="8">
        <v>0</v>
      </c>
      <c r="I147" s="8" t="s">
        <v>13</v>
      </c>
    </row>
    <row r="148" spans="1:9" x14ac:dyDescent="0.2">
      <c r="A148" s="8">
        <v>5646833</v>
      </c>
      <c r="B148" s="8" t="s">
        <v>9</v>
      </c>
      <c r="C148" s="8" t="s">
        <v>10</v>
      </c>
      <c r="D148" s="10">
        <v>45291</v>
      </c>
      <c r="E148" s="14">
        <v>45291</v>
      </c>
      <c r="F148" s="7" t="s">
        <v>258</v>
      </c>
      <c r="G148" s="11" t="s">
        <v>211</v>
      </c>
      <c r="H148" s="8">
        <v>686533</v>
      </c>
      <c r="I148" s="8" t="s">
        <v>13</v>
      </c>
    </row>
    <row r="149" spans="1:9" x14ac:dyDescent="0.2">
      <c r="A149" s="8">
        <v>5646834</v>
      </c>
      <c r="B149" s="8" t="s">
        <v>9</v>
      </c>
      <c r="C149" s="8" t="s">
        <v>10</v>
      </c>
      <c r="D149" s="10">
        <v>45291</v>
      </c>
      <c r="E149" s="14">
        <v>45291</v>
      </c>
      <c r="F149" s="7" t="s">
        <v>259</v>
      </c>
      <c r="G149" s="11" t="s">
        <v>193</v>
      </c>
      <c r="H149" s="8">
        <v>0</v>
      </c>
      <c r="I149" s="8" t="s">
        <v>13</v>
      </c>
    </row>
    <row r="150" spans="1:9" x14ac:dyDescent="0.2">
      <c r="A150" s="8">
        <v>5646835</v>
      </c>
      <c r="B150" s="8" t="s">
        <v>9</v>
      </c>
      <c r="C150" s="8" t="s">
        <v>10</v>
      </c>
      <c r="D150" s="10">
        <v>45291</v>
      </c>
      <c r="E150" s="14">
        <v>45291</v>
      </c>
      <c r="F150" s="7" t="s">
        <v>260</v>
      </c>
      <c r="G150" s="11" t="s">
        <v>219</v>
      </c>
      <c r="H150" s="8">
        <v>0</v>
      </c>
      <c r="I150" s="8" t="s">
        <v>13</v>
      </c>
    </row>
    <row r="151" spans="1:9" x14ac:dyDescent="0.2">
      <c r="A151" s="8">
        <v>5646836</v>
      </c>
      <c r="B151" s="8" t="s">
        <v>9</v>
      </c>
      <c r="C151" s="8" t="s">
        <v>10</v>
      </c>
      <c r="D151" s="10">
        <v>45291</v>
      </c>
      <c r="E151" s="14">
        <v>45291</v>
      </c>
      <c r="F151" s="7" t="s">
        <v>261</v>
      </c>
      <c r="G151" s="11" t="s">
        <v>221</v>
      </c>
      <c r="H151" s="8">
        <v>0</v>
      </c>
      <c r="I151" s="8" t="s">
        <v>13</v>
      </c>
    </row>
    <row r="152" spans="1:9" x14ac:dyDescent="0.2">
      <c r="A152" s="8">
        <v>5646837</v>
      </c>
      <c r="B152" s="8" t="s">
        <v>9</v>
      </c>
      <c r="C152" s="8" t="s">
        <v>10</v>
      </c>
      <c r="D152" s="10">
        <v>45291</v>
      </c>
      <c r="E152" s="14">
        <v>45291</v>
      </c>
      <c r="F152" s="7" t="s">
        <v>262</v>
      </c>
      <c r="G152" s="11" t="s">
        <v>223</v>
      </c>
      <c r="H152" s="8">
        <v>0</v>
      </c>
      <c r="I152" s="8" t="s">
        <v>13</v>
      </c>
    </row>
    <row r="153" spans="1:9" x14ac:dyDescent="0.2">
      <c r="A153" s="8">
        <v>5646838</v>
      </c>
      <c r="B153" s="8" t="s">
        <v>9</v>
      </c>
      <c r="C153" s="8" t="s">
        <v>10</v>
      </c>
      <c r="D153" s="10">
        <v>45291</v>
      </c>
      <c r="E153" s="14">
        <v>45291</v>
      </c>
      <c r="F153" s="7" t="s">
        <v>263</v>
      </c>
      <c r="G153" s="11" t="s">
        <v>264</v>
      </c>
      <c r="H153" s="8">
        <v>0</v>
      </c>
      <c r="I153" s="8" t="s">
        <v>13</v>
      </c>
    </row>
    <row r="154" spans="1:9" x14ac:dyDescent="0.2">
      <c r="A154" s="8">
        <v>5646839</v>
      </c>
      <c r="B154" s="8" t="s">
        <v>9</v>
      </c>
      <c r="C154" s="8" t="s">
        <v>10</v>
      </c>
      <c r="D154" s="10">
        <v>45291</v>
      </c>
      <c r="E154" s="14">
        <v>45291</v>
      </c>
      <c r="F154" s="7" t="s">
        <v>265</v>
      </c>
      <c r="G154" s="11" t="s">
        <v>266</v>
      </c>
      <c r="H154" s="8">
        <v>0</v>
      </c>
      <c r="I154" s="8" t="s">
        <v>13</v>
      </c>
    </row>
    <row r="155" spans="1:9" x14ac:dyDescent="0.2">
      <c r="A155" s="8">
        <v>5646840</v>
      </c>
      <c r="B155" s="8" t="s">
        <v>9</v>
      </c>
      <c r="C155" s="8" t="s">
        <v>10</v>
      </c>
      <c r="D155" s="10">
        <v>45291</v>
      </c>
      <c r="E155" s="14">
        <v>45291</v>
      </c>
      <c r="F155" s="7" t="s">
        <v>267</v>
      </c>
      <c r="G155" s="11" t="s">
        <v>268</v>
      </c>
      <c r="H155" s="8">
        <v>0</v>
      </c>
      <c r="I155" s="8" t="s">
        <v>13</v>
      </c>
    </row>
    <row r="156" spans="1:9" x14ac:dyDescent="0.2">
      <c r="A156" s="8">
        <v>5646841</v>
      </c>
      <c r="B156" s="8" t="s">
        <v>9</v>
      </c>
      <c r="C156" s="8" t="s">
        <v>10</v>
      </c>
      <c r="D156" s="10">
        <v>45291</v>
      </c>
      <c r="E156" s="14">
        <v>45291</v>
      </c>
      <c r="F156" s="7" t="s">
        <v>269</v>
      </c>
      <c r="G156" s="11" t="s">
        <v>270</v>
      </c>
      <c r="H156" s="8">
        <v>0</v>
      </c>
      <c r="I156" s="8" t="s">
        <v>13</v>
      </c>
    </row>
    <row r="157" spans="1:9" x14ac:dyDescent="0.2">
      <c r="A157" s="8">
        <v>5646842</v>
      </c>
      <c r="B157" s="8" t="s">
        <v>9</v>
      </c>
      <c r="C157" s="8" t="s">
        <v>10</v>
      </c>
      <c r="D157" s="10">
        <v>45291</v>
      </c>
      <c r="E157" s="14">
        <v>45291</v>
      </c>
      <c r="F157" s="7" t="s">
        <v>271</v>
      </c>
      <c r="G157" s="11" t="s">
        <v>272</v>
      </c>
      <c r="H157" s="8">
        <v>23120465</v>
      </c>
      <c r="I157" s="8" t="s">
        <v>13</v>
      </c>
    </row>
    <row r="158" spans="1:9" x14ac:dyDescent="0.2">
      <c r="A158" s="8">
        <v>5646843</v>
      </c>
      <c r="B158" s="8" t="s">
        <v>9</v>
      </c>
      <c r="C158" s="8" t="s">
        <v>10</v>
      </c>
      <c r="D158" s="10">
        <v>45291</v>
      </c>
      <c r="E158" s="14">
        <v>45291</v>
      </c>
      <c r="F158" s="7" t="s">
        <v>273</v>
      </c>
      <c r="G158" s="11" t="s">
        <v>274</v>
      </c>
      <c r="H158" s="8">
        <v>12484515</v>
      </c>
      <c r="I158" s="8" t="s">
        <v>13</v>
      </c>
    </row>
    <row r="159" spans="1:9" x14ac:dyDescent="0.2">
      <c r="A159" s="8">
        <v>5646844</v>
      </c>
      <c r="B159" s="8" t="s">
        <v>9</v>
      </c>
      <c r="C159" s="8" t="s">
        <v>10</v>
      </c>
      <c r="D159" s="10">
        <v>45291</v>
      </c>
      <c r="E159" s="14">
        <v>45291</v>
      </c>
      <c r="F159" s="7" t="s">
        <v>275</v>
      </c>
      <c r="G159" s="11" t="s">
        <v>276</v>
      </c>
      <c r="H159" s="8">
        <v>10302265</v>
      </c>
      <c r="I159" s="8" t="s">
        <v>13</v>
      </c>
    </row>
    <row r="160" spans="1:9" x14ac:dyDescent="0.2">
      <c r="A160" s="8">
        <v>5646845</v>
      </c>
      <c r="B160" s="8" t="s">
        <v>9</v>
      </c>
      <c r="C160" s="8" t="s">
        <v>10</v>
      </c>
      <c r="D160" s="10">
        <v>45291</v>
      </c>
      <c r="E160" s="14">
        <v>45291</v>
      </c>
      <c r="F160" s="7" t="s">
        <v>277</v>
      </c>
      <c r="G160" s="11" t="s">
        <v>278</v>
      </c>
      <c r="H160" s="8">
        <v>9894936</v>
      </c>
      <c r="I160" s="8" t="s">
        <v>13</v>
      </c>
    </row>
    <row r="161" spans="1:9" x14ac:dyDescent="0.2">
      <c r="A161" s="8">
        <v>5646846</v>
      </c>
      <c r="B161" s="8" t="s">
        <v>9</v>
      </c>
      <c r="C161" s="8" t="s">
        <v>10</v>
      </c>
      <c r="D161" s="10">
        <v>45291</v>
      </c>
      <c r="E161" s="14">
        <v>45291</v>
      </c>
      <c r="F161" s="7" t="s">
        <v>279</v>
      </c>
      <c r="G161" s="11" t="s">
        <v>280</v>
      </c>
      <c r="H161" s="8">
        <v>362059</v>
      </c>
      <c r="I161" s="8" t="s">
        <v>13</v>
      </c>
    </row>
    <row r="162" spans="1:9" x14ac:dyDescent="0.2">
      <c r="A162" s="8">
        <v>5646847</v>
      </c>
      <c r="B162" s="8" t="s">
        <v>9</v>
      </c>
      <c r="C162" s="8" t="s">
        <v>10</v>
      </c>
      <c r="D162" s="10">
        <v>45291</v>
      </c>
      <c r="E162" s="14">
        <v>45291</v>
      </c>
      <c r="F162" s="7" t="s">
        <v>281</v>
      </c>
      <c r="G162" s="11" t="s">
        <v>282</v>
      </c>
      <c r="H162" s="8">
        <v>0</v>
      </c>
      <c r="I162" s="8" t="s">
        <v>13</v>
      </c>
    </row>
    <row r="163" spans="1:9" x14ac:dyDescent="0.2">
      <c r="A163" s="8">
        <v>5646848</v>
      </c>
      <c r="B163" s="8" t="s">
        <v>9</v>
      </c>
      <c r="C163" s="8" t="s">
        <v>10</v>
      </c>
      <c r="D163" s="10">
        <v>45291</v>
      </c>
      <c r="E163" s="14">
        <v>45291</v>
      </c>
      <c r="F163" s="7" t="s">
        <v>283</v>
      </c>
      <c r="G163" s="11" t="s">
        <v>284</v>
      </c>
      <c r="H163" s="8">
        <v>0</v>
      </c>
      <c r="I163" s="8" t="s">
        <v>13</v>
      </c>
    </row>
    <row r="164" spans="1:9" x14ac:dyDescent="0.2">
      <c r="A164" s="8">
        <v>5646849</v>
      </c>
      <c r="B164" s="8" t="s">
        <v>9</v>
      </c>
      <c r="C164" s="8" t="s">
        <v>10</v>
      </c>
      <c r="D164" s="10">
        <v>45291</v>
      </c>
      <c r="E164" s="14">
        <v>45291</v>
      </c>
      <c r="F164" s="7" t="s">
        <v>285</v>
      </c>
      <c r="G164" s="11" t="s">
        <v>286</v>
      </c>
      <c r="H164" s="8">
        <v>-164236</v>
      </c>
      <c r="I164" s="8" t="s">
        <v>13</v>
      </c>
    </row>
    <row r="165" spans="1:9" x14ac:dyDescent="0.2">
      <c r="A165" s="8">
        <v>5646850</v>
      </c>
      <c r="B165" s="8" t="s">
        <v>9</v>
      </c>
      <c r="C165" s="8" t="s">
        <v>10</v>
      </c>
      <c r="D165" s="10">
        <v>45291</v>
      </c>
      <c r="E165" s="14">
        <v>45291</v>
      </c>
      <c r="F165" s="7" t="s">
        <v>287</v>
      </c>
      <c r="G165" s="11" t="s">
        <v>240</v>
      </c>
      <c r="H165" s="8">
        <v>0</v>
      </c>
      <c r="I165" s="8" t="s">
        <v>13</v>
      </c>
    </row>
    <row r="166" spans="1:9" x14ac:dyDescent="0.2">
      <c r="A166" s="8">
        <v>5646851</v>
      </c>
      <c r="B166" s="8" t="s">
        <v>9</v>
      </c>
      <c r="C166" s="8" t="s">
        <v>10</v>
      </c>
      <c r="D166" s="10">
        <v>45291</v>
      </c>
      <c r="E166" s="14">
        <v>45291</v>
      </c>
      <c r="F166" s="7" t="s">
        <v>288</v>
      </c>
      <c r="G166" s="11" t="s">
        <v>289</v>
      </c>
      <c r="H166" s="8">
        <v>301572</v>
      </c>
      <c r="I166" s="8" t="s">
        <v>13</v>
      </c>
    </row>
    <row r="167" spans="1:9" x14ac:dyDescent="0.2">
      <c r="A167" s="8">
        <v>5646852</v>
      </c>
      <c r="B167" s="8" t="s">
        <v>9</v>
      </c>
      <c r="C167" s="8" t="s">
        <v>10</v>
      </c>
      <c r="D167" s="10">
        <v>45291</v>
      </c>
      <c r="E167" s="14">
        <v>45291</v>
      </c>
      <c r="F167" s="7" t="s">
        <v>290</v>
      </c>
      <c r="G167" s="11" t="s">
        <v>291</v>
      </c>
      <c r="H167" s="8">
        <v>-92066</v>
      </c>
      <c r="I167" s="8" t="s">
        <v>13</v>
      </c>
    </row>
    <row r="168" spans="1:9" x14ac:dyDescent="0.2">
      <c r="A168" s="8">
        <v>5646853</v>
      </c>
      <c r="B168" s="8" t="s">
        <v>9</v>
      </c>
      <c r="C168" s="8" t="s">
        <v>10</v>
      </c>
      <c r="D168" s="10">
        <v>45291</v>
      </c>
      <c r="E168" s="14">
        <v>45291</v>
      </c>
      <c r="F168" s="7" t="s">
        <v>292</v>
      </c>
      <c r="G168" s="11" t="s">
        <v>293</v>
      </c>
      <c r="H168" s="8">
        <v>0</v>
      </c>
      <c r="I168" s="8" t="s">
        <v>13</v>
      </c>
    </row>
    <row r="169" spans="1:9" x14ac:dyDescent="0.2">
      <c r="A169" s="8">
        <v>5646854</v>
      </c>
      <c r="B169" s="8" t="s">
        <v>9</v>
      </c>
      <c r="C169" s="8" t="s">
        <v>10</v>
      </c>
      <c r="D169" s="10">
        <v>45291</v>
      </c>
      <c r="E169" s="14">
        <v>45291</v>
      </c>
      <c r="F169" s="7" t="s">
        <v>294</v>
      </c>
      <c r="G169" s="11" t="s">
        <v>295</v>
      </c>
      <c r="H169" s="8">
        <v>780308</v>
      </c>
      <c r="I169" s="8" t="s">
        <v>13</v>
      </c>
    </row>
    <row r="170" spans="1:9" x14ac:dyDescent="0.2">
      <c r="A170" s="8">
        <v>5646855</v>
      </c>
      <c r="B170" s="8" t="s">
        <v>9</v>
      </c>
      <c r="C170" s="8" t="s">
        <v>10</v>
      </c>
      <c r="D170" s="10">
        <v>45291</v>
      </c>
      <c r="E170" s="14">
        <v>45291</v>
      </c>
      <c r="F170" s="7" t="s">
        <v>296</v>
      </c>
      <c r="G170" s="11" t="s">
        <v>297</v>
      </c>
      <c r="H170" s="8">
        <v>0</v>
      </c>
      <c r="I170" s="8" t="s">
        <v>13</v>
      </c>
    </row>
    <row r="171" spans="1:9" x14ac:dyDescent="0.2">
      <c r="A171" s="8">
        <v>5646856</v>
      </c>
      <c r="B171" s="8" t="s">
        <v>9</v>
      </c>
      <c r="C171" s="8" t="s">
        <v>10</v>
      </c>
      <c r="D171" s="10">
        <v>45291</v>
      </c>
      <c r="E171" s="14">
        <v>45291</v>
      </c>
      <c r="F171" s="7" t="s">
        <v>298</v>
      </c>
      <c r="G171" s="11" t="s">
        <v>299</v>
      </c>
      <c r="H171" s="8">
        <v>0</v>
      </c>
      <c r="I171" s="8" t="s">
        <v>13</v>
      </c>
    </row>
    <row r="172" spans="1:9" x14ac:dyDescent="0.2">
      <c r="A172" s="8">
        <v>5646857</v>
      </c>
      <c r="B172" s="8" t="s">
        <v>9</v>
      </c>
      <c r="C172" s="8" t="s">
        <v>10</v>
      </c>
      <c r="D172" s="10">
        <v>45291</v>
      </c>
      <c r="E172" s="14">
        <v>45291</v>
      </c>
      <c r="F172" s="7" t="s">
        <v>300</v>
      </c>
      <c r="G172" s="11" t="s">
        <v>301</v>
      </c>
      <c r="H172" s="8">
        <v>0</v>
      </c>
      <c r="I172" s="8" t="s">
        <v>13</v>
      </c>
    </row>
    <row r="173" spans="1:9" x14ac:dyDescent="0.2">
      <c r="A173" s="8">
        <v>5646858</v>
      </c>
      <c r="B173" s="8" t="s">
        <v>9</v>
      </c>
      <c r="C173" s="8" t="s">
        <v>10</v>
      </c>
      <c r="D173" s="10">
        <v>45291</v>
      </c>
      <c r="E173" s="14">
        <v>45291</v>
      </c>
      <c r="F173" s="7" t="s">
        <v>302</v>
      </c>
      <c r="G173" s="11" t="s">
        <v>303</v>
      </c>
      <c r="H173" s="8">
        <v>0</v>
      </c>
      <c r="I173" s="8" t="s">
        <v>13</v>
      </c>
    </row>
    <row r="174" spans="1:9" x14ac:dyDescent="0.2">
      <c r="A174" s="8">
        <v>5646859</v>
      </c>
      <c r="B174" s="8" t="s">
        <v>9</v>
      </c>
      <c r="C174" s="8" t="s">
        <v>10</v>
      </c>
      <c r="D174" s="10">
        <v>45291</v>
      </c>
      <c r="E174" s="14">
        <v>45291</v>
      </c>
      <c r="F174" s="7" t="s">
        <v>304</v>
      </c>
      <c r="G174" s="11" t="s">
        <v>305</v>
      </c>
      <c r="H174" s="8">
        <v>780308</v>
      </c>
      <c r="I174" s="8" t="s">
        <v>13</v>
      </c>
    </row>
    <row r="175" spans="1:9" x14ac:dyDescent="0.2">
      <c r="A175" s="8">
        <v>5646860</v>
      </c>
      <c r="B175" s="8" t="s">
        <v>9</v>
      </c>
      <c r="C175" s="8" t="s">
        <v>10</v>
      </c>
      <c r="D175" s="10">
        <v>45291</v>
      </c>
      <c r="E175" s="14">
        <v>45291</v>
      </c>
      <c r="F175" s="7" t="s">
        <v>306</v>
      </c>
      <c r="G175" s="11" t="s">
        <v>307</v>
      </c>
      <c r="H175" s="8">
        <v>0</v>
      </c>
      <c r="I175" s="8" t="s">
        <v>13</v>
      </c>
    </row>
    <row r="176" spans="1:9" x14ac:dyDescent="0.2">
      <c r="A176" s="8">
        <v>5646861</v>
      </c>
      <c r="B176" s="8" t="s">
        <v>9</v>
      </c>
      <c r="C176" s="8" t="s">
        <v>10</v>
      </c>
      <c r="D176" s="10">
        <v>45291</v>
      </c>
      <c r="E176" s="14">
        <v>45291</v>
      </c>
      <c r="F176" s="7" t="s">
        <v>308</v>
      </c>
      <c r="G176" s="11" t="s">
        <v>309</v>
      </c>
      <c r="H176" s="8">
        <v>0</v>
      </c>
      <c r="I176" s="8" t="s">
        <v>13</v>
      </c>
    </row>
    <row r="177" spans="1:9" x14ac:dyDescent="0.2">
      <c r="A177" s="8">
        <v>5646862</v>
      </c>
      <c r="B177" s="8" t="s">
        <v>9</v>
      </c>
      <c r="C177" s="8" t="s">
        <v>10</v>
      </c>
      <c r="D177" s="10">
        <v>45291</v>
      </c>
      <c r="E177" s="14">
        <v>45291</v>
      </c>
      <c r="F177" s="7" t="s">
        <v>310</v>
      </c>
      <c r="G177" s="11" t="s">
        <v>311</v>
      </c>
      <c r="H177" s="8">
        <v>0</v>
      </c>
      <c r="I177" s="8" t="s">
        <v>13</v>
      </c>
    </row>
    <row r="178" spans="1:9" x14ac:dyDescent="0.2">
      <c r="A178" s="8">
        <v>5646863</v>
      </c>
      <c r="B178" s="8" t="s">
        <v>9</v>
      </c>
      <c r="C178" s="8" t="s">
        <v>10</v>
      </c>
      <c r="D178" s="10">
        <v>45291</v>
      </c>
      <c r="E178" s="14">
        <v>45291</v>
      </c>
      <c r="F178" s="7" t="s">
        <v>312</v>
      </c>
      <c r="G178" s="11" t="s">
        <v>286</v>
      </c>
      <c r="H178" s="8">
        <v>0</v>
      </c>
      <c r="I178" s="8" t="s">
        <v>13</v>
      </c>
    </row>
    <row r="179" spans="1:9" x14ac:dyDescent="0.2">
      <c r="A179" s="8">
        <v>5646864</v>
      </c>
      <c r="B179" s="8" t="s">
        <v>9</v>
      </c>
      <c r="C179" s="8" t="s">
        <v>10</v>
      </c>
      <c r="D179" s="10">
        <v>45291</v>
      </c>
      <c r="E179" s="14">
        <v>45291</v>
      </c>
      <c r="F179" s="7" t="s">
        <v>313</v>
      </c>
      <c r="G179" s="11" t="s">
        <v>291</v>
      </c>
      <c r="H179" s="8">
        <v>0</v>
      </c>
      <c r="I179" s="8" t="s">
        <v>13</v>
      </c>
    </row>
    <row r="180" spans="1:9" x14ac:dyDescent="0.2">
      <c r="A180" s="8">
        <v>5646865</v>
      </c>
      <c r="B180" s="8" t="s">
        <v>9</v>
      </c>
      <c r="C180" s="8" t="s">
        <v>10</v>
      </c>
      <c r="D180" s="10">
        <v>45291</v>
      </c>
      <c r="E180" s="14">
        <v>45291</v>
      </c>
      <c r="F180" s="7" t="s">
        <v>314</v>
      </c>
      <c r="G180" s="11" t="s">
        <v>291</v>
      </c>
      <c r="H180" s="8">
        <v>0</v>
      </c>
      <c r="I180" s="8" t="s">
        <v>13</v>
      </c>
    </row>
    <row r="181" spans="1:9" x14ac:dyDescent="0.2">
      <c r="A181" s="8">
        <v>5646866</v>
      </c>
      <c r="B181" s="8" t="s">
        <v>9</v>
      </c>
      <c r="C181" s="8" t="s">
        <v>10</v>
      </c>
      <c r="D181" s="10">
        <v>45291</v>
      </c>
      <c r="E181" s="14">
        <v>45291</v>
      </c>
      <c r="F181" s="7" t="s">
        <v>315</v>
      </c>
      <c r="G181" s="11" t="s">
        <v>316</v>
      </c>
      <c r="H181" s="8">
        <v>0</v>
      </c>
      <c r="I181" s="8" t="s">
        <v>13</v>
      </c>
    </row>
    <row r="182" spans="1:9" x14ac:dyDescent="0.2">
      <c r="A182" s="8">
        <v>5646867</v>
      </c>
      <c r="B182" s="8" t="s">
        <v>9</v>
      </c>
      <c r="C182" s="8" t="s">
        <v>10</v>
      </c>
      <c r="D182" s="10">
        <v>45291</v>
      </c>
      <c r="E182" s="14">
        <v>45291</v>
      </c>
      <c r="F182" s="7" t="s">
        <v>317</v>
      </c>
      <c r="G182" s="11" t="s">
        <v>318</v>
      </c>
      <c r="H182" s="8">
        <v>-463849</v>
      </c>
      <c r="I182" s="8" t="s">
        <v>13</v>
      </c>
    </row>
    <row r="183" spans="1:9" x14ac:dyDescent="0.2">
      <c r="A183" s="8">
        <v>5646868</v>
      </c>
      <c r="B183" s="8" t="s">
        <v>9</v>
      </c>
      <c r="C183" s="8" t="s">
        <v>10</v>
      </c>
      <c r="D183" s="10">
        <v>45291</v>
      </c>
      <c r="E183" s="14">
        <v>45291</v>
      </c>
      <c r="F183" s="7" t="s">
        <v>319</v>
      </c>
      <c r="G183" s="11" t="s">
        <v>320</v>
      </c>
      <c r="H183" s="8">
        <v>0</v>
      </c>
      <c r="I183" s="8" t="s">
        <v>13</v>
      </c>
    </row>
    <row r="184" spans="1:9" x14ac:dyDescent="0.2">
      <c r="A184" s="8">
        <v>5646869</v>
      </c>
      <c r="B184" s="8" t="s">
        <v>9</v>
      </c>
      <c r="C184" s="8" t="s">
        <v>10</v>
      </c>
      <c r="D184" s="10">
        <v>45291</v>
      </c>
      <c r="E184" s="14">
        <v>45291</v>
      </c>
      <c r="F184" s="7" t="s">
        <v>321</v>
      </c>
      <c r="G184" s="11" t="s">
        <v>322</v>
      </c>
      <c r="H184" s="8">
        <v>0</v>
      </c>
      <c r="I184" s="8" t="s">
        <v>13</v>
      </c>
    </row>
    <row r="185" spans="1:9" x14ac:dyDescent="0.2">
      <c r="A185" s="8">
        <v>5646870</v>
      </c>
      <c r="B185" s="8" t="s">
        <v>9</v>
      </c>
      <c r="C185" s="8" t="s">
        <v>10</v>
      </c>
      <c r="D185" s="10">
        <v>45291</v>
      </c>
      <c r="E185" s="14">
        <v>45291</v>
      </c>
      <c r="F185" s="7" t="s">
        <v>323</v>
      </c>
      <c r="G185" s="11" t="s">
        <v>324</v>
      </c>
      <c r="H185" s="8">
        <v>17226</v>
      </c>
      <c r="I185" s="8" t="s">
        <v>13</v>
      </c>
    </row>
    <row r="186" spans="1:9" x14ac:dyDescent="0.2">
      <c r="A186" s="8">
        <v>5646871</v>
      </c>
      <c r="B186" s="8" t="s">
        <v>9</v>
      </c>
      <c r="C186" s="8" t="s">
        <v>10</v>
      </c>
      <c r="D186" s="10">
        <v>44927</v>
      </c>
      <c r="E186" s="14">
        <v>45291</v>
      </c>
      <c r="F186" s="7" t="s">
        <v>325</v>
      </c>
      <c r="G186" s="11" t="s">
        <v>326</v>
      </c>
      <c r="H186" s="8">
        <v>26737277</v>
      </c>
      <c r="I186" s="8" t="s">
        <v>13</v>
      </c>
    </row>
    <row r="187" spans="1:9" x14ac:dyDescent="0.2">
      <c r="A187" s="8">
        <v>5646872</v>
      </c>
      <c r="B187" s="8" t="s">
        <v>9</v>
      </c>
      <c r="C187" s="8" t="s">
        <v>10</v>
      </c>
      <c r="D187" s="10">
        <v>44927</v>
      </c>
      <c r="E187" s="14">
        <v>45291</v>
      </c>
      <c r="F187" s="7" t="s">
        <v>327</v>
      </c>
      <c r="G187" s="11" t="s">
        <v>328</v>
      </c>
      <c r="H187" s="8">
        <v>-9675435</v>
      </c>
      <c r="I187" s="8" t="s">
        <v>13</v>
      </c>
    </row>
    <row r="188" spans="1:9" x14ac:dyDescent="0.2">
      <c r="A188" s="8">
        <v>5646873</v>
      </c>
      <c r="B188" s="8" t="s">
        <v>9</v>
      </c>
      <c r="C188" s="8" t="s">
        <v>10</v>
      </c>
      <c r="D188" s="10">
        <v>44927</v>
      </c>
      <c r="E188" s="14">
        <v>45291</v>
      </c>
      <c r="F188" s="7" t="s">
        <v>329</v>
      </c>
      <c r="G188" s="11" t="s">
        <v>330</v>
      </c>
      <c r="H188" s="8">
        <v>17061842</v>
      </c>
      <c r="I188" s="8" t="s">
        <v>13</v>
      </c>
    </row>
    <row r="189" spans="1:9" x14ac:dyDescent="0.2">
      <c r="A189" s="8">
        <v>5646874</v>
      </c>
      <c r="B189" s="8" t="s">
        <v>9</v>
      </c>
      <c r="C189" s="8" t="s">
        <v>10</v>
      </c>
      <c r="D189" s="10">
        <v>44927</v>
      </c>
      <c r="E189" s="14">
        <v>45291</v>
      </c>
      <c r="F189" s="7" t="s">
        <v>331</v>
      </c>
      <c r="G189" s="11" t="s">
        <v>332</v>
      </c>
      <c r="H189" s="8">
        <v>-17216690</v>
      </c>
      <c r="I189" s="8" t="s">
        <v>13</v>
      </c>
    </row>
    <row r="190" spans="1:9" x14ac:dyDescent="0.2">
      <c r="A190" s="8">
        <v>5646875</v>
      </c>
      <c r="B190" s="8" t="s">
        <v>9</v>
      </c>
      <c r="C190" s="8" t="s">
        <v>10</v>
      </c>
      <c r="D190" s="10">
        <v>44927</v>
      </c>
      <c r="E190" s="14">
        <v>45291</v>
      </c>
      <c r="F190" s="7" t="s">
        <v>333</v>
      </c>
      <c r="G190" s="11" t="s">
        <v>334</v>
      </c>
      <c r="H190" s="8">
        <v>-11015940</v>
      </c>
      <c r="I190" s="8" t="s">
        <v>13</v>
      </c>
    </row>
    <row r="191" spans="1:9" x14ac:dyDescent="0.2">
      <c r="A191" s="8">
        <v>5646876</v>
      </c>
      <c r="B191" s="8" t="s">
        <v>9</v>
      </c>
      <c r="C191" s="8" t="s">
        <v>10</v>
      </c>
      <c r="D191" s="10">
        <v>44927</v>
      </c>
      <c r="E191" s="14">
        <v>45291</v>
      </c>
      <c r="F191" s="7" t="s">
        <v>335</v>
      </c>
      <c r="G191" s="11" t="s">
        <v>336</v>
      </c>
      <c r="H191" s="8">
        <v>-4225027</v>
      </c>
      <c r="I191" s="8" t="s">
        <v>13</v>
      </c>
    </row>
    <row r="192" spans="1:9" x14ac:dyDescent="0.2">
      <c r="A192" s="8">
        <v>5646877</v>
      </c>
      <c r="B192" s="8" t="s">
        <v>9</v>
      </c>
      <c r="C192" s="8" t="s">
        <v>10</v>
      </c>
      <c r="D192" s="10">
        <v>44927</v>
      </c>
      <c r="E192" s="14">
        <v>45291</v>
      </c>
      <c r="F192" s="7" t="s">
        <v>337</v>
      </c>
      <c r="G192" s="11" t="s">
        <v>336</v>
      </c>
      <c r="H192" s="8">
        <v>0</v>
      </c>
      <c r="I192" s="8" t="s">
        <v>13</v>
      </c>
    </row>
    <row r="193" spans="1:9" x14ac:dyDescent="0.2">
      <c r="A193" s="8">
        <v>5646878</v>
      </c>
      <c r="B193" s="8" t="s">
        <v>9</v>
      </c>
      <c r="C193" s="8" t="s">
        <v>10</v>
      </c>
      <c r="D193" s="10">
        <v>44927</v>
      </c>
      <c r="E193" s="14">
        <v>45291</v>
      </c>
      <c r="F193" s="7" t="s">
        <v>338</v>
      </c>
      <c r="G193" s="11" t="s">
        <v>339</v>
      </c>
      <c r="H193" s="8">
        <v>0</v>
      </c>
      <c r="I193" s="8" t="s">
        <v>13</v>
      </c>
    </row>
    <row r="194" spans="1:9" x14ac:dyDescent="0.2">
      <c r="A194" s="8">
        <v>5646879</v>
      </c>
      <c r="B194" s="8" t="s">
        <v>9</v>
      </c>
      <c r="C194" s="8" t="s">
        <v>10</v>
      </c>
      <c r="D194" s="10">
        <v>44927</v>
      </c>
      <c r="E194" s="14">
        <v>45291</v>
      </c>
      <c r="F194" s="7" t="s">
        <v>340</v>
      </c>
      <c r="G194" s="11" t="s">
        <v>341</v>
      </c>
      <c r="H194" s="8">
        <v>0</v>
      </c>
      <c r="I194" s="8" t="s">
        <v>13</v>
      </c>
    </row>
    <row r="195" spans="1:9" x14ac:dyDescent="0.2">
      <c r="A195" s="8">
        <v>5646880</v>
      </c>
      <c r="B195" s="8" t="s">
        <v>9</v>
      </c>
      <c r="C195" s="8" t="s">
        <v>10</v>
      </c>
      <c r="D195" s="10">
        <v>44927</v>
      </c>
      <c r="E195" s="14">
        <v>45291</v>
      </c>
      <c r="F195" s="7" t="s">
        <v>342</v>
      </c>
      <c r="G195" s="11" t="s">
        <v>343</v>
      </c>
      <c r="H195" s="8">
        <v>-605874</v>
      </c>
      <c r="I195" s="8" t="s">
        <v>13</v>
      </c>
    </row>
    <row r="196" spans="1:9" x14ac:dyDescent="0.2">
      <c r="A196" s="8">
        <v>5646881</v>
      </c>
      <c r="B196" s="8" t="s">
        <v>9</v>
      </c>
      <c r="C196" s="8" t="s">
        <v>10</v>
      </c>
      <c r="D196" s="10">
        <v>44927</v>
      </c>
      <c r="E196" s="14">
        <v>45291</v>
      </c>
      <c r="F196" s="7" t="s">
        <v>344</v>
      </c>
      <c r="G196" s="11" t="s">
        <v>345</v>
      </c>
      <c r="H196" s="8">
        <v>0</v>
      </c>
      <c r="I196" s="8" t="s">
        <v>13</v>
      </c>
    </row>
    <row r="197" spans="1:9" x14ac:dyDescent="0.2">
      <c r="A197" s="8">
        <v>5646882</v>
      </c>
      <c r="B197" s="8" t="s">
        <v>9</v>
      </c>
      <c r="C197" s="8" t="s">
        <v>10</v>
      </c>
      <c r="D197" s="10">
        <v>44927</v>
      </c>
      <c r="E197" s="14">
        <v>45291</v>
      </c>
      <c r="F197" s="7" t="s">
        <v>346</v>
      </c>
      <c r="G197" s="11" t="s">
        <v>347</v>
      </c>
      <c r="H197" s="8">
        <v>-1369849</v>
      </c>
      <c r="I197" s="8" t="s">
        <v>13</v>
      </c>
    </row>
    <row r="198" spans="1:9" x14ac:dyDescent="0.2">
      <c r="A198" s="8">
        <v>5646883</v>
      </c>
      <c r="B198" s="8" t="s">
        <v>9</v>
      </c>
      <c r="C198" s="8" t="s">
        <v>10</v>
      </c>
      <c r="D198" s="10">
        <v>44927</v>
      </c>
      <c r="E198" s="14">
        <v>45291</v>
      </c>
      <c r="F198" s="7" t="s">
        <v>348</v>
      </c>
      <c r="G198" s="11" t="s">
        <v>349</v>
      </c>
      <c r="H198" s="8">
        <v>0</v>
      </c>
      <c r="I198" s="8" t="s">
        <v>13</v>
      </c>
    </row>
    <row r="199" spans="1:9" x14ac:dyDescent="0.2">
      <c r="A199" s="8">
        <v>5646884</v>
      </c>
      <c r="B199" s="8" t="s">
        <v>9</v>
      </c>
      <c r="C199" s="8" t="s">
        <v>10</v>
      </c>
      <c r="D199" s="10">
        <v>44927</v>
      </c>
      <c r="E199" s="14">
        <v>45291</v>
      </c>
      <c r="F199" s="7" t="s">
        <v>350</v>
      </c>
      <c r="G199" s="11" t="s">
        <v>351</v>
      </c>
      <c r="H199" s="8">
        <v>-154848</v>
      </c>
      <c r="I199" s="8" t="s">
        <v>13</v>
      </c>
    </row>
    <row r="200" spans="1:9" x14ac:dyDescent="0.2">
      <c r="A200" s="8">
        <v>5646885</v>
      </c>
      <c r="B200" s="8" t="s">
        <v>9</v>
      </c>
      <c r="C200" s="8" t="s">
        <v>10</v>
      </c>
      <c r="D200" s="10">
        <v>44927</v>
      </c>
      <c r="E200" s="14">
        <v>45291</v>
      </c>
      <c r="F200" s="7" t="s">
        <v>352</v>
      </c>
      <c r="G200" s="11" t="s">
        <v>353</v>
      </c>
      <c r="H200" s="8">
        <v>-2513499</v>
      </c>
      <c r="I200" s="8" t="s">
        <v>13</v>
      </c>
    </row>
    <row r="201" spans="1:9" x14ac:dyDescent="0.2">
      <c r="A201" s="8">
        <v>5646886</v>
      </c>
      <c r="B201" s="8" t="s">
        <v>9</v>
      </c>
      <c r="C201" s="8" t="s">
        <v>10</v>
      </c>
      <c r="D201" s="10">
        <v>44927</v>
      </c>
      <c r="E201" s="14">
        <v>45291</v>
      </c>
      <c r="F201" s="7" t="s">
        <v>354</v>
      </c>
      <c r="G201" s="11" t="s">
        <v>355</v>
      </c>
      <c r="H201" s="8">
        <v>0</v>
      </c>
      <c r="I201" s="8" t="s">
        <v>13</v>
      </c>
    </row>
    <row r="202" spans="1:9" x14ac:dyDescent="0.2">
      <c r="A202" s="8">
        <v>5646887</v>
      </c>
      <c r="B202" s="8" t="s">
        <v>9</v>
      </c>
      <c r="C202" s="8" t="s">
        <v>10</v>
      </c>
      <c r="D202" s="10">
        <v>44927</v>
      </c>
      <c r="E202" s="14">
        <v>45291</v>
      </c>
      <c r="F202" s="7" t="s">
        <v>356</v>
      </c>
      <c r="G202" s="11" t="s">
        <v>357</v>
      </c>
      <c r="H202" s="8">
        <v>0</v>
      </c>
      <c r="I202" s="8" t="s">
        <v>13</v>
      </c>
    </row>
    <row r="203" spans="1:9" x14ac:dyDescent="0.2">
      <c r="A203" s="8">
        <v>5646888</v>
      </c>
      <c r="B203" s="8" t="s">
        <v>9</v>
      </c>
      <c r="C203" s="8" t="s">
        <v>10</v>
      </c>
      <c r="D203" s="10">
        <v>44927</v>
      </c>
      <c r="E203" s="14">
        <v>45291</v>
      </c>
      <c r="F203" s="7" t="s">
        <v>358</v>
      </c>
      <c r="G203" s="11" t="s">
        <v>359</v>
      </c>
      <c r="H203" s="8">
        <v>-2513499</v>
      </c>
      <c r="I203" s="8" t="s">
        <v>13</v>
      </c>
    </row>
    <row r="204" spans="1:9" x14ac:dyDescent="0.2">
      <c r="A204" s="8">
        <v>5646889</v>
      </c>
      <c r="B204" s="8" t="s">
        <v>9</v>
      </c>
      <c r="C204" s="8" t="s">
        <v>10</v>
      </c>
      <c r="D204" s="10">
        <v>44927</v>
      </c>
      <c r="E204" s="14">
        <v>45291</v>
      </c>
      <c r="F204" s="7" t="s">
        <v>360</v>
      </c>
      <c r="G204" s="11" t="s">
        <v>357</v>
      </c>
      <c r="H204" s="8">
        <v>-2513499</v>
      </c>
      <c r="I204" s="8" t="s">
        <v>13</v>
      </c>
    </row>
    <row r="205" spans="1:9" x14ac:dyDescent="0.2">
      <c r="A205" s="8">
        <v>5646890</v>
      </c>
      <c r="B205" s="8" t="s">
        <v>9</v>
      </c>
      <c r="C205" s="8" t="s">
        <v>10</v>
      </c>
      <c r="D205" s="10">
        <v>44927</v>
      </c>
      <c r="E205" s="14">
        <v>45291</v>
      </c>
      <c r="F205" s="7" t="s">
        <v>361</v>
      </c>
      <c r="G205" s="11" t="s">
        <v>362</v>
      </c>
      <c r="H205" s="8">
        <v>-2668347</v>
      </c>
      <c r="I205" s="8" t="s">
        <v>13</v>
      </c>
    </row>
    <row r="206" spans="1:9" x14ac:dyDescent="0.2">
      <c r="A206" s="8">
        <v>5646891</v>
      </c>
      <c r="B206" s="8" t="s">
        <v>9</v>
      </c>
      <c r="C206" s="8" t="s">
        <v>10</v>
      </c>
      <c r="D206" s="10">
        <v>44927</v>
      </c>
      <c r="E206" s="14">
        <v>45291</v>
      </c>
      <c r="F206" s="7" t="s">
        <v>363</v>
      </c>
      <c r="G206" s="11" t="s">
        <v>364</v>
      </c>
      <c r="H206" s="8">
        <v>86400</v>
      </c>
      <c r="I206" s="8" t="s">
        <v>13</v>
      </c>
    </row>
    <row r="207" spans="1:9" x14ac:dyDescent="0.2">
      <c r="A207" s="8">
        <v>5646892</v>
      </c>
      <c r="B207" s="8" t="s">
        <v>9</v>
      </c>
      <c r="C207" s="8" t="s">
        <v>10</v>
      </c>
      <c r="D207" s="10">
        <v>44927</v>
      </c>
      <c r="E207" s="14">
        <v>45291</v>
      </c>
      <c r="F207" s="7" t="s">
        <v>365</v>
      </c>
      <c r="G207" s="11" t="s">
        <v>366</v>
      </c>
      <c r="H207" s="8">
        <v>0</v>
      </c>
      <c r="I207" s="8" t="s">
        <v>13</v>
      </c>
    </row>
    <row r="208" spans="1:9" x14ac:dyDescent="0.2">
      <c r="A208" s="8">
        <v>5646893</v>
      </c>
      <c r="B208" s="8" t="s">
        <v>9</v>
      </c>
      <c r="C208" s="8" t="s">
        <v>10</v>
      </c>
      <c r="D208" s="10">
        <v>44927</v>
      </c>
      <c r="E208" s="14">
        <v>45291</v>
      </c>
      <c r="F208" s="7" t="s">
        <v>367</v>
      </c>
      <c r="G208" s="11" t="s">
        <v>368</v>
      </c>
      <c r="H208" s="8">
        <v>0</v>
      </c>
      <c r="I208" s="8" t="s">
        <v>13</v>
      </c>
    </row>
    <row r="209" spans="1:9" x14ac:dyDescent="0.2">
      <c r="A209" s="8">
        <v>5646894</v>
      </c>
      <c r="B209" s="8" t="s">
        <v>9</v>
      </c>
      <c r="C209" s="8" t="s">
        <v>10</v>
      </c>
      <c r="D209" s="10">
        <v>44927</v>
      </c>
      <c r="E209" s="14">
        <v>45291</v>
      </c>
      <c r="F209" s="7" t="s">
        <v>369</v>
      </c>
      <c r="G209" s="11" t="s">
        <v>370</v>
      </c>
      <c r="H209" s="8">
        <v>-2581947</v>
      </c>
      <c r="I209" s="8" t="s">
        <v>13</v>
      </c>
    </row>
    <row r="210" spans="1:9" x14ac:dyDescent="0.2">
      <c r="A210" s="8">
        <v>5646895</v>
      </c>
      <c r="B210" s="8" t="s">
        <v>9</v>
      </c>
      <c r="C210" s="8" t="s">
        <v>10</v>
      </c>
      <c r="D210" s="10">
        <v>44927</v>
      </c>
      <c r="E210" s="14">
        <v>45291</v>
      </c>
      <c r="F210" s="7" t="s">
        <v>371</v>
      </c>
      <c r="G210" s="11" t="s">
        <v>372</v>
      </c>
      <c r="H210" s="8">
        <v>5556457</v>
      </c>
      <c r="I210" s="8" t="s">
        <v>13</v>
      </c>
    </row>
    <row r="211" spans="1:9" x14ac:dyDescent="0.2">
      <c r="A211" s="8">
        <v>5646896</v>
      </c>
      <c r="B211" s="8" t="s">
        <v>9</v>
      </c>
      <c r="C211" s="8" t="s">
        <v>10</v>
      </c>
      <c r="D211" s="10">
        <v>44927</v>
      </c>
      <c r="E211" s="14">
        <v>45291</v>
      </c>
      <c r="F211" s="7" t="s">
        <v>373</v>
      </c>
      <c r="G211" s="11" t="s">
        <v>374</v>
      </c>
      <c r="H211" s="8">
        <v>5556457</v>
      </c>
      <c r="I211" s="8" t="s">
        <v>13</v>
      </c>
    </row>
    <row r="212" spans="1:9" x14ac:dyDescent="0.2">
      <c r="A212" s="8">
        <v>5646897</v>
      </c>
      <c r="B212" s="8" t="s">
        <v>9</v>
      </c>
      <c r="C212" s="8" t="s">
        <v>10</v>
      </c>
      <c r="D212" s="10">
        <v>44927</v>
      </c>
      <c r="E212" s="14">
        <v>45291</v>
      </c>
      <c r="F212" s="7" t="s">
        <v>375</v>
      </c>
      <c r="G212" s="11" t="s">
        <v>376</v>
      </c>
      <c r="H212" s="8">
        <v>0</v>
      </c>
      <c r="I212" s="8" t="s">
        <v>13</v>
      </c>
    </row>
    <row r="213" spans="1:9" x14ac:dyDescent="0.2">
      <c r="A213" s="8">
        <v>5646898</v>
      </c>
      <c r="B213" s="8" t="s">
        <v>9</v>
      </c>
      <c r="C213" s="8" t="s">
        <v>10</v>
      </c>
      <c r="D213" s="10">
        <v>44927</v>
      </c>
      <c r="E213" s="14">
        <v>45291</v>
      </c>
      <c r="F213" s="7" t="s">
        <v>377</v>
      </c>
      <c r="G213" s="11" t="s">
        <v>378</v>
      </c>
      <c r="H213" s="8">
        <v>2974510</v>
      </c>
      <c r="I213" s="8" t="s">
        <v>13</v>
      </c>
    </row>
    <row r="214" spans="1:9" x14ac:dyDescent="0.2">
      <c r="A214" s="8">
        <v>5646899</v>
      </c>
      <c r="B214" s="8" t="s">
        <v>9</v>
      </c>
      <c r="C214" s="8" t="s">
        <v>10</v>
      </c>
      <c r="D214" s="10">
        <v>44927</v>
      </c>
      <c r="E214" s="14">
        <v>45291</v>
      </c>
      <c r="F214" s="7" t="s">
        <v>379</v>
      </c>
      <c r="G214" s="11" t="s">
        <v>380</v>
      </c>
      <c r="H214" s="8">
        <v>2973731</v>
      </c>
      <c r="I214" s="8" t="s">
        <v>13</v>
      </c>
    </row>
    <row r="215" spans="1:9" x14ac:dyDescent="0.2">
      <c r="A215" s="8">
        <v>5646900</v>
      </c>
      <c r="B215" s="8" t="s">
        <v>9</v>
      </c>
      <c r="C215" s="8" t="s">
        <v>10</v>
      </c>
      <c r="D215" s="10">
        <v>44927</v>
      </c>
      <c r="E215" s="14">
        <v>45291</v>
      </c>
      <c r="F215" s="7" t="s">
        <v>381</v>
      </c>
      <c r="G215" s="11" t="s">
        <v>382</v>
      </c>
      <c r="H215" s="8">
        <v>779</v>
      </c>
      <c r="I215" s="8" t="s">
        <v>13</v>
      </c>
    </row>
    <row r="216" spans="1:9" x14ac:dyDescent="0.2">
      <c r="A216" s="8">
        <v>5646901</v>
      </c>
      <c r="B216" s="8" t="s">
        <v>9</v>
      </c>
      <c r="C216" s="8" t="s">
        <v>10</v>
      </c>
      <c r="D216" s="10">
        <v>44927</v>
      </c>
      <c r="E216" s="14">
        <v>45291</v>
      </c>
      <c r="F216" s="7" t="s">
        <v>383</v>
      </c>
      <c r="G216" s="11" t="s">
        <v>384</v>
      </c>
      <c r="H216" s="8">
        <v>0</v>
      </c>
      <c r="I216" s="8" t="s">
        <v>13</v>
      </c>
    </row>
    <row r="217" spans="1:9" x14ac:dyDescent="0.2">
      <c r="A217" s="8">
        <v>5646902</v>
      </c>
      <c r="B217" s="8" t="s">
        <v>9</v>
      </c>
      <c r="C217" s="8" t="s">
        <v>10</v>
      </c>
      <c r="D217" s="10">
        <v>44927</v>
      </c>
      <c r="E217" s="14">
        <v>45291</v>
      </c>
      <c r="F217" s="7" t="s">
        <v>385</v>
      </c>
      <c r="G217" s="11" t="s">
        <v>386</v>
      </c>
      <c r="H217" s="8">
        <v>0</v>
      </c>
      <c r="I217" s="8" t="s">
        <v>13</v>
      </c>
    </row>
    <row r="218" spans="1:9" x14ac:dyDescent="0.2">
      <c r="A218" s="8">
        <v>5646903</v>
      </c>
      <c r="B218" s="8" t="s">
        <v>9</v>
      </c>
      <c r="C218" s="8" t="s">
        <v>10</v>
      </c>
      <c r="D218" s="10">
        <v>44927</v>
      </c>
      <c r="E218" s="14">
        <v>45291</v>
      </c>
      <c r="F218" s="7" t="s">
        <v>387</v>
      </c>
      <c r="G218" s="11" t="s">
        <v>388</v>
      </c>
      <c r="H218" s="8">
        <v>2</v>
      </c>
      <c r="I218" s="8" t="s">
        <v>13</v>
      </c>
    </row>
    <row r="219" spans="1:9" x14ac:dyDescent="0.2">
      <c r="A219" s="8">
        <v>5646904</v>
      </c>
      <c r="B219" s="8" t="s">
        <v>9</v>
      </c>
      <c r="C219" s="8" t="s">
        <v>10</v>
      </c>
      <c r="D219" s="10">
        <v>44927</v>
      </c>
      <c r="E219" s="14">
        <v>45291</v>
      </c>
      <c r="F219" s="7" t="s">
        <v>389</v>
      </c>
      <c r="G219" s="11" t="s">
        <v>390</v>
      </c>
      <c r="H219" s="8">
        <v>0</v>
      </c>
      <c r="I219" s="8" t="s">
        <v>13</v>
      </c>
    </row>
    <row r="220" spans="1:9" x14ac:dyDescent="0.2">
      <c r="A220" s="8">
        <v>5646905</v>
      </c>
      <c r="B220" s="8" t="s">
        <v>9</v>
      </c>
      <c r="C220" s="8" t="s">
        <v>10</v>
      </c>
      <c r="D220" s="10">
        <v>44927</v>
      </c>
      <c r="E220" s="14">
        <v>45291</v>
      </c>
      <c r="F220" s="7" t="s">
        <v>391</v>
      </c>
      <c r="G220" s="11" t="s">
        <v>388</v>
      </c>
      <c r="H220" s="8">
        <v>2</v>
      </c>
      <c r="I220" s="8" t="s">
        <v>13</v>
      </c>
    </row>
    <row r="221" spans="1:9" x14ac:dyDescent="0.2">
      <c r="A221" s="8">
        <v>5646906</v>
      </c>
      <c r="B221" s="8" t="s">
        <v>9</v>
      </c>
      <c r="C221" s="8" t="s">
        <v>10</v>
      </c>
      <c r="D221" s="10">
        <v>44927</v>
      </c>
      <c r="E221" s="14">
        <v>45291</v>
      </c>
      <c r="F221" s="7" t="s">
        <v>392</v>
      </c>
      <c r="G221" s="11" t="s">
        <v>393</v>
      </c>
      <c r="H221" s="8">
        <v>-2347673</v>
      </c>
      <c r="I221" s="8" t="s">
        <v>13</v>
      </c>
    </row>
    <row r="222" spans="1:9" x14ac:dyDescent="0.2">
      <c r="A222" s="8">
        <v>5646907</v>
      </c>
      <c r="B222" s="8" t="s">
        <v>9</v>
      </c>
      <c r="C222" s="8" t="s">
        <v>10</v>
      </c>
      <c r="D222" s="10">
        <v>44927</v>
      </c>
      <c r="E222" s="14">
        <v>45291</v>
      </c>
      <c r="F222" s="7" t="s">
        <v>394</v>
      </c>
      <c r="G222" s="11" t="s">
        <v>395</v>
      </c>
      <c r="H222" s="8">
        <v>8020497</v>
      </c>
      <c r="I222" s="8" t="s">
        <v>13</v>
      </c>
    </row>
    <row r="223" spans="1:9" x14ac:dyDescent="0.2">
      <c r="A223" s="8">
        <v>5646908</v>
      </c>
      <c r="B223" s="8" t="s">
        <v>9</v>
      </c>
      <c r="C223" s="8" t="s">
        <v>10</v>
      </c>
      <c r="D223" s="10">
        <v>44927</v>
      </c>
      <c r="E223" s="14">
        <v>45291</v>
      </c>
      <c r="F223" s="7" t="s">
        <v>396</v>
      </c>
      <c r="G223" s="11" t="s">
        <v>397</v>
      </c>
      <c r="H223" s="8">
        <v>1587995</v>
      </c>
      <c r="I223" s="8" t="s">
        <v>13</v>
      </c>
    </row>
    <row r="224" spans="1:9" x14ac:dyDescent="0.2">
      <c r="A224" s="8">
        <v>5646909</v>
      </c>
      <c r="B224" s="8" t="s">
        <v>9</v>
      </c>
      <c r="C224" s="8" t="s">
        <v>10</v>
      </c>
      <c r="D224" s="10">
        <v>44927</v>
      </c>
      <c r="E224" s="14">
        <v>45291</v>
      </c>
      <c r="F224" s="7" t="s">
        <v>398</v>
      </c>
      <c r="G224" s="11" t="s">
        <v>399</v>
      </c>
      <c r="H224" s="8">
        <v>1791905</v>
      </c>
      <c r="I224" s="8" t="s">
        <v>13</v>
      </c>
    </row>
    <row r="225" spans="1:9" x14ac:dyDescent="0.2">
      <c r="A225" s="8">
        <v>5646910</v>
      </c>
      <c r="B225" s="8" t="s">
        <v>9</v>
      </c>
      <c r="C225" s="8" t="s">
        <v>10</v>
      </c>
      <c r="D225" s="10">
        <v>44927</v>
      </c>
      <c r="E225" s="14">
        <v>45291</v>
      </c>
      <c r="F225" s="7" t="s">
        <v>400</v>
      </c>
      <c r="G225" s="11" t="s">
        <v>401</v>
      </c>
      <c r="H225" s="8">
        <v>71166</v>
      </c>
      <c r="I225" s="8" t="s">
        <v>13</v>
      </c>
    </row>
    <row r="226" spans="1:9" x14ac:dyDescent="0.2">
      <c r="A226" s="8">
        <v>5646911</v>
      </c>
      <c r="B226" s="8" t="s">
        <v>9</v>
      </c>
      <c r="C226" s="8" t="s">
        <v>10</v>
      </c>
      <c r="D226" s="10">
        <v>44927</v>
      </c>
      <c r="E226" s="14">
        <v>45291</v>
      </c>
      <c r="F226" s="7" t="s">
        <v>402</v>
      </c>
      <c r="G226" s="11" t="s">
        <v>403</v>
      </c>
      <c r="H226" s="8">
        <v>-28460</v>
      </c>
      <c r="I226" s="8" t="s">
        <v>13</v>
      </c>
    </row>
    <row r="227" spans="1:9" x14ac:dyDescent="0.2">
      <c r="A227" s="8">
        <v>5646912</v>
      </c>
      <c r="B227" s="8" t="s">
        <v>9</v>
      </c>
      <c r="C227" s="8" t="s">
        <v>10</v>
      </c>
      <c r="D227" s="10">
        <v>44927</v>
      </c>
      <c r="E227" s="14">
        <v>45291</v>
      </c>
      <c r="F227" s="7" t="s">
        <v>404</v>
      </c>
      <c r="G227" s="11" t="s">
        <v>107</v>
      </c>
      <c r="H227" s="8">
        <v>-86400</v>
      </c>
      <c r="I227" s="8" t="s">
        <v>13</v>
      </c>
    </row>
    <row r="228" spans="1:9" x14ac:dyDescent="0.2">
      <c r="A228" s="8">
        <v>5646913</v>
      </c>
      <c r="B228" s="8" t="s">
        <v>9</v>
      </c>
      <c r="C228" s="8" t="s">
        <v>10</v>
      </c>
      <c r="D228" s="10">
        <v>44927</v>
      </c>
      <c r="E228" s="14">
        <v>45291</v>
      </c>
      <c r="F228" s="7" t="s">
        <v>405</v>
      </c>
      <c r="G228" s="11" t="s">
        <v>406</v>
      </c>
      <c r="H228" s="8">
        <v>196267</v>
      </c>
      <c r="I228" s="8" t="s">
        <v>13</v>
      </c>
    </row>
    <row r="229" spans="1:9" x14ac:dyDescent="0.2">
      <c r="A229" s="8">
        <v>5646914</v>
      </c>
      <c r="B229" s="8" t="s">
        <v>9</v>
      </c>
      <c r="C229" s="8" t="s">
        <v>10</v>
      </c>
      <c r="D229" s="10">
        <v>44927</v>
      </c>
      <c r="E229" s="14">
        <v>45291</v>
      </c>
      <c r="F229" s="7" t="s">
        <v>407</v>
      </c>
      <c r="G229" s="11" t="s">
        <v>408</v>
      </c>
      <c r="H229" s="8">
        <v>0</v>
      </c>
      <c r="I229" s="8" t="s">
        <v>13</v>
      </c>
    </row>
    <row r="230" spans="1:9" x14ac:dyDescent="0.2">
      <c r="A230" s="8">
        <v>5646915</v>
      </c>
      <c r="B230" s="8" t="s">
        <v>9</v>
      </c>
      <c r="C230" s="8" t="s">
        <v>10</v>
      </c>
      <c r="D230" s="10">
        <v>44927</v>
      </c>
      <c r="E230" s="14">
        <v>45291</v>
      </c>
      <c r="F230" s="7" t="s">
        <v>409</v>
      </c>
      <c r="G230" s="11" t="s">
        <v>410</v>
      </c>
      <c r="H230" s="8">
        <v>517531</v>
      </c>
      <c r="I230" s="8" t="s">
        <v>13</v>
      </c>
    </row>
    <row r="231" spans="1:9" x14ac:dyDescent="0.2">
      <c r="A231" s="8">
        <v>5646916</v>
      </c>
      <c r="B231" s="8" t="s">
        <v>9</v>
      </c>
      <c r="C231" s="8" t="s">
        <v>10</v>
      </c>
      <c r="D231" s="10">
        <v>44927</v>
      </c>
      <c r="E231" s="14">
        <v>45291</v>
      </c>
      <c r="F231" s="7" t="s">
        <v>411</v>
      </c>
      <c r="G231" s="11" t="s">
        <v>412</v>
      </c>
      <c r="H231" s="8">
        <v>2777</v>
      </c>
      <c r="I231" s="8" t="s">
        <v>13</v>
      </c>
    </row>
    <row r="232" spans="1:9" x14ac:dyDescent="0.2">
      <c r="A232" s="8">
        <v>5646917</v>
      </c>
      <c r="B232" s="8" t="s">
        <v>9</v>
      </c>
      <c r="C232" s="8" t="s">
        <v>10</v>
      </c>
      <c r="D232" s="10">
        <v>44927</v>
      </c>
      <c r="E232" s="14">
        <v>45291</v>
      </c>
      <c r="F232" s="7" t="s">
        <v>413</v>
      </c>
      <c r="G232" s="11" t="s">
        <v>414</v>
      </c>
      <c r="H232" s="8">
        <v>118858</v>
      </c>
      <c r="I232" s="8" t="s">
        <v>13</v>
      </c>
    </row>
    <row r="233" spans="1:9" x14ac:dyDescent="0.2">
      <c r="A233" s="8">
        <v>5646918</v>
      </c>
      <c r="B233" s="8" t="s">
        <v>9</v>
      </c>
      <c r="C233" s="8" t="s">
        <v>10</v>
      </c>
      <c r="D233" s="10">
        <v>44927</v>
      </c>
      <c r="E233" s="14">
        <v>45291</v>
      </c>
      <c r="F233" s="7" t="s">
        <v>415</v>
      </c>
      <c r="G233" s="11" t="s">
        <v>416</v>
      </c>
      <c r="H233" s="8">
        <v>605874</v>
      </c>
      <c r="I233" s="8" t="s">
        <v>13</v>
      </c>
    </row>
    <row r="234" spans="1:9" x14ac:dyDescent="0.2">
      <c r="A234" s="8">
        <v>5646919</v>
      </c>
      <c r="B234" s="8" t="s">
        <v>9</v>
      </c>
      <c r="C234" s="8" t="s">
        <v>10</v>
      </c>
      <c r="D234" s="10">
        <v>44927</v>
      </c>
      <c r="E234" s="14">
        <v>45291</v>
      </c>
      <c r="F234" s="7" t="s">
        <v>417</v>
      </c>
      <c r="G234" s="11" t="s">
        <v>418</v>
      </c>
      <c r="H234" s="8">
        <v>422498</v>
      </c>
      <c r="I234" s="8" t="s">
        <v>13</v>
      </c>
    </row>
    <row r="235" spans="1:9" x14ac:dyDescent="0.2">
      <c r="A235" s="8">
        <v>5646920</v>
      </c>
      <c r="B235" s="8" t="s">
        <v>9</v>
      </c>
      <c r="C235" s="8" t="s">
        <v>10</v>
      </c>
      <c r="D235" s="10">
        <v>44927</v>
      </c>
      <c r="E235" s="14">
        <v>45291</v>
      </c>
      <c r="F235" s="7" t="s">
        <v>419</v>
      </c>
      <c r="G235" s="11" t="s">
        <v>420</v>
      </c>
      <c r="H235" s="8">
        <v>-12459</v>
      </c>
      <c r="I235" s="8" t="s">
        <v>13</v>
      </c>
    </row>
    <row r="236" spans="1:9" x14ac:dyDescent="0.2">
      <c r="A236" s="8">
        <v>5646921</v>
      </c>
      <c r="B236" s="8" t="s">
        <v>9</v>
      </c>
      <c r="C236" s="8" t="s">
        <v>10</v>
      </c>
      <c r="D236" s="10">
        <v>44927</v>
      </c>
      <c r="E236" s="14">
        <v>45291</v>
      </c>
      <c r="F236" s="7" t="s">
        <v>421</v>
      </c>
      <c r="G236" s="11" t="s">
        <v>422</v>
      </c>
      <c r="H236" s="8">
        <v>2974510</v>
      </c>
      <c r="I236" s="8" t="s">
        <v>13</v>
      </c>
    </row>
    <row r="237" spans="1:9" x14ac:dyDescent="0.2">
      <c r="A237" s="8">
        <v>5646922</v>
      </c>
      <c r="B237" s="8" t="s">
        <v>9</v>
      </c>
      <c r="C237" s="8" t="s">
        <v>10</v>
      </c>
      <c r="D237" s="10">
        <v>44927</v>
      </c>
      <c r="E237" s="14">
        <v>45291</v>
      </c>
      <c r="F237" s="7" t="s">
        <v>423</v>
      </c>
      <c r="G237" s="11" t="s">
        <v>424</v>
      </c>
      <c r="H237" s="8">
        <v>73011</v>
      </c>
      <c r="I237" s="8" t="s">
        <v>13</v>
      </c>
    </row>
    <row r="238" spans="1:9" x14ac:dyDescent="0.2">
      <c r="A238" s="8">
        <v>5646923</v>
      </c>
      <c r="B238" s="8" t="s">
        <v>9</v>
      </c>
      <c r="C238" s="8" t="s">
        <v>10</v>
      </c>
      <c r="D238" s="10">
        <v>44927</v>
      </c>
      <c r="E238" s="14">
        <v>45291</v>
      </c>
      <c r="F238" s="7" t="s">
        <v>425</v>
      </c>
      <c r="G238" s="11" t="s">
        <v>426</v>
      </c>
      <c r="H238" s="8">
        <v>117553</v>
      </c>
      <c r="I238" s="8" t="s">
        <v>13</v>
      </c>
    </row>
    <row r="239" spans="1:9" x14ac:dyDescent="0.2">
      <c r="A239" s="8">
        <v>5646924</v>
      </c>
      <c r="B239" s="8" t="s">
        <v>9</v>
      </c>
      <c r="C239" s="8" t="s">
        <v>10</v>
      </c>
      <c r="D239" s="10">
        <v>44927</v>
      </c>
      <c r="E239" s="14">
        <v>45291</v>
      </c>
      <c r="F239" s="7" t="s">
        <v>427</v>
      </c>
      <c r="G239" s="11" t="s">
        <v>428</v>
      </c>
      <c r="H239" s="8">
        <v>-206228</v>
      </c>
      <c r="I239" s="8" t="s">
        <v>13</v>
      </c>
    </row>
    <row r="240" spans="1:9" x14ac:dyDescent="0.2">
      <c r="A240" s="8">
        <v>5646925</v>
      </c>
      <c r="B240" s="8" t="s">
        <v>9</v>
      </c>
      <c r="C240" s="8" t="s">
        <v>10</v>
      </c>
      <c r="D240" s="10">
        <v>44927</v>
      </c>
      <c r="E240" s="14">
        <v>45291</v>
      </c>
      <c r="F240" s="7" t="s">
        <v>429</v>
      </c>
      <c r="G240" s="11" t="s">
        <v>430</v>
      </c>
      <c r="H240" s="8">
        <v>663892</v>
      </c>
      <c r="I240" s="8" t="s">
        <v>13</v>
      </c>
    </row>
    <row r="241" spans="1:9" x14ac:dyDescent="0.2">
      <c r="A241" s="8">
        <v>5646926</v>
      </c>
      <c r="B241" s="8" t="s">
        <v>9</v>
      </c>
      <c r="C241" s="8" t="s">
        <v>10</v>
      </c>
      <c r="D241" s="10">
        <v>44927</v>
      </c>
      <c r="E241" s="14">
        <v>45291</v>
      </c>
      <c r="F241" s="7" t="s">
        <v>431</v>
      </c>
      <c r="G241" s="11" t="s">
        <v>432</v>
      </c>
      <c r="H241" s="8">
        <v>187410</v>
      </c>
      <c r="I241" s="8" t="s">
        <v>13</v>
      </c>
    </row>
    <row r="242" spans="1:9" x14ac:dyDescent="0.2">
      <c r="A242" s="8">
        <v>5646927</v>
      </c>
      <c r="B242" s="8" t="s">
        <v>9</v>
      </c>
      <c r="C242" s="8" t="s">
        <v>10</v>
      </c>
      <c r="D242" s="10">
        <v>44927</v>
      </c>
      <c r="E242" s="14">
        <v>45291</v>
      </c>
      <c r="F242" s="7" t="s">
        <v>433</v>
      </c>
      <c r="G242" s="11" t="s">
        <v>434</v>
      </c>
      <c r="H242" s="8">
        <v>-977203</v>
      </c>
      <c r="I242" s="8" t="s">
        <v>13</v>
      </c>
    </row>
    <row r="243" spans="1:9" x14ac:dyDescent="0.2">
      <c r="A243" s="8">
        <v>5646928</v>
      </c>
      <c r="B243" s="8" t="s">
        <v>9</v>
      </c>
      <c r="C243" s="8" t="s">
        <v>10</v>
      </c>
      <c r="D243" s="10">
        <v>44927</v>
      </c>
      <c r="E243" s="14">
        <v>45291</v>
      </c>
      <c r="F243" s="7" t="s">
        <v>435</v>
      </c>
      <c r="G243" s="11" t="s">
        <v>436</v>
      </c>
      <c r="H243" s="8">
        <v>-1277201</v>
      </c>
      <c r="I243" s="8" t="s">
        <v>13</v>
      </c>
    </row>
    <row r="244" spans="1:9" x14ac:dyDescent="0.2">
      <c r="A244" s="8">
        <v>5646929</v>
      </c>
      <c r="B244" s="8" t="s">
        <v>9</v>
      </c>
      <c r="C244" s="8" t="s">
        <v>10</v>
      </c>
      <c r="D244" s="10">
        <v>44927</v>
      </c>
      <c r="E244" s="14">
        <v>45291</v>
      </c>
      <c r="F244" s="7" t="s">
        <v>437</v>
      </c>
      <c r="G244" s="11" t="s">
        <v>438</v>
      </c>
      <c r="H244" s="8">
        <v>-1137677</v>
      </c>
      <c r="I244" s="8" t="s">
        <v>13</v>
      </c>
    </row>
    <row r="245" spans="1:9" x14ac:dyDescent="0.2">
      <c r="A245" s="8">
        <v>5646930</v>
      </c>
      <c r="B245" s="8" t="s">
        <v>9</v>
      </c>
      <c r="C245" s="8" t="s">
        <v>10</v>
      </c>
      <c r="D245" s="10">
        <v>44927</v>
      </c>
      <c r="E245" s="14">
        <v>45291</v>
      </c>
      <c r="F245" s="7" t="s">
        <v>439</v>
      </c>
      <c r="G245" s="11" t="s">
        <v>440</v>
      </c>
      <c r="H245" s="8">
        <v>-140418</v>
      </c>
      <c r="I245" s="8" t="s">
        <v>13</v>
      </c>
    </row>
    <row r="246" spans="1:9" x14ac:dyDescent="0.2">
      <c r="A246" s="8">
        <v>5646931</v>
      </c>
      <c r="B246" s="8" t="s">
        <v>9</v>
      </c>
      <c r="C246" s="8" t="s">
        <v>10</v>
      </c>
      <c r="D246" s="10">
        <v>44927</v>
      </c>
      <c r="E246" s="14">
        <v>45291</v>
      </c>
      <c r="F246" s="7" t="s">
        <v>441</v>
      </c>
      <c r="G246" s="11" t="s">
        <v>442</v>
      </c>
      <c r="H246" s="8">
        <v>490981</v>
      </c>
      <c r="I246" s="8" t="s">
        <v>13</v>
      </c>
    </row>
    <row r="247" spans="1:9" x14ac:dyDescent="0.2">
      <c r="A247" s="8">
        <v>5646932</v>
      </c>
      <c r="B247" s="8" t="s">
        <v>9</v>
      </c>
      <c r="C247" s="8" t="s">
        <v>10</v>
      </c>
      <c r="D247" s="10">
        <v>44927</v>
      </c>
      <c r="E247" s="14">
        <v>45291</v>
      </c>
      <c r="F247" s="7" t="s">
        <v>443</v>
      </c>
      <c r="G247" s="11" t="s">
        <v>444</v>
      </c>
      <c r="H247" s="8">
        <v>-406665</v>
      </c>
      <c r="I247" s="8" t="s">
        <v>13</v>
      </c>
    </row>
    <row r="248" spans="1:9" x14ac:dyDescent="0.2">
      <c r="A248" s="8">
        <v>5646933</v>
      </c>
      <c r="B248" s="8" t="s">
        <v>9</v>
      </c>
      <c r="C248" s="8" t="s">
        <v>10</v>
      </c>
      <c r="D248" s="10">
        <v>44927</v>
      </c>
      <c r="E248" s="14">
        <v>45291</v>
      </c>
      <c r="F248" s="7" t="s">
        <v>445</v>
      </c>
      <c r="G248" s="11" t="s">
        <v>446</v>
      </c>
      <c r="H248" s="8">
        <v>-110615</v>
      </c>
      <c r="I248" s="8" t="s">
        <v>13</v>
      </c>
    </row>
    <row r="249" spans="1:9" x14ac:dyDescent="0.2">
      <c r="A249" s="8">
        <v>5646934</v>
      </c>
      <c r="B249" s="8" t="s">
        <v>9</v>
      </c>
      <c r="C249" s="8" t="s">
        <v>10</v>
      </c>
      <c r="D249" s="10">
        <v>44927</v>
      </c>
      <c r="E249" s="14">
        <v>45291</v>
      </c>
      <c r="F249" s="7" t="s">
        <v>447</v>
      </c>
      <c r="G249" s="11" t="s">
        <v>448</v>
      </c>
      <c r="H249" s="8">
        <v>41524</v>
      </c>
      <c r="I249" s="8" t="s">
        <v>13</v>
      </c>
    </row>
    <row r="250" spans="1:9" x14ac:dyDescent="0.2">
      <c r="A250" s="8">
        <v>5646935</v>
      </c>
      <c r="B250" s="8" t="s">
        <v>9</v>
      </c>
      <c r="C250" s="8" t="s">
        <v>10</v>
      </c>
      <c r="D250" s="10">
        <v>44927</v>
      </c>
      <c r="E250" s="14">
        <v>45291</v>
      </c>
      <c r="F250" s="7" t="s">
        <v>449</v>
      </c>
      <c r="G250" s="11" t="s">
        <v>450</v>
      </c>
      <c r="H250" s="8">
        <v>-8843</v>
      </c>
      <c r="I250" s="8" t="s">
        <v>13</v>
      </c>
    </row>
    <row r="251" spans="1:9" x14ac:dyDescent="0.2">
      <c r="A251" s="8">
        <v>5646936</v>
      </c>
      <c r="B251" s="8" t="s">
        <v>9</v>
      </c>
      <c r="C251" s="8" t="s">
        <v>10</v>
      </c>
      <c r="D251" s="10">
        <v>44927</v>
      </c>
      <c r="E251" s="14">
        <v>45291</v>
      </c>
      <c r="F251" s="7" t="s">
        <v>451</v>
      </c>
      <c r="G251" s="11" t="s">
        <v>452</v>
      </c>
      <c r="H251" s="8">
        <v>-5488</v>
      </c>
      <c r="I251" s="8" t="s">
        <v>13</v>
      </c>
    </row>
    <row r="252" spans="1:9" x14ac:dyDescent="0.2">
      <c r="A252" s="8">
        <v>5646937</v>
      </c>
      <c r="B252" s="8" t="s">
        <v>9</v>
      </c>
      <c r="C252" s="8" t="s">
        <v>10</v>
      </c>
      <c r="D252" s="10">
        <v>44927</v>
      </c>
      <c r="E252" s="14">
        <v>45291</v>
      </c>
      <c r="F252" s="7" t="s">
        <v>453</v>
      </c>
      <c r="G252" s="11" t="s">
        <v>59</v>
      </c>
      <c r="H252" s="8">
        <v>-9090969</v>
      </c>
      <c r="I252" s="8" t="s">
        <v>13</v>
      </c>
    </row>
    <row r="253" spans="1:9" x14ac:dyDescent="0.2">
      <c r="A253" s="8">
        <v>5646938</v>
      </c>
      <c r="B253" s="8" t="s">
        <v>9</v>
      </c>
      <c r="C253" s="8" t="s">
        <v>10</v>
      </c>
      <c r="D253" s="10">
        <v>44927</v>
      </c>
      <c r="E253" s="14">
        <v>45291</v>
      </c>
      <c r="F253" s="7" t="s">
        <v>454</v>
      </c>
      <c r="G253" s="11" t="s">
        <v>455</v>
      </c>
      <c r="H253" s="8">
        <v>-381489</v>
      </c>
      <c r="I253" s="8" t="s">
        <v>13</v>
      </c>
    </row>
    <row r="254" spans="1:9" x14ac:dyDescent="0.2">
      <c r="A254" s="8">
        <v>5646939</v>
      </c>
      <c r="B254" s="8" t="s">
        <v>9</v>
      </c>
      <c r="C254" s="8" t="s">
        <v>10</v>
      </c>
      <c r="D254" s="10">
        <v>44927</v>
      </c>
      <c r="E254" s="14">
        <v>45291</v>
      </c>
      <c r="F254" s="7" t="s">
        <v>456</v>
      </c>
      <c r="G254" s="11" t="s">
        <v>457</v>
      </c>
      <c r="H254" s="8">
        <v>21734</v>
      </c>
      <c r="I254" s="8" t="s">
        <v>13</v>
      </c>
    </row>
    <row r="255" spans="1:9" x14ac:dyDescent="0.2">
      <c r="A255" s="8">
        <v>5646940</v>
      </c>
      <c r="B255" s="8" t="s">
        <v>9</v>
      </c>
      <c r="C255" s="8" t="s">
        <v>10</v>
      </c>
      <c r="D255" s="10">
        <v>44927</v>
      </c>
      <c r="E255" s="14">
        <v>45291</v>
      </c>
      <c r="F255" s="7" t="s">
        <v>458</v>
      </c>
      <c r="G255" s="11" t="s">
        <v>459</v>
      </c>
      <c r="H255" s="8">
        <v>-1487092</v>
      </c>
      <c r="I255" s="8" t="s">
        <v>13</v>
      </c>
    </row>
    <row r="256" spans="1:9" x14ac:dyDescent="0.2">
      <c r="A256" s="8">
        <v>5646941</v>
      </c>
      <c r="B256" s="8" t="s">
        <v>9</v>
      </c>
      <c r="C256" s="8" t="s">
        <v>10</v>
      </c>
      <c r="D256" s="10">
        <v>44927</v>
      </c>
      <c r="E256" s="14">
        <v>45291</v>
      </c>
      <c r="F256" s="7" t="s">
        <v>460</v>
      </c>
      <c r="G256" s="11" t="s">
        <v>461</v>
      </c>
      <c r="H256" s="8">
        <v>-1067731</v>
      </c>
      <c r="I256" s="8" t="s">
        <v>13</v>
      </c>
    </row>
    <row r="257" spans="1:9" x14ac:dyDescent="0.2">
      <c r="A257" s="8">
        <v>5646942</v>
      </c>
      <c r="B257" s="8" t="s">
        <v>9</v>
      </c>
      <c r="C257" s="8" t="s">
        <v>10</v>
      </c>
      <c r="D257" s="10">
        <v>44927</v>
      </c>
      <c r="E257" s="14">
        <v>45291</v>
      </c>
      <c r="F257" s="7" t="s">
        <v>462</v>
      </c>
      <c r="G257" s="11" t="s">
        <v>463</v>
      </c>
      <c r="H257" s="8">
        <v>-59875</v>
      </c>
      <c r="I257" s="8" t="s">
        <v>13</v>
      </c>
    </row>
    <row r="258" spans="1:9" x14ac:dyDescent="0.2">
      <c r="A258" s="8">
        <v>5646943</v>
      </c>
      <c r="B258" s="8" t="s">
        <v>9</v>
      </c>
      <c r="C258" s="8" t="s">
        <v>10</v>
      </c>
      <c r="D258" s="10">
        <v>44927</v>
      </c>
      <c r="E258" s="14">
        <v>45291</v>
      </c>
      <c r="F258" s="7" t="s">
        <v>464</v>
      </c>
      <c r="G258" s="11" t="s">
        <v>465</v>
      </c>
      <c r="H258" s="8">
        <v>-124516</v>
      </c>
      <c r="I258" s="8" t="s">
        <v>13</v>
      </c>
    </row>
    <row r="259" spans="1:9" x14ac:dyDescent="0.2">
      <c r="A259" s="8">
        <v>5646944</v>
      </c>
      <c r="B259" s="8" t="s">
        <v>9</v>
      </c>
      <c r="C259" s="8" t="s">
        <v>10</v>
      </c>
      <c r="D259" s="10">
        <v>44927</v>
      </c>
      <c r="E259" s="14">
        <v>45291</v>
      </c>
      <c r="F259" s="7" t="s">
        <v>466</v>
      </c>
      <c r="G259" s="11" t="s">
        <v>467</v>
      </c>
      <c r="H259" s="8">
        <v>-5992000</v>
      </c>
      <c r="I259" s="8" t="s">
        <v>13</v>
      </c>
    </row>
    <row r="260" spans="1:9" x14ac:dyDescent="0.2">
      <c r="A260" s="8">
        <v>5646945</v>
      </c>
      <c r="B260" s="8" t="s">
        <v>9</v>
      </c>
      <c r="C260" s="8" t="s">
        <v>10</v>
      </c>
      <c r="D260" s="10">
        <v>44927</v>
      </c>
      <c r="E260" s="14">
        <v>45291</v>
      </c>
      <c r="F260" s="7" t="s">
        <v>468</v>
      </c>
      <c r="G260" s="11" t="s">
        <v>469</v>
      </c>
      <c r="H260" s="8">
        <v>9953557</v>
      </c>
      <c r="I260" s="8" t="s">
        <v>13</v>
      </c>
    </row>
    <row r="261" spans="1:9" x14ac:dyDescent="0.2">
      <c r="A261" s="8">
        <v>5646946</v>
      </c>
      <c r="B261" s="8" t="s">
        <v>9</v>
      </c>
      <c r="C261" s="8" t="s">
        <v>10</v>
      </c>
      <c r="D261" s="10">
        <v>44927</v>
      </c>
      <c r="E261" s="14">
        <v>45291</v>
      </c>
      <c r="F261" s="7" t="s">
        <v>470</v>
      </c>
      <c r="G261" s="11" t="s">
        <v>471</v>
      </c>
      <c r="H261" s="8">
        <v>-947106</v>
      </c>
      <c r="I261" s="8" t="s">
        <v>13</v>
      </c>
    </row>
    <row r="262" spans="1:9" x14ac:dyDescent="0.2">
      <c r="A262" s="8">
        <v>5646947</v>
      </c>
      <c r="B262" s="8" t="s">
        <v>9</v>
      </c>
      <c r="C262" s="8" t="s">
        <v>10</v>
      </c>
      <c r="D262" s="10">
        <v>44927</v>
      </c>
      <c r="E262" s="14">
        <v>45291</v>
      </c>
      <c r="F262" s="7" t="s">
        <v>472</v>
      </c>
      <c r="G262" s="11" t="s">
        <v>473</v>
      </c>
      <c r="H262" s="8">
        <v>0</v>
      </c>
      <c r="I262" s="8" t="s">
        <v>13</v>
      </c>
    </row>
    <row r="263" spans="1:9" x14ac:dyDescent="0.2">
      <c r="A263" s="8">
        <v>5646948</v>
      </c>
      <c r="B263" s="8" t="s">
        <v>9</v>
      </c>
      <c r="C263" s="8" t="s">
        <v>10</v>
      </c>
      <c r="D263" s="10">
        <v>44927</v>
      </c>
      <c r="E263" s="14">
        <v>45291</v>
      </c>
      <c r="F263" s="7" t="s">
        <v>474</v>
      </c>
      <c r="G263" s="11" t="s">
        <v>475</v>
      </c>
      <c r="H263" s="8">
        <v>524381</v>
      </c>
      <c r="I263" s="8" t="s">
        <v>13</v>
      </c>
    </row>
    <row r="264" spans="1:9" x14ac:dyDescent="0.2">
      <c r="A264" s="8">
        <v>5646949</v>
      </c>
      <c r="B264" s="8" t="s">
        <v>9</v>
      </c>
      <c r="C264" s="8" t="s">
        <v>10</v>
      </c>
      <c r="D264" s="10">
        <v>44927</v>
      </c>
      <c r="E264" s="14">
        <v>45291</v>
      </c>
      <c r="F264" s="7" t="s">
        <v>476</v>
      </c>
      <c r="G264" s="11" t="s">
        <v>477</v>
      </c>
      <c r="H264" s="8">
        <v>-18867618</v>
      </c>
      <c r="I264" s="8" t="s">
        <v>13</v>
      </c>
    </row>
    <row r="265" spans="1:9" x14ac:dyDescent="0.2">
      <c r="A265" s="8">
        <v>5646950</v>
      </c>
      <c r="B265" s="8" t="s">
        <v>9</v>
      </c>
      <c r="C265" s="8" t="s">
        <v>10</v>
      </c>
      <c r="D265" s="10">
        <v>44927</v>
      </c>
      <c r="E265" s="14">
        <v>45291</v>
      </c>
      <c r="F265" s="7" t="s">
        <v>478</v>
      </c>
      <c r="G265" s="11" t="s">
        <v>479</v>
      </c>
      <c r="H265" s="8">
        <v>16744695</v>
      </c>
      <c r="I265" s="8" t="s">
        <v>13</v>
      </c>
    </row>
    <row r="266" spans="1:9" x14ac:dyDescent="0.2">
      <c r="A266" s="8">
        <v>5646951</v>
      </c>
      <c r="B266" s="8" t="s">
        <v>9</v>
      </c>
      <c r="C266" s="8" t="s">
        <v>10</v>
      </c>
      <c r="D266" s="10">
        <v>44927</v>
      </c>
      <c r="E266" s="14">
        <v>45291</v>
      </c>
      <c r="F266" s="7" t="s">
        <v>480</v>
      </c>
      <c r="G266" s="11" t="s">
        <v>481</v>
      </c>
      <c r="H266" s="8">
        <v>0</v>
      </c>
      <c r="I266" s="8" t="s">
        <v>13</v>
      </c>
    </row>
    <row r="267" spans="1:9" x14ac:dyDescent="0.2">
      <c r="A267" s="8">
        <v>5646952</v>
      </c>
      <c r="B267" s="8" t="s">
        <v>9</v>
      </c>
      <c r="C267" s="8" t="s">
        <v>10</v>
      </c>
      <c r="D267" s="10">
        <v>44927</v>
      </c>
      <c r="E267" s="14">
        <v>45291</v>
      </c>
      <c r="F267" s="7" t="s">
        <v>482</v>
      </c>
      <c r="G267" s="11" t="s">
        <v>483</v>
      </c>
      <c r="H267" s="8">
        <v>0</v>
      </c>
      <c r="I267" s="8" t="s">
        <v>13</v>
      </c>
    </row>
    <row r="268" spans="1:9" x14ac:dyDescent="0.2">
      <c r="A268" s="8">
        <v>5646953</v>
      </c>
      <c r="B268" s="8" t="s">
        <v>9</v>
      </c>
      <c r="C268" s="8" t="s">
        <v>10</v>
      </c>
      <c r="D268" s="10">
        <v>44927</v>
      </c>
      <c r="E268" s="14">
        <v>45291</v>
      </c>
      <c r="F268" s="7" t="s">
        <v>484</v>
      </c>
      <c r="G268" s="11" t="s">
        <v>485</v>
      </c>
      <c r="H268" s="8">
        <v>211979</v>
      </c>
      <c r="I268" s="8" t="s">
        <v>13</v>
      </c>
    </row>
    <row r="269" spans="1:9" x14ac:dyDescent="0.2">
      <c r="A269" s="8">
        <v>5646954</v>
      </c>
      <c r="B269" s="8" t="s">
        <v>9</v>
      </c>
      <c r="C269" s="8" t="s">
        <v>10</v>
      </c>
      <c r="D269" s="10">
        <v>44927</v>
      </c>
      <c r="E269" s="14">
        <v>45291</v>
      </c>
      <c r="F269" s="7" t="s">
        <v>486</v>
      </c>
      <c r="G269" s="11" t="s">
        <v>487</v>
      </c>
      <c r="H269" s="8">
        <v>0</v>
      </c>
      <c r="I269" s="8" t="s">
        <v>13</v>
      </c>
    </row>
    <row r="270" spans="1:9" x14ac:dyDescent="0.2">
      <c r="A270" s="8">
        <v>5646955</v>
      </c>
      <c r="B270" s="8" t="s">
        <v>9</v>
      </c>
      <c r="C270" s="8" t="s">
        <v>10</v>
      </c>
      <c r="D270" s="10">
        <v>44927</v>
      </c>
      <c r="E270" s="14">
        <v>45291</v>
      </c>
      <c r="F270" s="7" t="s">
        <v>488</v>
      </c>
      <c r="G270" s="11" t="s">
        <v>489</v>
      </c>
      <c r="H270" s="8">
        <v>12287226</v>
      </c>
      <c r="I270" s="8" t="s">
        <v>13</v>
      </c>
    </row>
    <row r="271" spans="1:9" x14ac:dyDescent="0.2">
      <c r="A271" s="8">
        <v>5646956</v>
      </c>
      <c r="B271" s="8" t="s">
        <v>9</v>
      </c>
      <c r="C271" s="8" t="s">
        <v>10</v>
      </c>
      <c r="D271" s="10">
        <v>44927</v>
      </c>
      <c r="E271" s="14">
        <v>45291</v>
      </c>
      <c r="F271" s="7" t="s">
        <v>490</v>
      </c>
      <c r="G271" s="11" t="s">
        <v>491</v>
      </c>
      <c r="H271" s="8">
        <v>-7761759</v>
      </c>
      <c r="I271" s="8" t="s">
        <v>13</v>
      </c>
    </row>
    <row r="272" spans="1:9" x14ac:dyDescent="0.2">
      <c r="A272" s="8">
        <v>5646957</v>
      </c>
      <c r="B272" s="8" t="s">
        <v>9</v>
      </c>
      <c r="C272" s="8" t="s">
        <v>10</v>
      </c>
      <c r="D272" s="10">
        <v>44927</v>
      </c>
      <c r="E272" s="14">
        <v>45291</v>
      </c>
      <c r="F272" s="7" t="s">
        <v>492</v>
      </c>
      <c r="G272" s="11" t="s">
        <v>493</v>
      </c>
      <c r="H272" s="8">
        <v>-8057650</v>
      </c>
      <c r="I272" s="8" t="s">
        <v>13</v>
      </c>
    </row>
    <row r="273" spans="1:9" x14ac:dyDescent="0.2">
      <c r="A273" s="8">
        <v>5646958</v>
      </c>
      <c r="B273" s="8" t="s">
        <v>9</v>
      </c>
      <c r="C273" s="8" t="s">
        <v>10</v>
      </c>
      <c r="D273" s="10">
        <v>44927</v>
      </c>
      <c r="E273" s="14">
        <v>45291</v>
      </c>
      <c r="F273" s="7" t="s">
        <v>494</v>
      </c>
      <c r="G273" s="11" t="s">
        <v>495</v>
      </c>
      <c r="H273" s="8">
        <v>1494101</v>
      </c>
      <c r="I273" s="8" t="s">
        <v>13</v>
      </c>
    </row>
    <row r="274" spans="1:9" x14ac:dyDescent="0.2">
      <c r="A274" s="8">
        <v>5646959</v>
      </c>
      <c r="B274" s="8" t="s">
        <v>9</v>
      </c>
      <c r="C274" s="8" t="s">
        <v>10</v>
      </c>
      <c r="D274" s="10">
        <v>44927</v>
      </c>
      <c r="E274" s="14">
        <v>45291</v>
      </c>
      <c r="F274" s="7" t="s">
        <v>496</v>
      </c>
      <c r="G274" s="11" t="s">
        <v>497</v>
      </c>
      <c r="H274" s="8">
        <v>0</v>
      </c>
      <c r="I274" s="8" t="s">
        <v>13</v>
      </c>
    </row>
    <row r="275" spans="1:9" x14ac:dyDescent="0.2">
      <c r="A275" s="8">
        <v>5646960</v>
      </c>
      <c r="B275" s="8" t="s">
        <v>9</v>
      </c>
      <c r="C275" s="8" t="s">
        <v>10</v>
      </c>
      <c r="D275" s="10">
        <v>44927</v>
      </c>
      <c r="E275" s="14">
        <v>45291</v>
      </c>
      <c r="F275" s="7" t="s">
        <v>498</v>
      </c>
      <c r="G275" s="11" t="s">
        <v>499</v>
      </c>
      <c r="H275" s="8">
        <v>0</v>
      </c>
      <c r="I275" s="8" t="s">
        <v>13</v>
      </c>
    </row>
    <row r="276" spans="1:9" x14ac:dyDescent="0.2">
      <c r="A276" s="8">
        <v>5646961</v>
      </c>
      <c r="B276" s="8" t="s">
        <v>9</v>
      </c>
      <c r="C276" s="8" t="s">
        <v>10</v>
      </c>
      <c r="D276" s="10">
        <v>44927</v>
      </c>
      <c r="E276" s="14">
        <v>45291</v>
      </c>
      <c r="F276" s="7" t="s">
        <v>500</v>
      </c>
      <c r="G276" s="11" t="s">
        <v>501</v>
      </c>
      <c r="H276" s="8">
        <v>-310870</v>
      </c>
      <c r="I276" s="8" t="s">
        <v>13</v>
      </c>
    </row>
    <row r="277" spans="1:9" x14ac:dyDescent="0.2">
      <c r="A277" s="8">
        <v>5646962</v>
      </c>
      <c r="B277" s="8" t="s">
        <v>9</v>
      </c>
      <c r="C277" s="8" t="s">
        <v>10</v>
      </c>
      <c r="D277" s="10">
        <v>44927</v>
      </c>
      <c r="E277" s="14">
        <v>45291</v>
      </c>
      <c r="F277" s="7" t="s">
        <v>502</v>
      </c>
      <c r="G277" s="11" t="s">
        <v>503</v>
      </c>
      <c r="H277" s="8">
        <v>-303313</v>
      </c>
      <c r="I277" s="8" t="s">
        <v>13</v>
      </c>
    </row>
    <row r="278" spans="1:9" x14ac:dyDescent="0.2">
      <c r="A278" s="8">
        <v>5646963</v>
      </c>
      <c r="B278" s="8" t="s">
        <v>9</v>
      </c>
      <c r="C278" s="8" t="s">
        <v>10</v>
      </c>
      <c r="D278" s="10">
        <v>44927</v>
      </c>
      <c r="E278" s="14">
        <v>45291</v>
      </c>
      <c r="F278" s="7" t="s">
        <v>504</v>
      </c>
      <c r="G278" s="11" t="s">
        <v>505</v>
      </c>
      <c r="H278" s="8">
        <v>91</v>
      </c>
      <c r="I278" s="8" t="s">
        <v>13</v>
      </c>
    </row>
    <row r="279" spans="1:9" x14ac:dyDescent="0.2">
      <c r="A279" s="8">
        <v>5646964</v>
      </c>
      <c r="B279" s="8" t="s">
        <v>9</v>
      </c>
      <c r="C279" s="8" t="s">
        <v>10</v>
      </c>
      <c r="D279" s="10">
        <v>44927</v>
      </c>
      <c r="E279" s="14">
        <v>45291</v>
      </c>
      <c r="F279" s="7" t="s">
        <v>506</v>
      </c>
      <c r="G279" s="11" t="s">
        <v>507</v>
      </c>
      <c r="H279" s="8">
        <v>0</v>
      </c>
      <c r="I279" s="8" t="s">
        <v>13</v>
      </c>
    </row>
    <row r="280" spans="1:9" x14ac:dyDescent="0.2">
      <c r="A280" s="8">
        <v>5646965</v>
      </c>
      <c r="B280" s="8" t="s">
        <v>9</v>
      </c>
      <c r="C280" s="8" t="s">
        <v>10</v>
      </c>
      <c r="D280" s="10">
        <v>44927</v>
      </c>
      <c r="E280" s="14">
        <v>45291</v>
      </c>
      <c r="F280" s="7" t="s">
        <v>508</v>
      </c>
      <c r="G280" s="11" t="s">
        <v>509</v>
      </c>
      <c r="H280" s="8">
        <v>-584118</v>
      </c>
      <c r="I280" s="8" t="s">
        <v>13</v>
      </c>
    </row>
    <row r="281" spans="1:9" x14ac:dyDescent="0.2">
      <c r="A281" s="8">
        <v>5646966</v>
      </c>
      <c r="B281" s="8" t="s">
        <v>9</v>
      </c>
      <c r="C281" s="8" t="s">
        <v>10</v>
      </c>
      <c r="D281" s="10">
        <v>44927</v>
      </c>
      <c r="E281" s="14">
        <v>45291</v>
      </c>
      <c r="F281" s="7" t="s">
        <v>510</v>
      </c>
      <c r="G281" s="11" t="s">
        <v>511</v>
      </c>
      <c r="H281" s="8">
        <v>-288894</v>
      </c>
      <c r="I281" s="8" t="s">
        <v>13</v>
      </c>
    </row>
    <row r="282" spans="1:9" x14ac:dyDescent="0.2">
      <c r="A282" s="8">
        <v>5646967</v>
      </c>
      <c r="B282" s="8" t="s">
        <v>9</v>
      </c>
      <c r="C282" s="8" t="s">
        <v>10</v>
      </c>
      <c r="D282" s="10">
        <v>44927</v>
      </c>
      <c r="E282" s="14">
        <v>45291</v>
      </c>
      <c r="F282" s="7" t="s">
        <v>512</v>
      </c>
      <c r="G282" s="11" t="s">
        <v>513</v>
      </c>
      <c r="H282" s="8">
        <v>-444769</v>
      </c>
      <c r="I282" s="8" t="s">
        <v>13</v>
      </c>
    </row>
    <row r="283" spans="1:9" x14ac:dyDescent="0.2">
      <c r="A283" s="8">
        <v>5646968</v>
      </c>
      <c r="B283" s="8" t="s">
        <v>9</v>
      </c>
      <c r="C283" s="8" t="s">
        <v>10</v>
      </c>
      <c r="D283" s="10">
        <v>44927</v>
      </c>
      <c r="E283" s="14">
        <v>45291</v>
      </c>
      <c r="F283" s="7" t="s">
        <v>514</v>
      </c>
      <c r="G283" s="11" t="s">
        <v>515</v>
      </c>
      <c r="H283" s="8">
        <v>4195713</v>
      </c>
      <c r="I283" s="8" t="s">
        <v>13</v>
      </c>
    </row>
    <row r="284" spans="1:9" x14ac:dyDescent="0.2">
      <c r="A284" s="8">
        <v>5646969</v>
      </c>
      <c r="B284" s="8" t="s">
        <v>9</v>
      </c>
      <c r="C284" s="8" t="s">
        <v>10</v>
      </c>
      <c r="D284" s="10">
        <v>44927</v>
      </c>
      <c r="E284" s="14">
        <v>45291</v>
      </c>
      <c r="F284" s="7" t="s">
        <v>516</v>
      </c>
      <c r="G284" s="11" t="s">
        <v>517</v>
      </c>
      <c r="H284" s="8">
        <v>3750944</v>
      </c>
      <c r="I284" s="8" t="s">
        <v>13</v>
      </c>
    </row>
    <row r="285" spans="1:9" x14ac:dyDescent="0.2">
      <c r="A285" s="8">
        <v>5646970</v>
      </c>
      <c r="B285" s="8" t="s">
        <v>9</v>
      </c>
      <c r="C285" s="8" t="s">
        <v>10</v>
      </c>
      <c r="D285" s="10">
        <v>44927</v>
      </c>
      <c r="E285" s="14">
        <v>45291</v>
      </c>
      <c r="F285" s="7" t="s">
        <v>518</v>
      </c>
      <c r="G285" s="11" t="s">
        <v>519</v>
      </c>
      <c r="H285" s="8">
        <v>32811076</v>
      </c>
      <c r="I285" s="8" t="s">
        <v>13</v>
      </c>
    </row>
    <row r="286" spans="1:9" x14ac:dyDescent="0.2">
      <c r="A286" s="8">
        <v>5646971</v>
      </c>
      <c r="B286" s="8" t="s">
        <v>9</v>
      </c>
      <c r="C286" s="8" t="s">
        <v>10</v>
      </c>
      <c r="D286" s="10">
        <v>44927</v>
      </c>
      <c r="E286" s="14">
        <v>45291</v>
      </c>
      <c r="F286" s="7" t="s">
        <v>520</v>
      </c>
      <c r="G286" s="11" t="s">
        <v>521</v>
      </c>
      <c r="H286" s="8">
        <v>34264264</v>
      </c>
      <c r="I286" s="8" t="s">
        <v>13</v>
      </c>
    </row>
    <row r="287" spans="1:9" x14ac:dyDescent="0.2">
      <c r="A287" s="8">
        <v>5646972</v>
      </c>
      <c r="B287" s="8" t="s">
        <v>9</v>
      </c>
      <c r="C287" s="8" t="s">
        <v>10</v>
      </c>
      <c r="D287" s="10">
        <v>44927</v>
      </c>
      <c r="E287" s="14">
        <v>45291</v>
      </c>
      <c r="F287" s="7" t="s">
        <v>522</v>
      </c>
      <c r="G287" s="11" t="s">
        <v>523</v>
      </c>
      <c r="H287" s="8">
        <v>-847314</v>
      </c>
      <c r="I287" s="8" t="s">
        <v>13</v>
      </c>
    </row>
    <row r="288" spans="1:9" x14ac:dyDescent="0.2">
      <c r="A288" s="8">
        <v>5646973</v>
      </c>
      <c r="B288" s="8" t="s">
        <v>9</v>
      </c>
      <c r="C288" s="8" t="s">
        <v>10</v>
      </c>
      <c r="D288" s="10">
        <v>44927</v>
      </c>
      <c r="E288" s="14">
        <v>45291</v>
      </c>
      <c r="F288" s="7" t="s">
        <v>524</v>
      </c>
      <c r="G288" s="11" t="s">
        <v>525</v>
      </c>
      <c r="H288" s="8">
        <v>0</v>
      </c>
      <c r="I288" s="8" t="s">
        <v>13</v>
      </c>
    </row>
    <row r="289" spans="1:9" x14ac:dyDescent="0.2">
      <c r="A289" s="8">
        <v>5646974</v>
      </c>
      <c r="B289" s="8" t="s">
        <v>9</v>
      </c>
      <c r="C289" s="8" t="s">
        <v>10</v>
      </c>
      <c r="D289" s="10">
        <v>44927</v>
      </c>
      <c r="E289" s="14">
        <v>45291</v>
      </c>
      <c r="F289" s="7" t="s">
        <v>526</v>
      </c>
      <c r="G289" s="11" t="s">
        <v>527</v>
      </c>
      <c r="H289" s="8">
        <v>-605874</v>
      </c>
      <c r="I289" s="8" t="s">
        <v>13</v>
      </c>
    </row>
    <row r="290" spans="1:9" x14ac:dyDescent="0.2">
      <c r="A290" s="8">
        <v>5646975</v>
      </c>
      <c r="B290" s="8" t="s">
        <v>9</v>
      </c>
      <c r="C290" s="8" t="s">
        <v>10</v>
      </c>
      <c r="D290" s="10">
        <v>44927</v>
      </c>
      <c r="E290" s="14">
        <v>45291</v>
      </c>
      <c r="F290" s="7" t="s">
        <v>528</v>
      </c>
      <c r="G290" s="11" t="s">
        <v>529</v>
      </c>
      <c r="H290" s="8">
        <v>-22165504</v>
      </c>
      <c r="I290" s="8" t="s">
        <v>13</v>
      </c>
    </row>
    <row r="291" spans="1:9" x14ac:dyDescent="0.2">
      <c r="A291" s="8">
        <v>5646976</v>
      </c>
      <c r="B291" s="8" t="s">
        <v>9</v>
      </c>
      <c r="C291" s="8" t="s">
        <v>10</v>
      </c>
      <c r="D291" s="10">
        <v>44927</v>
      </c>
      <c r="E291" s="14">
        <v>45291</v>
      </c>
      <c r="F291" s="7" t="s">
        <v>530</v>
      </c>
      <c r="G291" s="11" t="s">
        <v>531</v>
      </c>
      <c r="H291" s="8">
        <v>-12215611</v>
      </c>
      <c r="I291" s="8" t="s">
        <v>13</v>
      </c>
    </row>
    <row r="292" spans="1:9" x14ac:dyDescent="0.2">
      <c r="A292" s="8">
        <v>5646977</v>
      </c>
      <c r="B292" s="8" t="s">
        <v>9</v>
      </c>
      <c r="C292" s="8" t="s">
        <v>10</v>
      </c>
      <c r="D292" s="10">
        <v>44927</v>
      </c>
      <c r="E292" s="14">
        <v>45291</v>
      </c>
      <c r="F292" s="7" t="s">
        <v>532</v>
      </c>
      <c r="G292" s="11" t="s">
        <v>533</v>
      </c>
      <c r="H292" s="8">
        <v>-9263961</v>
      </c>
      <c r="I292" s="8" t="s">
        <v>13</v>
      </c>
    </row>
    <row r="293" spans="1:9" x14ac:dyDescent="0.2">
      <c r="A293" s="8">
        <v>5646978</v>
      </c>
      <c r="B293" s="8" t="s">
        <v>9</v>
      </c>
      <c r="C293" s="8" t="s">
        <v>10</v>
      </c>
      <c r="D293" s="10">
        <v>44927</v>
      </c>
      <c r="E293" s="14">
        <v>45291</v>
      </c>
      <c r="F293" s="7" t="s">
        <v>534</v>
      </c>
      <c r="G293" s="11" t="s">
        <v>535</v>
      </c>
      <c r="H293" s="8">
        <v>-685932</v>
      </c>
      <c r="I293" s="8" t="s">
        <v>13</v>
      </c>
    </row>
    <row r="294" spans="1:9" x14ac:dyDescent="0.2">
      <c r="A294" s="8">
        <v>5646979</v>
      </c>
      <c r="B294" s="8" t="s">
        <v>9</v>
      </c>
      <c r="C294" s="8" t="s">
        <v>10</v>
      </c>
      <c r="D294" s="10">
        <v>44927</v>
      </c>
      <c r="E294" s="14">
        <v>45291</v>
      </c>
      <c r="F294" s="7" t="s">
        <v>536</v>
      </c>
      <c r="G294" s="11" t="s">
        <v>59</v>
      </c>
      <c r="H294" s="8">
        <v>0</v>
      </c>
      <c r="I294" s="8" t="s">
        <v>13</v>
      </c>
    </row>
    <row r="295" spans="1:9" x14ac:dyDescent="0.2">
      <c r="A295" s="8">
        <v>5646980</v>
      </c>
      <c r="B295" s="8" t="s">
        <v>9</v>
      </c>
      <c r="C295" s="8" t="s">
        <v>10</v>
      </c>
      <c r="D295" s="10">
        <v>44927</v>
      </c>
      <c r="E295" s="14">
        <v>45291</v>
      </c>
      <c r="F295" s="7" t="s">
        <v>537</v>
      </c>
      <c r="G295" s="11" t="s">
        <v>538</v>
      </c>
      <c r="H295" s="8">
        <v>10645572</v>
      </c>
      <c r="I295" s="8" t="s">
        <v>13</v>
      </c>
    </row>
    <row r="296" spans="1:9" x14ac:dyDescent="0.2">
      <c r="A296" s="8">
        <v>5646981</v>
      </c>
      <c r="B296" s="8" t="s">
        <v>9</v>
      </c>
      <c r="C296" s="8" t="s">
        <v>10</v>
      </c>
      <c r="D296" s="10">
        <v>44927</v>
      </c>
      <c r="E296" s="14">
        <v>45291</v>
      </c>
      <c r="F296" s="7" t="s">
        <v>539</v>
      </c>
      <c r="G296" s="11" t="s">
        <v>540</v>
      </c>
      <c r="H296" s="8">
        <v>-1587856</v>
      </c>
      <c r="I296" s="8" t="s">
        <v>13</v>
      </c>
    </row>
    <row r="297" spans="1:9" x14ac:dyDescent="0.2">
      <c r="A297" s="8">
        <v>5646982</v>
      </c>
      <c r="B297" s="8" t="s">
        <v>9</v>
      </c>
      <c r="C297" s="8" t="s">
        <v>10</v>
      </c>
      <c r="D297" s="10">
        <v>44927</v>
      </c>
      <c r="E297" s="14">
        <v>45291</v>
      </c>
      <c r="F297" s="7" t="s">
        <v>541</v>
      </c>
      <c r="G297" s="11" t="s">
        <v>542</v>
      </c>
      <c r="H297" s="8">
        <v>-1587856</v>
      </c>
      <c r="I297" s="8" t="s">
        <v>13</v>
      </c>
    </row>
    <row r="298" spans="1:9" x14ac:dyDescent="0.2">
      <c r="A298" s="8">
        <v>5646983</v>
      </c>
      <c r="B298" s="8" t="s">
        <v>9</v>
      </c>
      <c r="C298" s="8" t="s">
        <v>10</v>
      </c>
      <c r="D298" s="10">
        <v>44927</v>
      </c>
      <c r="E298" s="14">
        <v>45291</v>
      </c>
      <c r="F298" s="7" t="s">
        <v>543</v>
      </c>
      <c r="G298" s="11" t="s">
        <v>544</v>
      </c>
      <c r="H298" s="8">
        <v>0</v>
      </c>
      <c r="I298" s="8" t="s">
        <v>13</v>
      </c>
    </row>
    <row r="299" spans="1:9" x14ac:dyDescent="0.2">
      <c r="A299" s="8">
        <v>5646984</v>
      </c>
      <c r="B299" s="8" t="s">
        <v>9</v>
      </c>
      <c r="C299" s="8" t="s">
        <v>10</v>
      </c>
      <c r="D299" s="10">
        <v>44927</v>
      </c>
      <c r="E299" s="14">
        <v>45291</v>
      </c>
      <c r="F299" s="7" t="s">
        <v>545</v>
      </c>
      <c r="G299" s="11" t="s">
        <v>546</v>
      </c>
      <c r="H299" s="8">
        <v>9057716</v>
      </c>
      <c r="I299" s="8" t="s">
        <v>13</v>
      </c>
    </row>
    <row r="300" spans="1:9" x14ac:dyDescent="0.2">
      <c r="A300" s="8">
        <v>5646985</v>
      </c>
      <c r="B300" s="8" t="s">
        <v>9</v>
      </c>
      <c r="C300" s="8" t="s">
        <v>10</v>
      </c>
      <c r="D300" s="10">
        <v>44927</v>
      </c>
      <c r="E300" s="14">
        <v>45291</v>
      </c>
      <c r="F300" s="7" t="s">
        <v>547</v>
      </c>
      <c r="G300" s="11" t="s">
        <v>548</v>
      </c>
      <c r="H300" s="8">
        <v>16593181</v>
      </c>
      <c r="I300" s="8" t="s">
        <v>13</v>
      </c>
    </row>
    <row r="301" spans="1:9" x14ac:dyDescent="0.2">
      <c r="A301" s="8">
        <v>5646986</v>
      </c>
      <c r="B301" s="8" t="s">
        <v>9</v>
      </c>
      <c r="C301" s="8" t="s">
        <v>10</v>
      </c>
      <c r="D301" s="10">
        <v>44927</v>
      </c>
      <c r="E301" s="14">
        <v>45291</v>
      </c>
      <c r="F301" s="7" t="s">
        <v>549</v>
      </c>
      <c r="G301" s="11" t="s">
        <v>349</v>
      </c>
      <c r="H301" s="8">
        <v>0</v>
      </c>
      <c r="I301" s="8" t="s">
        <v>13</v>
      </c>
    </row>
    <row r="302" spans="1:9" x14ac:dyDescent="0.2">
      <c r="A302" s="8">
        <v>5646987</v>
      </c>
      <c r="B302" s="8" t="s">
        <v>9</v>
      </c>
      <c r="C302" s="8" t="s">
        <v>10</v>
      </c>
      <c r="D302" s="10">
        <v>44927</v>
      </c>
      <c r="E302" s="14">
        <v>45291</v>
      </c>
      <c r="F302" s="7" t="s">
        <v>550</v>
      </c>
      <c r="G302" s="11" t="s">
        <v>355</v>
      </c>
      <c r="H302" s="8">
        <v>11036724</v>
      </c>
      <c r="I302" s="8" t="s">
        <v>13</v>
      </c>
    </row>
    <row r="303" spans="1:9" x14ac:dyDescent="0.2">
      <c r="A303" s="8">
        <v>5646988</v>
      </c>
      <c r="B303" s="8" t="s">
        <v>9</v>
      </c>
      <c r="C303" s="8" t="s">
        <v>10</v>
      </c>
      <c r="D303" s="10">
        <v>44927</v>
      </c>
      <c r="E303" s="14">
        <v>45291</v>
      </c>
      <c r="F303" s="7" t="s">
        <v>551</v>
      </c>
      <c r="G303" s="11" t="s">
        <v>59</v>
      </c>
      <c r="H303" s="8">
        <v>5556457</v>
      </c>
      <c r="I303" s="8" t="s">
        <v>13</v>
      </c>
    </row>
    <row r="304" spans="1:9" x14ac:dyDescent="0.2">
      <c r="A304" s="8">
        <v>5646989</v>
      </c>
      <c r="B304" s="8" t="s">
        <v>9</v>
      </c>
      <c r="C304" s="8" t="s">
        <v>10</v>
      </c>
      <c r="D304" s="10">
        <v>44927</v>
      </c>
      <c r="E304" s="14">
        <v>45291</v>
      </c>
      <c r="F304" s="7" t="s">
        <v>552</v>
      </c>
      <c r="G304" s="11" t="s">
        <v>553</v>
      </c>
      <c r="H304" s="8">
        <v>5556457</v>
      </c>
      <c r="I304" s="8" t="s">
        <v>13</v>
      </c>
    </row>
    <row r="305" spans="1:9" x14ac:dyDescent="0.2">
      <c r="A305" s="8">
        <v>5646990</v>
      </c>
      <c r="B305" s="8" t="s">
        <v>9</v>
      </c>
      <c r="C305" s="8" t="s">
        <v>10</v>
      </c>
      <c r="D305" s="10">
        <v>44927</v>
      </c>
      <c r="E305" s="14">
        <v>45291</v>
      </c>
      <c r="F305" s="7" t="s">
        <v>554</v>
      </c>
      <c r="G305" s="11" t="s">
        <v>555</v>
      </c>
      <c r="H305" s="8">
        <v>25650897</v>
      </c>
      <c r="I305" s="8" t="s">
        <v>13</v>
      </c>
    </row>
    <row r="306" spans="1:9" x14ac:dyDescent="0.2">
      <c r="A306" s="8">
        <v>5646991</v>
      </c>
      <c r="B306" s="8" t="s">
        <v>9</v>
      </c>
      <c r="C306" s="8" t="s">
        <v>10</v>
      </c>
      <c r="D306" s="10">
        <v>44927</v>
      </c>
      <c r="E306" s="14">
        <v>45291</v>
      </c>
      <c r="F306" s="7" t="s">
        <v>556</v>
      </c>
      <c r="G306" s="11" t="s">
        <v>557</v>
      </c>
      <c r="H306" s="8">
        <v>25650897</v>
      </c>
      <c r="I306" s="8" t="s">
        <v>13</v>
      </c>
    </row>
    <row r="307" spans="1:9" x14ac:dyDescent="0.2">
      <c r="A307" s="8">
        <v>5646992</v>
      </c>
      <c r="B307" s="8" t="s">
        <v>9</v>
      </c>
      <c r="C307" s="8" t="s">
        <v>10</v>
      </c>
      <c r="D307" s="10">
        <v>44927</v>
      </c>
      <c r="E307" s="14">
        <v>45291</v>
      </c>
      <c r="F307" s="7" t="s">
        <v>558</v>
      </c>
      <c r="G307" s="11" t="s">
        <v>559</v>
      </c>
      <c r="H307" s="8">
        <v>4833357</v>
      </c>
      <c r="I307" s="8" t="s">
        <v>13</v>
      </c>
    </row>
    <row r="308" spans="1:9" x14ac:dyDescent="0.2">
      <c r="A308" s="8">
        <v>5646993</v>
      </c>
      <c r="B308" s="8" t="s">
        <v>9</v>
      </c>
      <c r="C308" s="8" t="s">
        <v>10</v>
      </c>
      <c r="D308" s="10">
        <v>44927</v>
      </c>
      <c r="E308" s="14">
        <v>45291</v>
      </c>
      <c r="F308" s="7" t="s">
        <v>560</v>
      </c>
      <c r="G308" s="11" t="s">
        <v>561</v>
      </c>
      <c r="H308" s="8">
        <v>3680361</v>
      </c>
      <c r="I308" s="8" t="s">
        <v>13</v>
      </c>
    </row>
    <row r="309" spans="1:9" x14ac:dyDescent="0.2">
      <c r="A309" s="8">
        <v>5646994</v>
      </c>
      <c r="B309" s="8" t="s">
        <v>9</v>
      </c>
      <c r="C309" s="8" t="s">
        <v>10</v>
      </c>
      <c r="D309" s="10">
        <v>44927</v>
      </c>
      <c r="E309" s="14">
        <v>45291</v>
      </c>
      <c r="F309" s="7" t="s">
        <v>562</v>
      </c>
      <c r="G309" s="11" t="s">
        <v>563</v>
      </c>
      <c r="H309" s="8">
        <v>679614</v>
      </c>
      <c r="I309" s="8" t="s">
        <v>13</v>
      </c>
    </row>
    <row r="310" spans="1:9" x14ac:dyDescent="0.2">
      <c r="A310" s="8">
        <v>5646995</v>
      </c>
      <c r="B310" s="8" t="s">
        <v>9</v>
      </c>
      <c r="C310" s="8" t="s">
        <v>10</v>
      </c>
      <c r="D310" s="10">
        <v>44927</v>
      </c>
      <c r="E310" s="14">
        <v>45291</v>
      </c>
      <c r="F310" s="7" t="s">
        <v>564</v>
      </c>
      <c r="G310" s="11" t="s">
        <v>565</v>
      </c>
      <c r="H310" s="8">
        <v>473382</v>
      </c>
      <c r="I310" s="8" t="s">
        <v>13</v>
      </c>
    </row>
    <row r="311" spans="1:9" x14ac:dyDescent="0.2">
      <c r="A311" s="8">
        <v>5646996</v>
      </c>
      <c r="B311" s="8" t="s">
        <v>9</v>
      </c>
      <c r="C311" s="8" t="s">
        <v>10</v>
      </c>
      <c r="D311" s="10">
        <v>44927</v>
      </c>
      <c r="E311" s="14">
        <v>45291</v>
      </c>
      <c r="F311" s="7" t="s">
        <v>566</v>
      </c>
      <c r="G311" s="11" t="s">
        <v>59</v>
      </c>
      <c r="H311" s="8">
        <v>0</v>
      </c>
      <c r="I311" s="8" t="s">
        <v>13</v>
      </c>
    </row>
    <row r="312" spans="1:9" x14ac:dyDescent="0.2">
      <c r="A312" s="8">
        <v>5646997</v>
      </c>
      <c r="B312" s="8" t="s">
        <v>9</v>
      </c>
      <c r="C312" s="8" t="s">
        <v>10</v>
      </c>
      <c r="D312" s="10">
        <v>44927</v>
      </c>
      <c r="E312" s="14">
        <v>45291</v>
      </c>
      <c r="F312" s="7" t="s">
        <v>567</v>
      </c>
      <c r="G312" s="11" t="s">
        <v>568</v>
      </c>
      <c r="H312" s="8">
        <v>4104036</v>
      </c>
      <c r="I312" s="8" t="s">
        <v>13</v>
      </c>
    </row>
    <row r="313" spans="1:9" x14ac:dyDescent="0.2">
      <c r="A313" s="8">
        <v>5646998</v>
      </c>
      <c r="B313" s="8" t="s">
        <v>9</v>
      </c>
      <c r="C313" s="8" t="s">
        <v>10</v>
      </c>
      <c r="D313" s="10">
        <v>44927</v>
      </c>
      <c r="E313" s="14">
        <v>45291</v>
      </c>
      <c r="F313" s="7" t="s">
        <v>569</v>
      </c>
      <c r="G313" s="11" t="s">
        <v>570</v>
      </c>
      <c r="H313" s="8">
        <v>-1033468</v>
      </c>
      <c r="I313" s="8" t="s">
        <v>13</v>
      </c>
    </row>
    <row r="314" spans="1:9" x14ac:dyDescent="0.2">
      <c r="A314" s="8">
        <v>5646999</v>
      </c>
      <c r="B314" s="8" t="s">
        <v>9</v>
      </c>
      <c r="C314" s="8" t="s">
        <v>10</v>
      </c>
      <c r="D314" s="10">
        <v>44927</v>
      </c>
      <c r="E314" s="14">
        <v>45291</v>
      </c>
      <c r="F314" s="7" t="s">
        <v>571</v>
      </c>
      <c r="G314" s="11" t="s">
        <v>572</v>
      </c>
      <c r="H314" s="8">
        <v>5137497</v>
      </c>
      <c r="I314" s="8" t="s">
        <v>13</v>
      </c>
    </row>
    <row r="315" spans="1:9" x14ac:dyDescent="0.2">
      <c r="A315" s="8">
        <v>5647000</v>
      </c>
      <c r="B315" s="8" t="s">
        <v>9</v>
      </c>
      <c r="C315" s="8" t="s">
        <v>10</v>
      </c>
      <c r="D315" s="10">
        <v>44927</v>
      </c>
      <c r="E315" s="14">
        <v>45291</v>
      </c>
      <c r="F315" s="7" t="s">
        <v>573</v>
      </c>
      <c r="G315" s="11" t="s">
        <v>574</v>
      </c>
      <c r="H315" s="8">
        <v>7</v>
      </c>
      <c r="I315" s="8" t="s">
        <v>13</v>
      </c>
    </row>
    <row r="316" spans="1:9" x14ac:dyDescent="0.2">
      <c r="A316" s="8">
        <v>5647001</v>
      </c>
      <c r="B316" s="8" t="s">
        <v>9</v>
      </c>
      <c r="C316" s="8" t="s">
        <v>10</v>
      </c>
      <c r="D316" s="10">
        <v>44927</v>
      </c>
      <c r="E316" s="14">
        <v>45291</v>
      </c>
      <c r="F316" s="7" t="s">
        <v>575</v>
      </c>
      <c r="G316" s="11" t="s">
        <v>576</v>
      </c>
      <c r="H316" s="8">
        <v>13738994</v>
      </c>
      <c r="I316" s="8" t="s">
        <v>13</v>
      </c>
    </row>
    <row r="317" spans="1:9" x14ac:dyDescent="0.2">
      <c r="A317" s="8">
        <v>5647002</v>
      </c>
      <c r="B317" s="8" t="s">
        <v>9</v>
      </c>
      <c r="C317" s="8" t="s">
        <v>10</v>
      </c>
      <c r="D317" s="10">
        <v>44927</v>
      </c>
      <c r="E317" s="14">
        <v>45291</v>
      </c>
      <c r="F317" s="7" t="s">
        <v>577</v>
      </c>
      <c r="G317" s="11" t="s">
        <v>578</v>
      </c>
      <c r="H317" s="8">
        <v>13550223</v>
      </c>
      <c r="I317" s="8" t="s">
        <v>13</v>
      </c>
    </row>
    <row r="318" spans="1:9" x14ac:dyDescent="0.2">
      <c r="A318" s="8">
        <v>5647003</v>
      </c>
      <c r="B318" s="8" t="s">
        <v>9</v>
      </c>
      <c r="C318" s="8" t="s">
        <v>10</v>
      </c>
      <c r="D318" s="10">
        <v>44927</v>
      </c>
      <c r="E318" s="14">
        <v>45291</v>
      </c>
      <c r="F318" s="7" t="s">
        <v>579</v>
      </c>
      <c r="G318" s="11" t="s">
        <v>580</v>
      </c>
      <c r="H318" s="8">
        <v>50376</v>
      </c>
      <c r="I318" s="8" t="s">
        <v>13</v>
      </c>
    </row>
    <row r="319" spans="1:9" x14ac:dyDescent="0.2">
      <c r="A319" s="8">
        <v>5647004</v>
      </c>
      <c r="B319" s="8" t="s">
        <v>9</v>
      </c>
      <c r="C319" s="8" t="s">
        <v>10</v>
      </c>
      <c r="D319" s="10">
        <v>44927</v>
      </c>
      <c r="E319" s="14">
        <v>45291</v>
      </c>
      <c r="F319" s="7" t="s">
        <v>581</v>
      </c>
      <c r="G319" s="11" t="s">
        <v>544</v>
      </c>
      <c r="H319" s="8">
        <v>138395</v>
      </c>
      <c r="I319" s="8" t="s">
        <v>13</v>
      </c>
    </row>
    <row r="320" spans="1:9" x14ac:dyDescent="0.2">
      <c r="A320" s="8">
        <v>5647005</v>
      </c>
      <c r="B320" s="8" t="s">
        <v>9</v>
      </c>
      <c r="C320" s="8" t="s">
        <v>10</v>
      </c>
      <c r="D320" s="10">
        <v>44927</v>
      </c>
      <c r="E320" s="14">
        <v>45291</v>
      </c>
      <c r="F320" s="7" t="s">
        <v>582</v>
      </c>
      <c r="G320" s="11" t="s">
        <v>583</v>
      </c>
      <c r="H320" s="8">
        <v>2974510</v>
      </c>
      <c r="I320" s="8" t="s">
        <v>13</v>
      </c>
    </row>
    <row r="321" spans="1:9" x14ac:dyDescent="0.2">
      <c r="A321" s="8">
        <v>5647006</v>
      </c>
      <c r="B321" s="8" t="s">
        <v>9</v>
      </c>
      <c r="C321" s="8" t="s">
        <v>10</v>
      </c>
      <c r="D321" s="10">
        <v>44927</v>
      </c>
      <c r="E321" s="14">
        <v>45291</v>
      </c>
      <c r="F321" s="7" t="s">
        <v>584</v>
      </c>
      <c r="G321" s="11" t="s">
        <v>585</v>
      </c>
      <c r="H321" s="8">
        <v>0</v>
      </c>
      <c r="I321" s="8" t="s">
        <v>13</v>
      </c>
    </row>
    <row r="322" spans="1:9" x14ac:dyDescent="0.2">
      <c r="A322" s="8">
        <v>5647007</v>
      </c>
      <c r="B322" s="8" t="s">
        <v>9</v>
      </c>
      <c r="C322" s="8" t="s">
        <v>10</v>
      </c>
      <c r="D322" s="10">
        <v>44927</v>
      </c>
      <c r="E322" s="14">
        <v>45291</v>
      </c>
      <c r="F322" s="7" t="s">
        <v>586</v>
      </c>
      <c r="G322" s="11" t="s">
        <v>587</v>
      </c>
      <c r="H322" s="8">
        <v>293986</v>
      </c>
      <c r="I322" s="8" t="s">
        <v>13</v>
      </c>
    </row>
    <row r="323" spans="1:9" x14ac:dyDescent="0.2">
      <c r="A323" s="8">
        <v>5647008</v>
      </c>
      <c r="B323" s="8" t="s">
        <v>9</v>
      </c>
      <c r="C323" s="8" t="s">
        <v>10</v>
      </c>
      <c r="D323" s="10">
        <v>44927</v>
      </c>
      <c r="E323" s="14">
        <v>45291</v>
      </c>
      <c r="F323" s="7" t="s">
        <v>588</v>
      </c>
      <c r="G323" s="11" t="s">
        <v>589</v>
      </c>
      <c r="H323" s="8">
        <v>2679745</v>
      </c>
      <c r="I323" s="8" t="s">
        <v>13</v>
      </c>
    </row>
    <row r="324" spans="1:9" x14ac:dyDescent="0.2">
      <c r="A324" s="8">
        <v>5647009</v>
      </c>
      <c r="B324" s="8" t="s">
        <v>9</v>
      </c>
      <c r="C324" s="8" t="s">
        <v>10</v>
      </c>
      <c r="D324" s="10">
        <v>44927</v>
      </c>
      <c r="E324" s="14">
        <v>45291</v>
      </c>
      <c r="F324" s="7" t="s">
        <v>590</v>
      </c>
      <c r="G324" s="11" t="s">
        <v>591</v>
      </c>
      <c r="H324" s="8">
        <v>779</v>
      </c>
      <c r="I324" s="8" t="s">
        <v>13</v>
      </c>
    </row>
    <row r="325" spans="1:9" x14ac:dyDescent="0.2">
      <c r="A325" s="8">
        <v>5647010</v>
      </c>
      <c r="B325" s="8" t="s">
        <v>9</v>
      </c>
      <c r="C325" s="8" t="s">
        <v>10</v>
      </c>
      <c r="D325" s="10">
        <v>44927</v>
      </c>
      <c r="E325" s="14">
        <v>45291</v>
      </c>
      <c r="F325" s="7" t="s">
        <v>592</v>
      </c>
      <c r="G325" s="11" t="s">
        <v>59</v>
      </c>
      <c r="H325" s="8">
        <v>0</v>
      </c>
      <c r="I325" s="8" t="s">
        <v>13</v>
      </c>
    </row>
    <row r="326" spans="1:9" x14ac:dyDescent="0.2">
      <c r="A326" s="8">
        <v>5647011</v>
      </c>
      <c r="B326" s="8" t="s">
        <v>9</v>
      </c>
      <c r="C326" s="8" t="s">
        <v>10</v>
      </c>
      <c r="D326" s="10">
        <v>44927</v>
      </c>
      <c r="E326" s="14">
        <v>45291</v>
      </c>
      <c r="F326" s="7" t="s">
        <v>593</v>
      </c>
      <c r="G326" s="11" t="s">
        <v>594</v>
      </c>
      <c r="H326" s="8">
        <v>0</v>
      </c>
      <c r="I326" s="8" t="s">
        <v>13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B59C7-C90C-0B4E-9385-1F48EF6596E6}">
  <dimension ref="A1:J330"/>
  <sheetViews>
    <sheetView topLeftCell="A182" workbookViewId="0">
      <selection activeCell="A182" sqref="A1:XFD1048576"/>
    </sheetView>
  </sheetViews>
  <sheetFormatPr baseColWidth="10" defaultColWidth="8.83203125" defaultRowHeight="16" x14ac:dyDescent="0.2"/>
  <cols>
    <col min="1" max="1" width="8.83203125" style="7"/>
    <col min="2" max="2" width="13.1640625" style="8" customWidth="1"/>
    <col min="3" max="3" width="9" style="8" customWidth="1"/>
    <col min="4" max="4" width="11.6640625" style="7" customWidth="1"/>
    <col min="5" max="5" width="12.33203125" style="8" customWidth="1"/>
    <col min="6" max="6" width="8.83203125" style="7"/>
    <col min="7" max="7" width="52.83203125" style="7" customWidth="1"/>
    <col min="8" max="8" width="11.33203125" style="7" customWidth="1"/>
    <col min="9" max="9" width="17.1640625" style="7" customWidth="1"/>
    <col min="10" max="10" width="30.33203125" style="7" customWidth="1"/>
    <col min="11" max="16384" width="8.83203125" style="7"/>
  </cols>
  <sheetData>
    <row r="1" spans="1:10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756</v>
      </c>
    </row>
    <row r="2" spans="1:10" x14ac:dyDescent="0.2">
      <c r="A2" s="7">
        <v>6139171</v>
      </c>
      <c r="B2" s="8" t="s">
        <v>9</v>
      </c>
      <c r="C2" s="8" t="s">
        <v>595</v>
      </c>
      <c r="D2" s="9">
        <v>45657</v>
      </c>
      <c r="E2" s="10">
        <v>45657</v>
      </c>
      <c r="F2" s="7" t="s">
        <v>11</v>
      </c>
      <c r="G2" s="11" t="s">
        <v>12</v>
      </c>
      <c r="H2" s="7">
        <v>37133423</v>
      </c>
      <c r="I2" s="7" t="s">
        <v>13</v>
      </c>
    </row>
    <row r="3" spans="1:10" s="19" customFormat="1" x14ac:dyDescent="0.2">
      <c r="A3" s="19">
        <v>6139172</v>
      </c>
      <c r="B3" s="16" t="s">
        <v>9</v>
      </c>
      <c r="C3" s="16" t="s">
        <v>595</v>
      </c>
      <c r="D3" s="21">
        <v>45657</v>
      </c>
      <c r="E3" s="17">
        <v>45657</v>
      </c>
      <c r="F3" s="19" t="s">
        <v>14</v>
      </c>
      <c r="G3" s="20" t="s">
        <v>15</v>
      </c>
      <c r="H3" s="19">
        <v>15139547</v>
      </c>
      <c r="I3" s="19" t="s">
        <v>13</v>
      </c>
    </row>
    <row r="4" spans="1:10" s="19" customFormat="1" x14ac:dyDescent="0.2">
      <c r="A4" s="19">
        <v>6139173</v>
      </c>
      <c r="B4" s="16" t="s">
        <v>9</v>
      </c>
      <c r="C4" s="16" t="s">
        <v>595</v>
      </c>
      <c r="D4" s="21">
        <v>45657</v>
      </c>
      <c r="E4" s="17">
        <v>45657</v>
      </c>
      <c r="F4" s="19" t="s">
        <v>16</v>
      </c>
      <c r="G4" s="20" t="s">
        <v>17</v>
      </c>
      <c r="H4" s="19">
        <v>2641683</v>
      </c>
      <c r="I4" s="19" t="s">
        <v>13</v>
      </c>
    </row>
    <row r="5" spans="1:10" s="19" customFormat="1" x14ac:dyDescent="0.2">
      <c r="A5" s="19">
        <v>6139174</v>
      </c>
      <c r="B5" s="16" t="s">
        <v>9</v>
      </c>
      <c r="C5" s="16" t="s">
        <v>595</v>
      </c>
      <c r="D5" s="21">
        <v>45657</v>
      </c>
      <c r="E5" s="17">
        <v>45657</v>
      </c>
      <c r="F5" s="19" t="s">
        <v>18</v>
      </c>
      <c r="G5" s="20" t="s">
        <v>19</v>
      </c>
      <c r="H5" s="19">
        <v>1816443</v>
      </c>
      <c r="I5" s="19" t="s">
        <v>13</v>
      </c>
    </row>
    <row r="6" spans="1:10" s="19" customFormat="1" x14ac:dyDescent="0.2">
      <c r="A6" s="19">
        <v>6139175</v>
      </c>
      <c r="B6" s="16" t="s">
        <v>9</v>
      </c>
      <c r="C6" s="16" t="s">
        <v>595</v>
      </c>
      <c r="D6" s="21">
        <v>45657</v>
      </c>
      <c r="E6" s="17">
        <v>45657</v>
      </c>
      <c r="F6" s="19" t="s">
        <v>20</v>
      </c>
      <c r="G6" s="20" t="s">
        <v>21</v>
      </c>
      <c r="H6" s="19">
        <v>0</v>
      </c>
      <c r="I6" s="19" t="s">
        <v>13</v>
      </c>
    </row>
    <row r="7" spans="1:10" s="19" customFormat="1" x14ac:dyDescent="0.2">
      <c r="A7" s="19">
        <v>6139176</v>
      </c>
      <c r="B7" s="16" t="s">
        <v>9</v>
      </c>
      <c r="C7" s="16" t="s">
        <v>595</v>
      </c>
      <c r="D7" s="21">
        <v>45657</v>
      </c>
      <c r="E7" s="17">
        <v>45657</v>
      </c>
      <c r="F7" s="19" t="s">
        <v>22</v>
      </c>
      <c r="G7" s="20" t="s">
        <v>23</v>
      </c>
      <c r="H7" s="19">
        <v>0</v>
      </c>
      <c r="I7" s="19" t="s">
        <v>13</v>
      </c>
    </row>
    <row r="8" spans="1:10" s="19" customFormat="1" x14ac:dyDescent="0.2">
      <c r="A8" s="19">
        <v>6139177</v>
      </c>
      <c r="B8" s="16" t="s">
        <v>9</v>
      </c>
      <c r="C8" s="16" t="s">
        <v>595</v>
      </c>
      <c r="D8" s="21">
        <v>45657</v>
      </c>
      <c r="E8" s="17">
        <v>45657</v>
      </c>
      <c r="F8" s="19" t="s">
        <v>24</v>
      </c>
      <c r="G8" s="20" t="s">
        <v>25</v>
      </c>
      <c r="H8" s="19">
        <v>0</v>
      </c>
      <c r="I8" s="19" t="s">
        <v>13</v>
      </c>
    </row>
    <row r="9" spans="1:10" s="19" customFormat="1" x14ac:dyDescent="0.2">
      <c r="A9" s="19">
        <v>6139178</v>
      </c>
      <c r="B9" s="16" t="s">
        <v>9</v>
      </c>
      <c r="C9" s="16" t="s">
        <v>595</v>
      </c>
      <c r="D9" s="21">
        <v>45657</v>
      </c>
      <c r="E9" s="17">
        <v>45657</v>
      </c>
      <c r="F9" s="19" t="s">
        <v>26</v>
      </c>
      <c r="G9" s="20" t="s">
        <v>27</v>
      </c>
      <c r="H9" s="19">
        <v>0</v>
      </c>
      <c r="I9" s="19" t="s">
        <v>13</v>
      </c>
    </row>
    <row r="10" spans="1:10" s="19" customFormat="1" x14ac:dyDescent="0.2">
      <c r="A10" s="19">
        <v>6139179</v>
      </c>
      <c r="B10" s="16" t="s">
        <v>9</v>
      </c>
      <c r="C10" s="16" t="s">
        <v>595</v>
      </c>
      <c r="D10" s="21">
        <v>45657</v>
      </c>
      <c r="E10" s="17">
        <v>45657</v>
      </c>
      <c r="F10" s="19" t="s">
        <v>28</v>
      </c>
      <c r="G10" s="20" t="s">
        <v>29</v>
      </c>
      <c r="H10" s="19">
        <v>0</v>
      </c>
      <c r="I10" s="19" t="s">
        <v>13</v>
      </c>
    </row>
    <row r="11" spans="1:10" s="19" customFormat="1" x14ac:dyDescent="0.2">
      <c r="A11" s="19">
        <v>6139180</v>
      </c>
      <c r="B11" s="16" t="s">
        <v>9</v>
      </c>
      <c r="C11" s="16" t="s">
        <v>595</v>
      </c>
      <c r="D11" s="21">
        <v>45657</v>
      </c>
      <c r="E11" s="17">
        <v>45657</v>
      </c>
      <c r="F11" s="19" t="s">
        <v>30</v>
      </c>
      <c r="G11" s="20" t="s">
        <v>31</v>
      </c>
      <c r="H11" s="19">
        <v>5280765</v>
      </c>
      <c r="I11" s="19" t="s">
        <v>13</v>
      </c>
    </row>
    <row r="12" spans="1:10" s="19" customFormat="1" x14ac:dyDescent="0.2">
      <c r="A12" s="19">
        <v>6139181</v>
      </c>
      <c r="B12" s="16" t="s">
        <v>9</v>
      </c>
      <c r="C12" s="16" t="s">
        <v>595</v>
      </c>
      <c r="D12" s="21">
        <v>45657</v>
      </c>
      <c r="E12" s="17">
        <v>45657</v>
      </c>
      <c r="F12" s="19" t="s">
        <v>32</v>
      </c>
      <c r="G12" s="20" t="s">
        <v>33</v>
      </c>
      <c r="H12" s="19">
        <v>5280765</v>
      </c>
      <c r="I12" s="19" t="s">
        <v>13</v>
      </c>
    </row>
    <row r="13" spans="1:10" s="19" customFormat="1" x14ac:dyDescent="0.2">
      <c r="A13" s="19">
        <v>6139182</v>
      </c>
      <c r="B13" s="16" t="s">
        <v>9</v>
      </c>
      <c r="C13" s="16" t="s">
        <v>595</v>
      </c>
      <c r="D13" s="21">
        <v>45657</v>
      </c>
      <c r="E13" s="17">
        <v>45657</v>
      </c>
      <c r="F13" s="19" t="s">
        <v>34</v>
      </c>
      <c r="G13" s="20" t="s">
        <v>35</v>
      </c>
      <c r="H13" s="19">
        <v>0</v>
      </c>
      <c r="I13" s="19" t="s">
        <v>13</v>
      </c>
    </row>
    <row r="14" spans="1:10" s="19" customFormat="1" x14ac:dyDescent="0.2">
      <c r="A14" s="19">
        <v>6139183</v>
      </c>
      <c r="B14" s="16" t="s">
        <v>9</v>
      </c>
      <c r="C14" s="16" t="s">
        <v>595</v>
      </c>
      <c r="D14" s="21">
        <v>45657</v>
      </c>
      <c r="E14" s="17">
        <v>45657</v>
      </c>
      <c r="F14" s="19" t="s">
        <v>36</v>
      </c>
      <c r="G14" s="20" t="s">
        <v>596</v>
      </c>
      <c r="H14" s="19">
        <v>5280765</v>
      </c>
      <c r="I14" s="19" t="s">
        <v>13</v>
      </c>
    </row>
    <row r="15" spans="1:10" s="19" customFormat="1" x14ac:dyDescent="0.2">
      <c r="A15" s="19">
        <v>6139184</v>
      </c>
      <c r="B15" s="16" t="s">
        <v>9</v>
      </c>
      <c r="C15" s="16" t="s">
        <v>595</v>
      </c>
      <c r="D15" s="21">
        <v>45657</v>
      </c>
      <c r="E15" s="17">
        <v>45657</v>
      </c>
      <c r="F15" s="19" t="s">
        <v>37</v>
      </c>
      <c r="G15" s="20" t="s">
        <v>38</v>
      </c>
      <c r="H15" s="19">
        <v>0</v>
      </c>
      <c r="I15" s="19" t="s">
        <v>13</v>
      </c>
    </row>
    <row r="16" spans="1:10" s="19" customFormat="1" x14ac:dyDescent="0.2">
      <c r="A16" s="19">
        <v>6139185</v>
      </c>
      <c r="B16" s="16" t="s">
        <v>9</v>
      </c>
      <c r="C16" s="16" t="s">
        <v>595</v>
      </c>
      <c r="D16" s="21">
        <v>45657</v>
      </c>
      <c r="E16" s="17">
        <v>45657</v>
      </c>
      <c r="F16" s="19" t="s">
        <v>39</v>
      </c>
      <c r="G16" s="20" t="s">
        <v>40</v>
      </c>
      <c r="H16" s="19">
        <v>3378152</v>
      </c>
      <c r="I16" s="19" t="s">
        <v>13</v>
      </c>
    </row>
    <row r="17" spans="1:9" s="19" customFormat="1" x14ac:dyDescent="0.2">
      <c r="A17" s="19">
        <v>6139186</v>
      </c>
      <c r="B17" s="16" t="s">
        <v>9</v>
      </c>
      <c r="C17" s="16" t="s">
        <v>595</v>
      </c>
      <c r="D17" s="21">
        <v>45657</v>
      </c>
      <c r="E17" s="17">
        <v>45657</v>
      </c>
      <c r="F17" s="19" t="s">
        <v>41</v>
      </c>
      <c r="G17" s="20" t="s">
        <v>42</v>
      </c>
      <c r="H17" s="19">
        <v>0</v>
      </c>
      <c r="I17" s="19" t="s">
        <v>13</v>
      </c>
    </row>
    <row r="18" spans="1:9" s="19" customFormat="1" x14ac:dyDescent="0.2">
      <c r="A18" s="19">
        <v>6139187</v>
      </c>
      <c r="B18" s="16" t="s">
        <v>9</v>
      </c>
      <c r="C18" s="16" t="s">
        <v>595</v>
      </c>
      <c r="D18" s="21">
        <v>45657</v>
      </c>
      <c r="E18" s="17">
        <v>45657</v>
      </c>
      <c r="F18" s="19" t="s">
        <v>43</v>
      </c>
      <c r="G18" s="20" t="s">
        <v>44</v>
      </c>
      <c r="H18" s="19">
        <v>1034919</v>
      </c>
      <c r="I18" s="19" t="s">
        <v>13</v>
      </c>
    </row>
    <row r="19" spans="1:9" s="19" customFormat="1" x14ac:dyDescent="0.2">
      <c r="A19" s="19">
        <v>6139188</v>
      </c>
      <c r="B19" s="16" t="s">
        <v>9</v>
      </c>
      <c r="C19" s="16" t="s">
        <v>595</v>
      </c>
      <c r="D19" s="21">
        <v>45657</v>
      </c>
      <c r="E19" s="17">
        <v>45657</v>
      </c>
      <c r="F19" s="19" t="s">
        <v>45</v>
      </c>
      <c r="G19" s="20" t="s">
        <v>46</v>
      </c>
      <c r="H19" s="19">
        <v>1034919</v>
      </c>
      <c r="I19" s="19" t="s">
        <v>13</v>
      </c>
    </row>
    <row r="20" spans="1:9" s="19" customFormat="1" x14ac:dyDescent="0.2">
      <c r="A20" s="19">
        <v>6139189</v>
      </c>
      <c r="B20" s="16" t="s">
        <v>9</v>
      </c>
      <c r="C20" s="16" t="s">
        <v>595</v>
      </c>
      <c r="D20" s="21">
        <v>45657</v>
      </c>
      <c r="E20" s="17">
        <v>45657</v>
      </c>
      <c r="F20" s="19" t="s">
        <v>47</v>
      </c>
      <c r="G20" s="20" t="s">
        <v>46</v>
      </c>
      <c r="H20" s="19">
        <v>660629</v>
      </c>
      <c r="I20" s="19" t="s">
        <v>13</v>
      </c>
    </row>
    <row r="21" spans="1:9" s="19" customFormat="1" x14ac:dyDescent="0.2">
      <c r="A21" s="19">
        <v>6139190</v>
      </c>
      <c r="B21" s="16" t="s">
        <v>9</v>
      </c>
      <c r="C21" s="16" t="s">
        <v>595</v>
      </c>
      <c r="D21" s="21">
        <v>45657</v>
      </c>
      <c r="E21" s="17">
        <v>45657</v>
      </c>
      <c r="F21" s="19" t="s">
        <v>48</v>
      </c>
      <c r="G21" s="20" t="s">
        <v>49</v>
      </c>
      <c r="H21" s="19">
        <v>374290</v>
      </c>
      <c r="I21" s="19" t="s">
        <v>13</v>
      </c>
    </row>
    <row r="22" spans="1:9" s="19" customFormat="1" x14ac:dyDescent="0.2">
      <c r="A22" s="19">
        <v>6139191</v>
      </c>
      <c r="B22" s="16" t="s">
        <v>9</v>
      </c>
      <c r="C22" s="16" t="s">
        <v>595</v>
      </c>
      <c r="D22" s="21">
        <v>45657</v>
      </c>
      <c r="E22" s="17">
        <v>45657</v>
      </c>
      <c r="F22" s="19" t="s">
        <v>50</v>
      </c>
      <c r="G22" s="20" t="s">
        <v>51</v>
      </c>
      <c r="H22" s="19">
        <v>0</v>
      </c>
      <c r="I22" s="19" t="s">
        <v>13</v>
      </c>
    </row>
    <row r="23" spans="1:9" s="19" customFormat="1" x14ac:dyDescent="0.2">
      <c r="A23" s="19">
        <v>6139192</v>
      </c>
      <c r="B23" s="16" t="s">
        <v>9</v>
      </c>
      <c r="C23" s="16" t="s">
        <v>595</v>
      </c>
      <c r="D23" s="21">
        <v>45657</v>
      </c>
      <c r="E23" s="17">
        <v>45657</v>
      </c>
      <c r="F23" s="19" t="s">
        <v>52</v>
      </c>
      <c r="G23" s="20" t="s">
        <v>53</v>
      </c>
      <c r="H23" s="19">
        <v>987585</v>
      </c>
      <c r="I23" s="19" t="s">
        <v>13</v>
      </c>
    </row>
    <row r="24" spans="1:9" s="19" customFormat="1" x14ac:dyDescent="0.2">
      <c r="A24" s="19">
        <v>6139193</v>
      </c>
      <c r="B24" s="16" t="s">
        <v>9</v>
      </c>
      <c r="C24" s="16" t="s">
        <v>595</v>
      </c>
      <c r="D24" s="21">
        <v>45657</v>
      </c>
      <c r="E24" s="17">
        <v>45657</v>
      </c>
      <c r="F24" s="19" t="s">
        <v>54</v>
      </c>
      <c r="G24" s="20" t="s">
        <v>55</v>
      </c>
      <c r="H24" s="19">
        <v>0</v>
      </c>
      <c r="I24" s="19" t="s">
        <v>13</v>
      </c>
    </row>
    <row r="25" spans="1:9" s="19" customFormat="1" x14ac:dyDescent="0.2">
      <c r="A25" s="19">
        <v>6139194</v>
      </c>
      <c r="B25" s="16" t="s">
        <v>9</v>
      </c>
      <c r="C25" s="16" t="s">
        <v>595</v>
      </c>
      <c r="D25" s="21">
        <v>45657</v>
      </c>
      <c r="E25" s="17">
        <v>45657</v>
      </c>
      <c r="F25" s="19" t="s">
        <v>56</v>
      </c>
      <c r="G25" s="20" t="s">
        <v>57</v>
      </c>
      <c r="H25" s="19">
        <v>0</v>
      </c>
      <c r="I25" s="19" t="s">
        <v>13</v>
      </c>
    </row>
    <row r="26" spans="1:9" s="19" customFormat="1" x14ac:dyDescent="0.2">
      <c r="A26" s="19">
        <v>6139195</v>
      </c>
      <c r="B26" s="16" t="s">
        <v>9</v>
      </c>
      <c r="C26" s="16" t="s">
        <v>595</v>
      </c>
      <c r="D26" s="21">
        <v>45657</v>
      </c>
      <c r="E26" s="17">
        <v>45657</v>
      </c>
      <c r="F26" s="19" t="s">
        <v>58</v>
      </c>
      <c r="G26" s="20" t="s">
        <v>59</v>
      </c>
      <c r="H26" s="19">
        <v>987585</v>
      </c>
      <c r="I26" s="19" t="s">
        <v>13</v>
      </c>
    </row>
    <row r="27" spans="1:9" x14ac:dyDescent="0.2">
      <c r="A27" s="7">
        <v>6139196</v>
      </c>
      <c r="B27" s="8" t="s">
        <v>9</v>
      </c>
      <c r="C27" s="8" t="s">
        <v>595</v>
      </c>
      <c r="D27" s="9">
        <v>45657</v>
      </c>
      <c r="E27" s="10">
        <v>45657</v>
      </c>
      <c r="F27" s="7" t="s">
        <v>60</v>
      </c>
      <c r="G27" s="11" t="s">
        <v>61</v>
      </c>
      <c r="H27" s="7">
        <v>0</v>
      </c>
      <c r="I27" s="7" t="s">
        <v>13</v>
      </c>
    </row>
    <row r="28" spans="1:9" x14ac:dyDescent="0.2">
      <c r="A28" s="7">
        <v>6139197</v>
      </c>
      <c r="B28" s="8" t="s">
        <v>9</v>
      </c>
      <c r="C28" s="8" t="s">
        <v>595</v>
      </c>
      <c r="D28" s="9">
        <v>45657</v>
      </c>
      <c r="E28" s="10">
        <v>45657</v>
      </c>
      <c r="F28" s="7" t="s">
        <v>62</v>
      </c>
      <c r="G28" s="11" t="s">
        <v>63</v>
      </c>
      <c r="H28" s="7">
        <v>342945</v>
      </c>
      <c r="I28" s="7" t="s">
        <v>13</v>
      </c>
    </row>
    <row r="29" spans="1:9" x14ac:dyDescent="0.2">
      <c r="A29" s="7">
        <v>6139198</v>
      </c>
      <c r="B29" s="8" t="s">
        <v>9</v>
      </c>
      <c r="C29" s="8" t="s">
        <v>595</v>
      </c>
      <c r="D29" s="9">
        <v>45657</v>
      </c>
      <c r="E29" s="10">
        <v>45657</v>
      </c>
      <c r="F29" s="7" t="s">
        <v>64</v>
      </c>
      <c r="G29" s="11" t="s">
        <v>65</v>
      </c>
      <c r="H29" s="7">
        <v>644640</v>
      </c>
      <c r="I29" s="7" t="s">
        <v>13</v>
      </c>
    </row>
    <row r="30" spans="1:9" x14ac:dyDescent="0.2">
      <c r="A30" s="7">
        <v>6139199</v>
      </c>
      <c r="B30" s="8" t="s">
        <v>9</v>
      </c>
      <c r="C30" s="8" t="s">
        <v>595</v>
      </c>
      <c r="D30" s="9">
        <v>45657</v>
      </c>
      <c r="E30" s="10">
        <v>45657</v>
      </c>
      <c r="F30" s="7" t="s">
        <v>66</v>
      </c>
      <c r="G30" s="11" t="s">
        <v>67</v>
      </c>
      <c r="H30" s="7">
        <v>21993876</v>
      </c>
      <c r="I30" s="7" t="s">
        <v>13</v>
      </c>
    </row>
    <row r="31" spans="1:9" x14ac:dyDescent="0.2">
      <c r="A31" s="7">
        <v>6139200</v>
      </c>
      <c r="B31" s="8" t="s">
        <v>9</v>
      </c>
      <c r="C31" s="8" t="s">
        <v>595</v>
      </c>
      <c r="D31" s="9">
        <v>45657</v>
      </c>
      <c r="E31" s="10">
        <v>45657</v>
      </c>
      <c r="F31" s="7" t="s">
        <v>68</v>
      </c>
      <c r="G31" s="11" t="s">
        <v>69</v>
      </c>
      <c r="H31" s="7">
        <v>4977957</v>
      </c>
      <c r="I31" s="7" t="s">
        <v>13</v>
      </c>
    </row>
    <row r="32" spans="1:9" x14ac:dyDescent="0.2">
      <c r="A32" s="7">
        <v>6139201</v>
      </c>
      <c r="B32" s="8" t="s">
        <v>9</v>
      </c>
      <c r="C32" s="8" t="s">
        <v>595</v>
      </c>
      <c r="D32" s="9">
        <v>45657</v>
      </c>
      <c r="E32" s="10">
        <v>45657</v>
      </c>
      <c r="F32" s="7" t="s">
        <v>70</v>
      </c>
      <c r="G32" s="11" t="s">
        <v>21</v>
      </c>
      <c r="H32" s="7">
        <v>0</v>
      </c>
      <c r="I32" s="7" t="s">
        <v>13</v>
      </c>
    </row>
    <row r="33" spans="1:9" x14ac:dyDescent="0.2">
      <c r="A33" s="7">
        <v>6139202</v>
      </c>
      <c r="B33" s="8" t="s">
        <v>9</v>
      </c>
      <c r="C33" s="8" t="s">
        <v>595</v>
      </c>
      <c r="D33" s="9">
        <v>45657</v>
      </c>
      <c r="E33" s="10">
        <v>45657</v>
      </c>
      <c r="F33" s="7" t="s">
        <v>71</v>
      </c>
      <c r="G33" s="11" t="s">
        <v>25</v>
      </c>
      <c r="H33" s="7">
        <v>0</v>
      </c>
      <c r="I33" s="7" t="s">
        <v>13</v>
      </c>
    </row>
    <row r="34" spans="1:9" x14ac:dyDescent="0.2">
      <c r="A34" s="7">
        <v>6139203</v>
      </c>
      <c r="B34" s="8" t="s">
        <v>9</v>
      </c>
      <c r="C34" s="8" t="s">
        <v>595</v>
      </c>
      <c r="D34" s="9">
        <v>45657</v>
      </c>
      <c r="E34" s="10">
        <v>45657</v>
      </c>
      <c r="F34" s="7" t="s">
        <v>72</v>
      </c>
      <c r="G34" s="11" t="s">
        <v>27</v>
      </c>
      <c r="H34" s="7">
        <v>0</v>
      </c>
      <c r="I34" s="7" t="s">
        <v>13</v>
      </c>
    </row>
    <row r="35" spans="1:9" x14ac:dyDescent="0.2">
      <c r="A35" s="7">
        <v>6139204</v>
      </c>
      <c r="B35" s="8" t="s">
        <v>9</v>
      </c>
      <c r="C35" s="8" t="s">
        <v>595</v>
      </c>
      <c r="D35" s="9">
        <v>45657</v>
      </c>
      <c r="E35" s="10">
        <v>45657</v>
      </c>
      <c r="F35" s="7" t="s">
        <v>73</v>
      </c>
      <c r="G35" s="11" t="s">
        <v>29</v>
      </c>
      <c r="H35" s="7">
        <v>0</v>
      </c>
      <c r="I35" s="7" t="s">
        <v>13</v>
      </c>
    </row>
    <row r="36" spans="1:9" x14ac:dyDescent="0.2">
      <c r="A36" s="7">
        <v>6139205</v>
      </c>
      <c r="B36" s="8" t="s">
        <v>9</v>
      </c>
      <c r="C36" s="8" t="s">
        <v>595</v>
      </c>
      <c r="D36" s="9">
        <v>45657</v>
      </c>
      <c r="E36" s="10">
        <v>45657</v>
      </c>
      <c r="F36" s="7" t="s">
        <v>74</v>
      </c>
      <c r="G36" s="11" t="s">
        <v>31</v>
      </c>
      <c r="H36" s="7">
        <v>427753</v>
      </c>
      <c r="I36" s="7" t="s">
        <v>13</v>
      </c>
    </row>
    <row r="37" spans="1:9" x14ac:dyDescent="0.2">
      <c r="A37" s="7">
        <v>6139206</v>
      </c>
      <c r="B37" s="8" t="s">
        <v>9</v>
      </c>
      <c r="C37" s="8" t="s">
        <v>595</v>
      </c>
      <c r="D37" s="9">
        <v>45657</v>
      </c>
      <c r="E37" s="10">
        <v>45657</v>
      </c>
      <c r="F37" s="7" t="s">
        <v>75</v>
      </c>
      <c r="G37" s="11" t="s">
        <v>33</v>
      </c>
      <c r="H37" s="7">
        <v>0</v>
      </c>
      <c r="I37" s="7" t="s">
        <v>13</v>
      </c>
    </row>
    <row r="38" spans="1:9" x14ac:dyDescent="0.2">
      <c r="A38" s="7">
        <v>6139207</v>
      </c>
      <c r="B38" s="8" t="s">
        <v>9</v>
      </c>
      <c r="C38" s="8" t="s">
        <v>595</v>
      </c>
      <c r="D38" s="9">
        <v>45657</v>
      </c>
      <c r="E38" s="10">
        <v>45657</v>
      </c>
      <c r="F38" s="7" t="s">
        <v>76</v>
      </c>
      <c r="G38" s="11" t="s">
        <v>38</v>
      </c>
      <c r="H38" s="7">
        <v>0</v>
      </c>
      <c r="I38" s="7" t="s">
        <v>13</v>
      </c>
    </row>
    <row r="39" spans="1:9" x14ac:dyDescent="0.2">
      <c r="A39" s="7">
        <v>6139208</v>
      </c>
      <c r="B39" s="8" t="s">
        <v>9</v>
      </c>
      <c r="C39" s="8" t="s">
        <v>595</v>
      </c>
      <c r="D39" s="9">
        <v>45657</v>
      </c>
      <c r="E39" s="10">
        <v>45657</v>
      </c>
      <c r="F39" s="7" t="s">
        <v>77</v>
      </c>
      <c r="G39" s="11" t="s">
        <v>35</v>
      </c>
      <c r="H39" s="7">
        <v>427753</v>
      </c>
      <c r="I39" s="7" t="s">
        <v>13</v>
      </c>
    </row>
    <row r="40" spans="1:9" x14ac:dyDescent="0.2">
      <c r="A40" s="7">
        <v>6139209</v>
      </c>
      <c r="B40" s="8" t="s">
        <v>9</v>
      </c>
      <c r="C40" s="8" t="s">
        <v>595</v>
      </c>
      <c r="D40" s="9">
        <v>45657</v>
      </c>
      <c r="E40" s="10">
        <v>45657</v>
      </c>
      <c r="F40" s="7" t="s">
        <v>78</v>
      </c>
      <c r="G40" s="11" t="s">
        <v>40</v>
      </c>
      <c r="H40" s="7">
        <v>0</v>
      </c>
      <c r="I40" s="7" t="s">
        <v>13</v>
      </c>
    </row>
    <row r="41" spans="1:9" x14ac:dyDescent="0.2">
      <c r="A41" s="7">
        <v>6139210</v>
      </c>
      <c r="B41" s="8" t="s">
        <v>9</v>
      </c>
      <c r="C41" s="8" t="s">
        <v>595</v>
      </c>
      <c r="D41" s="9">
        <v>45657</v>
      </c>
      <c r="E41" s="10">
        <v>45657</v>
      </c>
      <c r="F41" s="7" t="s">
        <v>79</v>
      </c>
      <c r="G41" s="11" t="s">
        <v>42</v>
      </c>
      <c r="H41" s="7">
        <v>0</v>
      </c>
      <c r="I41" s="7" t="s">
        <v>13</v>
      </c>
    </row>
    <row r="42" spans="1:9" x14ac:dyDescent="0.2">
      <c r="A42" s="7">
        <v>6139211</v>
      </c>
      <c r="B42" s="8" t="s">
        <v>9</v>
      </c>
      <c r="C42" s="8" t="s">
        <v>595</v>
      </c>
      <c r="D42" s="9">
        <v>45657</v>
      </c>
      <c r="E42" s="10">
        <v>45657</v>
      </c>
      <c r="F42" s="7" t="s">
        <v>80</v>
      </c>
      <c r="G42" s="11" t="s">
        <v>81</v>
      </c>
      <c r="H42" s="7">
        <v>1905164</v>
      </c>
      <c r="I42" s="7" t="s">
        <v>13</v>
      </c>
    </row>
    <row r="43" spans="1:9" x14ac:dyDescent="0.2">
      <c r="A43" s="7">
        <v>6139212</v>
      </c>
      <c r="B43" s="8" t="s">
        <v>9</v>
      </c>
      <c r="C43" s="8" t="s">
        <v>595</v>
      </c>
      <c r="D43" s="9">
        <v>45657</v>
      </c>
      <c r="E43" s="10">
        <v>45657</v>
      </c>
      <c r="F43" s="7" t="s">
        <v>82</v>
      </c>
      <c r="G43" s="11" t="s">
        <v>83</v>
      </c>
      <c r="H43" s="7">
        <v>1905164</v>
      </c>
      <c r="I43" s="7" t="s">
        <v>13</v>
      </c>
    </row>
    <row r="44" spans="1:9" x14ac:dyDescent="0.2">
      <c r="A44" s="7">
        <v>6139213</v>
      </c>
      <c r="B44" s="8" t="s">
        <v>9</v>
      </c>
      <c r="C44" s="8" t="s">
        <v>595</v>
      </c>
      <c r="D44" s="9">
        <v>45657</v>
      </c>
      <c r="E44" s="10">
        <v>45657</v>
      </c>
      <c r="F44" s="7" t="s">
        <v>84</v>
      </c>
      <c r="G44" s="11" t="s">
        <v>51</v>
      </c>
      <c r="H44" s="7">
        <v>0</v>
      </c>
      <c r="I44" s="7" t="s">
        <v>13</v>
      </c>
    </row>
    <row r="45" spans="1:9" x14ac:dyDescent="0.2">
      <c r="A45" s="7">
        <v>6139214</v>
      </c>
      <c r="B45" s="8" t="s">
        <v>9</v>
      </c>
      <c r="C45" s="8" t="s">
        <v>595</v>
      </c>
      <c r="D45" s="9">
        <v>45657</v>
      </c>
      <c r="E45" s="10">
        <v>45657</v>
      </c>
      <c r="F45" s="7" t="s">
        <v>85</v>
      </c>
      <c r="G45" s="11" t="s">
        <v>86</v>
      </c>
      <c r="H45" s="7">
        <v>0</v>
      </c>
      <c r="I45" s="7" t="s">
        <v>13</v>
      </c>
    </row>
    <row r="46" spans="1:9" x14ac:dyDescent="0.2">
      <c r="A46" s="7">
        <v>6139215</v>
      </c>
      <c r="B46" s="8" t="s">
        <v>9</v>
      </c>
      <c r="C46" s="8" t="s">
        <v>595</v>
      </c>
      <c r="D46" s="9">
        <v>45657</v>
      </c>
      <c r="E46" s="10">
        <v>45657</v>
      </c>
      <c r="F46" s="7" t="s">
        <v>87</v>
      </c>
      <c r="G46" s="11" t="s">
        <v>88</v>
      </c>
      <c r="H46" s="7">
        <v>0</v>
      </c>
      <c r="I46" s="7" t="s">
        <v>13</v>
      </c>
    </row>
    <row r="47" spans="1:9" x14ac:dyDescent="0.2">
      <c r="A47" s="7">
        <v>6139216</v>
      </c>
      <c r="B47" s="8" t="s">
        <v>9</v>
      </c>
      <c r="C47" s="8" t="s">
        <v>595</v>
      </c>
      <c r="D47" s="9">
        <v>45657</v>
      </c>
      <c r="E47" s="10">
        <v>45657</v>
      </c>
      <c r="F47" s="7" t="s">
        <v>89</v>
      </c>
      <c r="G47" s="11" t="s">
        <v>90</v>
      </c>
      <c r="H47" s="7">
        <v>0</v>
      </c>
      <c r="I47" s="7" t="s">
        <v>13</v>
      </c>
    </row>
    <row r="48" spans="1:9" x14ac:dyDescent="0.2">
      <c r="A48" s="7">
        <v>6139217</v>
      </c>
      <c r="B48" s="8" t="s">
        <v>9</v>
      </c>
      <c r="C48" s="8" t="s">
        <v>595</v>
      </c>
      <c r="D48" s="9">
        <v>45657</v>
      </c>
      <c r="E48" s="10">
        <v>45657</v>
      </c>
      <c r="F48" s="7" t="s">
        <v>91</v>
      </c>
      <c r="G48" s="11" t="s">
        <v>92</v>
      </c>
      <c r="H48" s="7">
        <v>0</v>
      </c>
      <c r="I48" s="7" t="s">
        <v>13</v>
      </c>
    </row>
    <row r="49" spans="1:9" x14ac:dyDescent="0.2">
      <c r="A49" s="7">
        <v>6139218</v>
      </c>
      <c r="B49" s="8" t="s">
        <v>9</v>
      </c>
      <c r="C49" s="8" t="s">
        <v>595</v>
      </c>
      <c r="D49" s="9">
        <v>45657</v>
      </c>
      <c r="E49" s="10">
        <v>45657</v>
      </c>
      <c r="F49" s="7" t="s">
        <v>93</v>
      </c>
      <c r="G49" s="11" t="s">
        <v>94</v>
      </c>
      <c r="H49" s="7">
        <v>2645040</v>
      </c>
      <c r="I49" s="7" t="s">
        <v>13</v>
      </c>
    </row>
    <row r="50" spans="1:9" x14ac:dyDescent="0.2">
      <c r="A50" s="7">
        <v>6139219</v>
      </c>
      <c r="B50" s="8" t="s">
        <v>9</v>
      </c>
      <c r="C50" s="8" t="s">
        <v>595</v>
      </c>
      <c r="D50" s="9">
        <v>45657</v>
      </c>
      <c r="E50" s="10">
        <v>45657</v>
      </c>
      <c r="F50" s="7" t="s">
        <v>95</v>
      </c>
      <c r="G50" s="11" t="s">
        <v>55</v>
      </c>
      <c r="H50" s="7">
        <v>0</v>
      </c>
      <c r="I50" s="7" t="s">
        <v>13</v>
      </c>
    </row>
    <row r="51" spans="1:9" x14ac:dyDescent="0.2">
      <c r="A51" s="7">
        <v>6139220</v>
      </c>
      <c r="B51" s="8" t="s">
        <v>9</v>
      </c>
      <c r="C51" s="8" t="s">
        <v>595</v>
      </c>
      <c r="D51" s="9">
        <v>45657</v>
      </c>
      <c r="E51" s="10">
        <v>45657</v>
      </c>
      <c r="F51" s="7" t="s">
        <v>96</v>
      </c>
      <c r="G51" s="11" t="s">
        <v>57</v>
      </c>
      <c r="H51" s="7">
        <v>0</v>
      </c>
      <c r="I51" s="7" t="s">
        <v>13</v>
      </c>
    </row>
    <row r="52" spans="1:9" x14ac:dyDescent="0.2">
      <c r="A52" s="7">
        <v>6139221</v>
      </c>
      <c r="B52" s="8" t="s">
        <v>9</v>
      </c>
      <c r="C52" s="8" t="s">
        <v>595</v>
      </c>
      <c r="D52" s="9">
        <v>45657</v>
      </c>
      <c r="E52" s="10">
        <v>45657</v>
      </c>
      <c r="F52" s="7" t="s">
        <v>97</v>
      </c>
      <c r="G52" s="11" t="s">
        <v>98</v>
      </c>
      <c r="H52" s="7">
        <v>475746</v>
      </c>
      <c r="I52" s="7" t="s">
        <v>13</v>
      </c>
    </row>
    <row r="53" spans="1:9" x14ac:dyDescent="0.2">
      <c r="A53" s="7">
        <v>6139222</v>
      </c>
      <c r="B53" s="8" t="s">
        <v>9</v>
      </c>
      <c r="C53" s="8" t="s">
        <v>595</v>
      </c>
      <c r="D53" s="9">
        <v>45657</v>
      </c>
      <c r="E53" s="10">
        <v>45657</v>
      </c>
      <c r="F53" s="7" t="s">
        <v>99</v>
      </c>
      <c r="G53" s="11" t="s">
        <v>100</v>
      </c>
      <c r="H53" s="7">
        <v>716604</v>
      </c>
      <c r="I53" s="7" t="s">
        <v>13</v>
      </c>
    </row>
    <row r="54" spans="1:9" x14ac:dyDescent="0.2">
      <c r="A54" s="7">
        <v>6139223</v>
      </c>
      <c r="B54" s="8" t="s">
        <v>9</v>
      </c>
      <c r="C54" s="8" t="s">
        <v>595</v>
      </c>
      <c r="D54" s="9">
        <v>45657</v>
      </c>
      <c r="E54" s="10">
        <v>45657</v>
      </c>
      <c r="F54" s="7" t="s">
        <v>101</v>
      </c>
      <c r="G54" s="11" t="s">
        <v>102</v>
      </c>
      <c r="H54" s="7">
        <v>1377722</v>
      </c>
      <c r="I54" s="7" t="s">
        <v>13</v>
      </c>
    </row>
    <row r="55" spans="1:9" x14ac:dyDescent="0.2">
      <c r="A55" s="7">
        <v>6139224</v>
      </c>
      <c r="B55" s="8" t="s">
        <v>9</v>
      </c>
      <c r="C55" s="8" t="s">
        <v>595</v>
      </c>
      <c r="D55" s="9">
        <v>45657</v>
      </c>
      <c r="E55" s="10">
        <v>45657</v>
      </c>
      <c r="F55" s="7" t="s">
        <v>103</v>
      </c>
      <c r="G55" s="11" t="s">
        <v>63</v>
      </c>
      <c r="H55" s="7">
        <v>46276</v>
      </c>
      <c r="I55" s="7" t="s">
        <v>13</v>
      </c>
    </row>
    <row r="56" spans="1:9" x14ac:dyDescent="0.2">
      <c r="A56" s="7">
        <v>6139225</v>
      </c>
      <c r="B56" s="8" t="s">
        <v>9</v>
      </c>
      <c r="C56" s="8" t="s">
        <v>595</v>
      </c>
      <c r="D56" s="9">
        <v>45657</v>
      </c>
      <c r="E56" s="10">
        <v>45657</v>
      </c>
      <c r="F56" s="7" t="s">
        <v>104</v>
      </c>
      <c r="G56" s="11" t="s">
        <v>105</v>
      </c>
      <c r="H56" s="7">
        <v>28692</v>
      </c>
      <c r="I56" s="7" t="s">
        <v>13</v>
      </c>
    </row>
    <row r="57" spans="1:9" x14ac:dyDescent="0.2">
      <c r="A57" s="7">
        <v>6139226</v>
      </c>
      <c r="B57" s="8" t="s">
        <v>9</v>
      </c>
      <c r="C57" s="8" t="s">
        <v>595</v>
      </c>
      <c r="D57" s="9">
        <v>45657</v>
      </c>
      <c r="E57" s="10">
        <v>45657</v>
      </c>
      <c r="F57" s="7" t="s">
        <v>106</v>
      </c>
      <c r="G57" s="11" t="s">
        <v>107</v>
      </c>
      <c r="H57" s="7">
        <v>0</v>
      </c>
      <c r="I57" s="7" t="s">
        <v>13</v>
      </c>
    </row>
    <row r="58" spans="1:9" x14ac:dyDescent="0.2">
      <c r="A58" s="7">
        <v>6139227</v>
      </c>
      <c r="B58" s="8" t="s">
        <v>9</v>
      </c>
      <c r="C58" s="8" t="s">
        <v>595</v>
      </c>
      <c r="D58" s="9">
        <v>45657</v>
      </c>
      <c r="E58" s="10">
        <v>45657</v>
      </c>
      <c r="F58" s="7" t="s">
        <v>108</v>
      </c>
      <c r="G58" s="11" t="s">
        <v>109</v>
      </c>
      <c r="H58" s="7">
        <v>0</v>
      </c>
      <c r="I58" s="7" t="s">
        <v>13</v>
      </c>
    </row>
    <row r="59" spans="1:9" x14ac:dyDescent="0.2">
      <c r="A59" s="7">
        <v>6139228</v>
      </c>
      <c r="B59" s="8" t="s">
        <v>9</v>
      </c>
      <c r="C59" s="8" t="s">
        <v>595</v>
      </c>
      <c r="D59" s="9">
        <v>45657</v>
      </c>
      <c r="E59" s="10">
        <v>45657</v>
      </c>
      <c r="F59" s="7" t="s">
        <v>110</v>
      </c>
      <c r="G59" s="11" t="s">
        <v>111</v>
      </c>
      <c r="H59" s="7">
        <v>0</v>
      </c>
      <c r="I59" s="7" t="s">
        <v>13</v>
      </c>
    </row>
    <row r="60" spans="1:9" x14ac:dyDescent="0.2">
      <c r="A60" s="7">
        <v>6139229</v>
      </c>
      <c r="B60" s="8" t="s">
        <v>9</v>
      </c>
      <c r="C60" s="8" t="s">
        <v>595</v>
      </c>
      <c r="D60" s="9">
        <v>45657</v>
      </c>
      <c r="E60" s="10">
        <v>45657</v>
      </c>
      <c r="F60" s="7" t="s">
        <v>112</v>
      </c>
      <c r="G60" s="11" t="s">
        <v>113</v>
      </c>
      <c r="H60" s="7">
        <v>0</v>
      </c>
      <c r="I60" s="7" t="s">
        <v>13</v>
      </c>
    </row>
    <row r="61" spans="1:9" x14ac:dyDescent="0.2">
      <c r="A61" s="7">
        <v>6139230</v>
      </c>
      <c r="B61" s="8" t="s">
        <v>9</v>
      </c>
      <c r="C61" s="8" t="s">
        <v>595</v>
      </c>
      <c r="D61" s="9">
        <v>45657</v>
      </c>
      <c r="E61" s="10">
        <v>45657</v>
      </c>
      <c r="F61" s="7" t="s">
        <v>114</v>
      </c>
      <c r="G61" s="11" t="s">
        <v>115</v>
      </c>
      <c r="H61" s="7">
        <v>0</v>
      </c>
      <c r="I61" s="7" t="s">
        <v>13</v>
      </c>
    </row>
    <row r="62" spans="1:9" x14ac:dyDescent="0.2">
      <c r="A62" s="7">
        <v>6139231</v>
      </c>
      <c r="B62" s="8" t="s">
        <v>9</v>
      </c>
      <c r="C62" s="8" t="s">
        <v>595</v>
      </c>
      <c r="D62" s="9">
        <v>45657</v>
      </c>
      <c r="E62" s="10">
        <v>45657</v>
      </c>
      <c r="F62" s="7" t="s">
        <v>116</v>
      </c>
      <c r="G62" s="11" t="s">
        <v>117</v>
      </c>
      <c r="H62" s="7">
        <v>0</v>
      </c>
      <c r="I62" s="7" t="s">
        <v>13</v>
      </c>
    </row>
    <row r="63" spans="1:9" x14ac:dyDescent="0.2">
      <c r="A63" s="7">
        <v>6139232</v>
      </c>
      <c r="B63" s="8" t="s">
        <v>9</v>
      </c>
      <c r="C63" s="8" t="s">
        <v>595</v>
      </c>
      <c r="D63" s="9">
        <v>45657</v>
      </c>
      <c r="E63" s="10">
        <v>45657</v>
      </c>
      <c r="F63" s="7" t="s">
        <v>118</v>
      </c>
      <c r="G63" s="11" t="s">
        <v>119</v>
      </c>
      <c r="H63" s="7">
        <v>0</v>
      </c>
      <c r="I63" s="7" t="s">
        <v>13</v>
      </c>
    </row>
    <row r="64" spans="1:9" x14ac:dyDescent="0.2">
      <c r="A64" s="7">
        <v>6139233</v>
      </c>
      <c r="B64" s="8" t="s">
        <v>9</v>
      </c>
      <c r="C64" s="8" t="s">
        <v>595</v>
      </c>
      <c r="D64" s="9">
        <v>45657</v>
      </c>
      <c r="E64" s="10">
        <v>45657</v>
      </c>
      <c r="F64" s="7" t="s">
        <v>120</v>
      </c>
      <c r="G64" s="35" t="s">
        <v>121</v>
      </c>
      <c r="H64" s="7">
        <v>4536915</v>
      </c>
      <c r="I64" s="7" t="s">
        <v>13</v>
      </c>
    </row>
    <row r="65" spans="1:9" x14ac:dyDescent="0.2">
      <c r="A65" s="7">
        <v>6139234</v>
      </c>
      <c r="B65" s="8" t="s">
        <v>9</v>
      </c>
      <c r="C65" s="8" t="s">
        <v>595</v>
      </c>
      <c r="D65" s="9">
        <v>45657</v>
      </c>
      <c r="E65" s="10">
        <v>45657</v>
      </c>
      <c r="F65" s="7" t="s">
        <v>122</v>
      </c>
      <c r="G65" s="11" t="s">
        <v>123</v>
      </c>
      <c r="H65" s="7">
        <v>3493953</v>
      </c>
      <c r="I65" s="7" t="s">
        <v>13</v>
      </c>
    </row>
    <row r="66" spans="1:9" x14ac:dyDescent="0.2">
      <c r="A66" s="7">
        <v>6139235</v>
      </c>
      <c r="B66" s="8" t="s">
        <v>9</v>
      </c>
      <c r="C66" s="8" t="s">
        <v>595</v>
      </c>
      <c r="D66" s="9">
        <v>45657</v>
      </c>
      <c r="E66" s="10">
        <v>45657</v>
      </c>
      <c r="F66" s="7" t="s">
        <v>124</v>
      </c>
      <c r="G66" s="11" t="s">
        <v>125</v>
      </c>
      <c r="H66" s="7">
        <v>1042962</v>
      </c>
      <c r="I66" s="7" t="s">
        <v>13</v>
      </c>
    </row>
    <row r="67" spans="1:9" x14ac:dyDescent="0.2">
      <c r="A67" s="7">
        <v>6139236</v>
      </c>
      <c r="B67" s="8" t="s">
        <v>9</v>
      </c>
      <c r="C67" s="8" t="s">
        <v>595</v>
      </c>
      <c r="D67" s="9">
        <v>45657</v>
      </c>
      <c r="E67" s="10">
        <v>45657</v>
      </c>
      <c r="F67" s="7" t="s">
        <v>126</v>
      </c>
      <c r="G67" s="11" t="s">
        <v>127</v>
      </c>
      <c r="H67" s="7">
        <v>0</v>
      </c>
      <c r="I67" s="7" t="s">
        <v>13</v>
      </c>
    </row>
    <row r="68" spans="1:9" x14ac:dyDescent="0.2">
      <c r="A68" s="7">
        <v>6139237</v>
      </c>
      <c r="B68" s="8" t="s">
        <v>9</v>
      </c>
      <c r="C68" s="8" t="s">
        <v>595</v>
      </c>
      <c r="D68" s="9">
        <v>45657</v>
      </c>
      <c r="E68" s="10">
        <v>45657</v>
      </c>
      <c r="F68" s="7" t="s">
        <v>128</v>
      </c>
      <c r="G68" s="11" t="s">
        <v>129</v>
      </c>
      <c r="H68" s="7">
        <v>12479004</v>
      </c>
      <c r="I68" s="7" t="s">
        <v>13</v>
      </c>
    </row>
    <row r="69" spans="1:9" x14ac:dyDescent="0.2">
      <c r="A69" s="7">
        <v>6139238</v>
      </c>
      <c r="B69" s="8" t="s">
        <v>9</v>
      </c>
      <c r="C69" s="8" t="s">
        <v>595</v>
      </c>
      <c r="D69" s="9">
        <v>45657</v>
      </c>
      <c r="E69" s="10">
        <v>45657</v>
      </c>
      <c r="F69" s="7" t="s">
        <v>130</v>
      </c>
      <c r="G69" s="11" t="s">
        <v>131</v>
      </c>
      <c r="H69" s="7">
        <v>12479004</v>
      </c>
      <c r="I69" s="7" t="s">
        <v>13</v>
      </c>
    </row>
    <row r="70" spans="1:9" x14ac:dyDescent="0.2">
      <c r="A70" s="7">
        <v>6139239</v>
      </c>
      <c r="B70" s="8" t="s">
        <v>9</v>
      </c>
      <c r="C70" s="8" t="s">
        <v>595</v>
      </c>
      <c r="D70" s="9">
        <v>45657</v>
      </c>
      <c r="E70" s="10">
        <v>45657</v>
      </c>
      <c r="F70" s="7" t="s">
        <v>132</v>
      </c>
      <c r="G70" s="11" t="s">
        <v>133</v>
      </c>
      <c r="H70" s="7">
        <v>0</v>
      </c>
      <c r="I70" s="7" t="s">
        <v>13</v>
      </c>
    </row>
    <row r="71" spans="1:9" x14ac:dyDescent="0.2">
      <c r="A71" s="7">
        <v>6139240</v>
      </c>
      <c r="B71" s="8" t="s">
        <v>9</v>
      </c>
      <c r="C71" s="8" t="s">
        <v>595</v>
      </c>
      <c r="D71" s="9">
        <v>45657</v>
      </c>
      <c r="E71" s="10">
        <v>45657</v>
      </c>
      <c r="F71" s="7" t="s">
        <v>134</v>
      </c>
      <c r="G71" s="11" t="s">
        <v>135</v>
      </c>
      <c r="H71" s="7">
        <v>0</v>
      </c>
      <c r="I71" s="7" t="s">
        <v>13</v>
      </c>
    </row>
    <row r="72" spans="1:9" x14ac:dyDescent="0.2">
      <c r="A72" s="7">
        <v>6139241</v>
      </c>
      <c r="B72" s="8" t="s">
        <v>9</v>
      </c>
      <c r="C72" s="8" t="s">
        <v>595</v>
      </c>
      <c r="D72" s="9">
        <v>45657</v>
      </c>
      <c r="E72" s="10">
        <v>45657</v>
      </c>
      <c r="F72" s="7" t="s">
        <v>136</v>
      </c>
      <c r="G72" s="11" t="s">
        <v>137</v>
      </c>
      <c r="H72" s="37">
        <v>37133423</v>
      </c>
      <c r="I72" s="7" t="s">
        <v>13</v>
      </c>
    </row>
    <row r="73" spans="1:9" s="19" customFormat="1" x14ac:dyDescent="0.2">
      <c r="A73" s="19">
        <v>6139242</v>
      </c>
      <c r="B73" s="16" t="s">
        <v>9</v>
      </c>
      <c r="C73" s="16" t="s">
        <v>595</v>
      </c>
      <c r="D73" s="21">
        <v>45657</v>
      </c>
      <c r="E73" s="17">
        <v>45657</v>
      </c>
      <c r="F73" s="19" t="s">
        <v>138</v>
      </c>
      <c r="G73" s="20" t="s">
        <v>139</v>
      </c>
      <c r="H73" s="19">
        <v>9607489</v>
      </c>
      <c r="I73" s="19" t="s">
        <v>13</v>
      </c>
    </row>
    <row r="74" spans="1:9" s="19" customFormat="1" x14ac:dyDescent="0.2">
      <c r="A74" s="19">
        <v>6139243</v>
      </c>
      <c r="B74" s="16" t="s">
        <v>9</v>
      </c>
      <c r="C74" s="16" t="s">
        <v>595</v>
      </c>
      <c r="D74" s="21">
        <v>45657</v>
      </c>
      <c r="E74" s="17">
        <v>45657</v>
      </c>
      <c r="F74" s="19" t="s">
        <v>140</v>
      </c>
      <c r="G74" s="20" t="s">
        <v>141</v>
      </c>
      <c r="H74" s="19">
        <v>1200874</v>
      </c>
      <c r="I74" s="19" t="s">
        <v>13</v>
      </c>
    </row>
    <row r="75" spans="1:9" s="19" customFormat="1" x14ac:dyDescent="0.2">
      <c r="A75" s="19">
        <v>6139244</v>
      </c>
      <c r="B75" s="16" t="s">
        <v>9</v>
      </c>
      <c r="C75" s="16" t="s">
        <v>595</v>
      </c>
      <c r="D75" s="21">
        <v>45657</v>
      </c>
      <c r="E75" s="17">
        <v>45657</v>
      </c>
      <c r="F75" s="19" t="s">
        <v>142</v>
      </c>
      <c r="G75" s="20" t="s">
        <v>143</v>
      </c>
      <c r="H75" s="19">
        <v>0</v>
      </c>
      <c r="I75" s="19" t="s">
        <v>13</v>
      </c>
    </row>
    <row r="76" spans="1:9" s="19" customFormat="1" x14ac:dyDescent="0.2">
      <c r="A76" s="19">
        <v>6139245</v>
      </c>
      <c r="B76" s="16" t="s">
        <v>9</v>
      </c>
      <c r="C76" s="16" t="s">
        <v>595</v>
      </c>
      <c r="D76" s="21">
        <v>45657</v>
      </c>
      <c r="E76" s="17">
        <v>45657</v>
      </c>
      <c r="F76" s="19" t="s">
        <v>144</v>
      </c>
      <c r="G76" s="20" t="s">
        <v>145</v>
      </c>
      <c r="H76" s="19">
        <v>1200874</v>
      </c>
      <c r="I76" s="19" t="s">
        <v>13</v>
      </c>
    </row>
    <row r="77" spans="1:9" s="19" customFormat="1" x14ac:dyDescent="0.2">
      <c r="A77" s="19">
        <v>6139246</v>
      </c>
      <c r="B77" s="16" t="s">
        <v>9</v>
      </c>
      <c r="C77" s="16" t="s">
        <v>595</v>
      </c>
      <c r="D77" s="21">
        <v>45657</v>
      </c>
      <c r="E77" s="17">
        <v>45657</v>
      </c>
      <c r="F77" s="19" t="s">
        <v>146</v>
      </c>
      <c r="G77" s="35" t="s">
        <v>147</v>
      </c>
      <c r="H77" s="19">
        <v>6341783</v>
      </c>
      <c r="I77" s="19" t="s">
        <v>13</v>
      </c>
    </row>
    <row r="78" spans="1:9" s="19" customFormat="1" x14ac:dyDescent="0.2">
      <c r="A78" s="19">
        <v>6139247</v>
      </c>
      <c r="B78" s="16" t="s">
        <v>9</v>
      </c>
      <c r="C78" s="16" t="s">
        <v>595</v>
      </c>
      <c r="D78" s="21">
        <v>45657</v>
      </c>
      <c r="E78" s="17">
        <v>45657</v>
      </c>
      <c r="F78" s="19" t="s">
        <v>148</v>
      </c>
      <c r="G78" s="20" t="s">
        <v>149</v>
      </c>
      <c r="H78" s="19">
        <v>6341783</v>
      </c>
      <c r="I78" s="19" t="s">
        <v>13</v>
      </c>
    </row>
    <row r="79" spans="1:9" s="19" customFormat="1" x14ac:dyDescent="0.2">
      <c r="A79" s="19">
        <v>6139248</v>
      </c>
      <c r="B79" s="16" t="s">
        <v>9</v>
      </c>
      <c r="C79" s="16" t="s">
        <v>595</v>
      </c>
      <c r="D79" s="21">
        <v>45657</v>
      </c>
      <c r="E79" s="17">
        <v>45657</v>
      </c>
      <c r="F79" s="19" t="s">
        <v>597</v>
      </c>
      <c r="G79" s="20" t="s">
        <v>598</v>
      </c>
      <c r="H79" s="19">
        <v>6341783</v>
      </c>
      <c r="I79" s="19" t="s">
        <v>13</v>
      </c>
    </row>
    <row r="80" spans="1:9" s="19" customFormat="1" x14ac:dyDescent="0.2">
      <c r="A80" s="19">
        <v>6139249</v>
      </c>
      <c r="B80" s="16" t="s">
        <v>9</v>
      </c>
      <c r="C80" s="16" t="s">
        <v>595</v>
      </c>
      <c r="D80" s="21">
        <v>45657</v>
      </c>
      <c r="E80" s="17">
        <v>45657</v>
      </c>
      <c r="F80" s="19" t="s">
        <v>150</v>
      </c>
      <c r="G80" s="20" t="s">
        <v>151</v>
      </c>
      <c r="H80" s="19">
        <v>0</v>
      </c>
      <c r="I80" s="19" t="s">
        <v>13</v>
      </c>
    </row>
    <row r="81" spans="1:9" s="19" customFormat="1" x14ac:dyDescent="0.2">
      <c r="A81" s="19">
        <v>6139250</v>
      </c>
      <c r="B81" s="16" t="s">
        <v>9</v>
      </c>
      <c r="C81" s="16" t="s">
        <v>595</v>
      </c>
      <c r="D81" s="21">
        <v>45657</v>
      </c>
      <c r="E81" s="17">
        <v>45657</v>
      </c>
      <c r="F81" s="19" t="s">
        <v>152</v>
      </c>
      <c r="G81" s="20" t="s">
        <v>153</v>
      </c>
      <c r="H81" s="19">
        <v>731572</v>
      </c>
      <c r="I81" s="19" t="s">
        <v>13</v>
      </c>
    </row>
    <row r="82" spans="1:9" s="19" customFormat="1" x14ac:dyDescent="0.2">
      <c r="A82" s="19">
        <v>6139251</v>
      </c>
      <c r="B82" s="16" t="s">
        <v>9</v>
      </c>
      <c r="C82" s="16" t="s">
        <v>595</v>
      </c>
      <c r="D82" s="21">
        <v>45657</v>
      </c>
      <c r="E82" s="17">
        <v>45657</v>
      </c>
      <c r="F82" s="19" t="s">
        <v>154</v>
      </c>
      <c r="G82" s="20" t="s">
        <v>155</v>
      </c>
      <c r="H82" s="19">
        <v>731572</v>
      </c>
      <c r="I82" s="19" t="s">
        <v>13</v>
      </c>
    </row>
    <row r="83" spans="1:9" s="19" customFormat="1" x14ac:dyDescent="0.2">
      <c r="A83" s="19">
        <v>6139252</v>
      </c>
      <c r="B83" s="16" t="s">
        <v>9</v>
      </c>
      <c r="C83" s="16" t="s">
        <v>595</v>
      </c>
      <c r="D83" s="21">
        <v>45657</v>
      </c>
      <c r="E83" s="17">
        <v>45657</v>
      </c>
      <c r="F83" s="19" t="s">
        <v>156</v>
      </c>
      <c r="G83" s="20" t="s">
        <v>157</v>
      </c>
      <c r="H83" s="19">
        <v>57218</v>
      </c>
      <c r="I83" s="19" t="s">
        <v>13</v>
      </c>
    </row>
    <row r="84" spans="1:9" s="19" customFormat="1" x14ac:dyDescent="0.2">
      <c r="A84" s="19">
        <v>6139253</v>
      </c>
      <c r="B84" s="16" t="s">
        <v>9</v>
      </c>
      <c r="C84" s="16" t="s">
        <v>595</v>
      </c>
      <c r="D84" s="21">
        <v>45657</v>
      </c>
      <c r="E84" s="17">
        <v>45657</v>
      </c>
      <c r="F84" s="19" t="s">
        <v>158</v>
      </c>
      <c r="G84" s="20" t="s">
        <v>159</v>
      </c>
      <c r="H84" s="19">
        <v>674354</v>
      </c>
      <c r="I84" s="19" t="s">
        <v>13</v>
      </c>
    </row>
    <row r="85" spans="1:9" s="19" customFormat="1" x14ac:dyDescent="0.2">
      <c r="A85" s="19">
        <v>6139254</v>
      </c>
      <c r="B85" s="16" t="s">
        <v>9</v>
      </c>
      <c r="C85" s="16" t="s">
        <v>595</v>
      </c>
      <c r="D85" s="21">
        <v>45657</v>
      </c>
      <c r="E85" s="17">
        <v>45657</v>
      </c>
      <c r="F85" s="19" t="s">
        <v>160</v>
      </c>
      <c r="G85" s="20" t="s">
        <v>161</v>
      </c>
      <c r="H85" s="19">
        <v>0</v>
      </c>
      <c r="I85" s="19" t="s">
        <v>13</v>
      </c>
    </row>
    <row r="86" spans="1:9" s="19" customFormat="1" x14ac:dyDescent="0.2">
      <c r="A86" s="19">
        <v>6139255</v>
      </c>
      <c r="B86" s="16" t="s">
        <v>9</v>
      </c>
      <c r="C86" s="16" t="s">
        <v>595</v>
      </c>
      <c r="D86" s="21">
        <v>45657</v>
      </c>
      <c r="E86" s="17">
        <v>45657</v>
      </c>
      <c r="F86" s="19" t="s">
        <v>162</v>
      </c>
      <c r="G86" s="20" t="s">
        <v>163</v>
      </c>
      <c r="H86" s="19">
        <v>0</v>
      </c>
      <c r="I86" s="19" t="s">
        <v>13</v>
      </c>
    </row>
    <row r="87" spans="1:9" s="19" customFormat="1" x14ac:dyDescent="0.2">
      <c r="A87" s="19">
        <v>6139256</v>
      </c>
      <c r="B87" s="16" t="s">
        <v>9</v>
      </c>
      <c r="C87" s="16" t="s">
        <v>595</v>
      </c>
      <c r="D87" s="21">
        <v>45657</v>
      </c>
      <c r="E87" s="17">
        <v>45657</v>
      </c>
      <c r="F87" s="19" t="s">
        <v>164</v>
      </c>
      <c r="G87" s="35" t="s">
        <v>165</v>
      </c>
      <c r="H87" s="19">
        <v>55890</v>
      </c>
      <c r="I87" s="19" t="s">
        <v>13</v>
      </c>
    </row>
    <row r="88" spans="1:9" s="19" customFormat="1" x14ac:dyDescent="0.2">
      <c r="A88" s="19">
        <v>6139257</v>
      </c>
      <c r="B88" s="16" t="s">
        <v>9</v>
      </c>
      <c r="C88" s="16" t="s">
        <v>595</v>
      </c>
      <c r="D88" s="21">
        <v>45657</v>
      </c>
      <c r="E88" s="17">
        <v>45657</v>
      </c>
      <c r="F88" s="19" t="s">
        <v>166</v>
      </c>
      <c r="G88" s="20" t="s">
        <v>165</v>
      </c>
      <c r="H88" s="19">
        <v>55890</v>
      </c>
      <c r="I88" s="19" t="s">
        <v>13</v>
      </c>
    </row>
    <row r="89" spans="1:9" s="19" customFormat="1" x14ac:dyDescent="0.2">
      <c r="A89" s="19">
        <v>6139258</v>
      </c>
      <c r="B89" s="16" t="s">
        <v>9</v>
      </c>
      <c r="C89" s="16" t="s">
        <v>595</v>
      </c>
      <c r="D89" s="21">
        <v>45657</v>
      </c>
      <c r="E89" s="17">
        <v>45657</v>
      </c>
      <c r="F89" s="19" t="s">
        <v>167</v>
      </c>
      <c r="G89" s="20" t="s">
        <v>168</v>
      </c>
      <c r="H89" s="19">
        <v>55890</v>
      </c>
      <c r="I89" s="19" t="s">
        <v>13</v>
      </c>
    </row>
    <row r="90" spans="1:9" s="19" customFormat="1" x14ac:dyDescent="0.2">
      <c r="A90" s="19">
        <v>6139259</v>
      </c>
      <c r="B90" s="16" t="s">
        <v>9</v>
      </c>
      <c r="C90" s="16" t="s">
        <v>595</v>
      </c>
      <c r="D90" s="21">
        <v>45657</v>
      </c>
      <c r="E90" s="17">
        <v>45657</v>
      </c>
      <c r="F90" s="19" t="s">
        <v>169</v>
      </c>
      <c r="G90" s="20" t="s">
        <v>170</v>
      </c>
      <c r="H90" s="19">
        <v>0</v>
      </c>
      <c r="I90" s="19" t="s">
        <v>13</v>
      </c>
    </row>
    <row r="91" spans="1:9" s="19" customFormat="1" x14ac:dyDescent="0.2">
      <c r="A91" s="19">
        <v>6139260</v>
      </c>
      <c r="B91" s="16" t="s">
        <v>9</v>
      </c>
      <c r="C91" s="16" t="s">
        <v>595</v>
      </c>
      <c r="D91" s="21">
        <v>45657</v>
      </c>
      <c r="E91" s="17">
        <v>45657</v>
      </c>
      <c r="F91" s="19" t="s">
        <v>171</v>
      </c>
      <c r="G91" s="35" t="s">
        <v>172</v>
      </c>
      <c r="H91" s="19">
        <v>0</v>
      </c>
      <c r="I91" s="19" t="s">
        <v>13</v>
      </c>
    </row>
    <row r="92" spans="1:9" s="19" customFormat="1" x14ac:dyDescent="0.2">
      <c r="A92" s="19">
        <v>6139261</v>
      </c>
      <c r="B92" s="16" t="s">
        <v>9</v>
      </c>
      <c r="C92" s="16" t="s">
        <v>595</v>
      </c>
      <c r="D92" s="21">
        <v>45657</v>
      </c>
      <c r="E92" s="17">
        <v>45657</v>
      </c>
      <c r="F92" s="19" t="s">
        <v>173</v>
      </c>
      <c r="G92" s="20" t="s">
        <v>174</v>
      </c>
      <c r="H92" s="19">
        <v>0</v>
      </c>
      <c r="I92" s="19" t="s">
        <v>13</v>
      </c>
    </row>
    <row r="93" spans="1:9" s="19" customFormat="1" x14ac:dyDescent="0.2">
      <c r="A93" s="19">
        <v>6139262</v>
      </c>
      <c r="B93" s="16" t="s">
        <v>9</v>
      </c>
      <c r="C93" s="16" t="s">
        <v>595</v>
      </c>
      <c r="D93" s="21">
        <v>45657</v>
      </c>
      <c r="E93" s="17">
        <v>45657</v>
      </c>
      <c r="F93" s="19" t="s">
        <v>175</v>
      </c>
      <c r="G93" s="20" t="s">
        <v>176</v>
      </c>
      <c r="H93" s="19">
        <v>1257420</v>
      </c>
      <c r="I93" s="19" t="s">
        <v>13</v>
      </c>
    </row>
    <row r="94" spans="1:9" s="19" customFormat="1" x14ac:dyDescent="0.2">
      <c r="A94" s="19">
        <v>6139263</v>
      </c>
      <c r="B94" s="16" t="s">
        <v>9</v>
      </c>
      <c r="C94" s="16" t="s">
        <v>595</v>
      </c>
      <c r="D94" s="21">
        <v>45657</v>
      </c>
      <c r="E94" s="17">
        <v>45657</v>
      </c>
      <c r="F94" s="19" t="s">
        <v>177</v>
      </c>
      <c r="G94" s="20" t="s">
        <v>178</v>
      </c>
      <c r="H94" s="19">
        <v>0</v>
      </c>
      <c r="I94" s="19" t="s">
        <v>13</v>
      </c>
    </row>
    <row r="95" spans="1:9" s="19" customFormat="1" x14ac:dyDescent="0.2">
      <c r="A95" s="19">
        <v>6139264</v>
      </c>
      <c r="B95" s="16" t="s">
        <v>9</v>
      </c>
      <c r="C95" s="16" t="s">
        <v>595</v>
      </c>
      <c r="D95" s="21">
        <v>45657</v>
      </c>
      <c r="E95" s="17">
        <v>45657</v>
      </c>
      <c r="F95" s="19" t="s">
        <v>179</v>
      </c>
      <c r="G95" s="20" t="s">
        <v>180</v>
      </c>
      <c r="H95" s="19">
        <v>0</v>
      </c>
      <c r="I95" s="19" t="s">
        <v>13</v>
      </c>
    </row>
    <row r="96" spans="1:9" s="19" customFormat="1" x14ac:dyDescent="0.2">
      <c r="A96" s="19">
        <v>6139265</v>
      </c>
      <c r="B96" s="16" t="s">
        <v>9</v>
      </c>
      <c r="C96" s="16" t="s">
        <v>595</v>
      </c>
      <c r="D96" s="21">
        <v>45657</v>
      </c>
      <c r="E96" s="17">
        <v>45657</v>
      </c>
      <c r="F96" s="19" t="s">
        <v>181</v>
      </c>
      <c r="G96" s="20" t="s">
        <v>182</v>
      </c>
      <c r="H96" s="19">
        <v>0</v>
      </c>
      <c r="I96" s="19" t="s">
        <v>13</v>
      </c>
    </row>
    <row r="97" spans="1:9" s="19" customFormat="1" x14ac:dyDescent="0.2">
      <c r="A97" s="19">
        <v>6139266</v>
      </c>
      <c r="B97" s="16" t="s">
        <v>9</v>
      </c>
      <c r="C97" s="16" t="s">
        <v>595</v>
      </c>
      <c r="D97" s="21">
        <v>45657</v>
      </c>
      <c r="E97" s="17">
        <v>45657</v>
      </c>
      <c r="F97" s="19" t="s">
        <v>183</v>
      </c>
      <c r="G97" s="20" t="s">
        <v>184</v>
      </c>
      <c r="H97" s="19">
        <v>0</v>
      </c>
      <c r="I97" s="19" t="s">
        <v>13</v>
      </c>
    </row>
    <row r="98" spans="1:9" s="19" customFormat="1" x14ac:dyDescent="0.2">
      <c r="A98" s="19">
        <v>6139267</v>
      </c>
      <c r="B98" s="16" t="s">
        <v>9</v>
      </c>
      <c r="C98" s="16" t="s">
        <v>595</v>
      </c>
      <c r="D98" s="21">
        <v>45657</v>
      </c>
      <c r="E98" s="17">
        <v>45657</v>
      </c>
      <c r="F98" s="19" t="s">
        <v>185</v>
      </c>
      <c r="G98" s="20" t="s">
        <v>59</v>
      </c>
      <c r="H98" s="19">
        <v>1257420</v>
      </c>
      <c r="I98" s="19" t="s">
        <v>13</v>
      </c>
    </row>
    <row r="99" spans="1:9" s="19" customFormat="1" x14ac:dyDescent="0.2">
      <c r="A99" s="19">
        <v>6139268</v>
      </c>
      <c r="B99" s="16" t="s">
        <v>9</v>
      </c>
      <c r="C99" s="16" t="s">
        <v>595</v>
      </c>
      <c r="D99" s="21">
        <v>45657</v>
      </c>
      <c r="E99" s="17">
        <v>45657</v>
      </c>
      <c r="F99" s="19" t="s">
        <v>186</v>
      </c>
      <c r="G99" s="20" t="s">
        <v>187</v>
      </c>
      <c r="H99" s="19">
        <v>1414</v>
      </c>
      <c r="I99" s="19" t="s">
        <v>13</v>
      </c>
    </row>
    <row r="100" spans="1:9" s="19" customFormat="1" x14ac:dyDescent="0.2">
      <c r="A100" s="19">
        <v>6139269</v>
      </c>
      <c r="B100" s="16" t="s">
        <v>9</v>
      </c>
      <c r="C100" s="16" t="s">
        <v>595</v>
      </c>
      <c r="D100" s="21">
        <v>45657</v>
      </c>
      <c r="E100" s="17">
        <v>45657</v>
      </c>
      <c r="F100" s="19" t="s">
        <v>188</v>
      </c>
      <c r="G100" s="20" t="s">
        <v>189</v>
      </c>
      <c r="H100" s="19">
        <v>0</v>
      </c>
      <c r="I100" s="19" t="s">
        <v>13</v>
      </c>
    </row>
    <row r="101" spans="1:9" s="19" customFormat="1" x14ac:dyDescent="0.2">
      <c r="A101" s="19">
        <v>6139270</v>
      </c>
      <c r="B101" s="16" t="s">
        <v>9</v>
      </c>
      <c r="C101" s="16" t="s">
        <v>595</v>
      </c>
      <c r="D101" s="21">
        <v>45657</v>
      </c>
      <c r="E101" s="17">
        <v>45657</v>
      </c>
      <c r="F101" s="19" t="s">
        <v>190</v>
      </c>
      <c r="G101" s="20" t="s">
        <v>191</v>
      </c>
      <c r="H101" s="19">
        <v>0</v>
      </c>
      <c r="I101" s="19" t="s">
        <v>13</v>
      </c>
    </row>
    <row r="102" spans="1:9" s="19" customFormat="1" x14ac:dyDescent="0.2">
      <c r="A102" s="19">
        <v>6139271</v>
      </c>
      <c r="B102" s="16" t="s">
        <v>9</v>
      </c>
      <c r="C102" s="16" t="s">
        <v>595</v>
      </c>
      <c r="D102" s="21">
        <v>45657</v>
      </c>
      <c r="E102" s="17">
        <v>45657</v>
      </c>
      <c r="F102" s="19" t="s">
        <v>192</v>
      </c>
      <c r="G102" s="20" t="s">
        <v>193</v>
      </c>
      <c r="H102" s="19">
        <v>147480</v>
      </c>
      <c r="I102" s="19" t="s">
        <v>13</v>
      </c>
    </row>
    <row r="103" spans="1:9" s="19" customFormat="1" x14ac:dyDescent="0.2">
      <c r="A103" s="19">
        <v>6139272</v>
      </c>
      <c r="B103" s="16" t="s">
        <v>9</v>
      </c>
      <c r="C103" s="16" t="s">
        <v>595</v>
      </c>
      <c r="D103" s="21">
        <v>45657</v>
      </c>
      <c r="E103" s="17">
        <v>45657</v>
      </c>
      <c r="F103" s="19" t="s">
        <v>194</v>
      </c>
      <c r="G103" s="20" t="s">
        <v>195</v>
      </c>
      <c r="H103" s="19">
        <v>207245</v>
      </c>
      <c r="I103" s="19" t="s">
        <v>13</v>
      </c>
    </row>
    <row r="104" spans="1:9" s="19" customFormat="1" x14ac:dyDescent="0.2">
      <c r="A104" s="19">
        <v>6139273</v>
      </c>
      <c r="B104" s="16" t="s">
        <v>9</v>
      </c>
      <c r="C104" s="16" t="s">
        <v>595</v>
      </c>
      <c r="D104" s="21">
        <v>45657</v>
      </c>
      <c r="E104" s="17">
        <v>45657</v>
      </c>
      <c r="F104" s="19" t="s">
        <v>196</v>
      </c>
      <c r="G104" s="20" t="s">
        <v>197</v>
      </c>
      <c r="H104" s="19">
        <v>901281</v>
      </c>
      <c r="I104" s="19" t="s">
        <v>13</v>
      </c>
    </row>
    <row r="105" spans="1:9" s="19" customFormat="1" x14ac:dyDescent="0.2">
      <c r="A105" s="19">
        <v>6139274</v>
      </c>
      <c r="B105" s="16" t="s">
        <v>9</v>
      </c>
      <c r="C105" s="16" t="s">
        <v>595</v>
      </c>
      <c r="D105" s="21">
        <v>45657</v>
      </c>
      <c r="E105" s="17">
        <v>45657</v>
      </c>
      <c r="F105" s="19" t="s">
        <v>198</v>
      </c>
      <c r="G105" s="20" t="s">
        <v>199</v>
      </c>
      <c r="H105" s="19">
        <v>19950</v>
      </c>
      <c r="I105" s="19" t="s">
        <v>13</v>
      </c>
    </row>
    <row r="106" spans="1:9" s="19" customFormat="1" x14ac:dyDescent="0.2">
      <c r="A106" s="19">
        <v>6139275</v>
      </c>
      <c r="B106" s="16" t="s">
        <v>9</v>
      </c>
      <c r="C106" s="16" t="s">
        <v>595</v>
      </c>
      <c r="D106" s="21">
        <v>45657</v>
      </c>
      <c r="E106" s="17">
        <v>45657</v>
      </c>
      <c r="F106" s="19" t="s">
        <v>200</v>
      </c>
      <c r="G106" s="20" t="s">
        <v>201</v>
      </c>
      <c r="H106" s="19">
        <v>19950</v>
      </c>
      <c r="I106" s="19" t="s">
        <v>13</v>
      </c>
    </row>
    <row r="107" spans="1:9" s="19" customFormat="1" x14ac:dyDescent="0.2">
      <c r="A107" s="19">
        <v>6139276</v>
      </c>
      <c r="B107" s="16" t="s">
        <v>9</v>
      </c>
      <c r="C107" s="16" t="s">
        <v>595</v>
      </c>
      <c r="D107" s="21">
        <v>45657</v>
      </c>
      <c r="E107" s="17">
        <v>45657</v>
      </c>
      <c r="F107" s="19" t="s">
        <v>202</v>
      </c>
      <c r="G107" s="20" t="s">
        <v>203</v>
      </c>
      <c r="H107" s="19">
        <v>0</v>
      </c>
      <c r="I107" s="19" t="s">
        <v>13</v>
      </c>
    </row>
    <row r="108" spans="1:9" s="19" customFormat="1" x14ac:dyDescent="0.2">
      <c r="A108" s="19">
        <v>6139277</v>
      </c>
      <c r="B108" s="16" t="s">
        <v>9</v>
      </c>
      <c r="C108" s="16" t="s">
        <v>595</v>
      </c>
      <c r="D108" s="21">
        <v>45657</v>
      </c>
      <c r="E108" s="17">
        <v>45657</v>
      </c>
      <c r="F108" s="19" t="s">
        <v>204</v>
      </c>
      <c r="G108" s="20" t="s">
        <v>205</v>
      </c>
      <c r="H108" s="19">
        <v>0</v>
      </c>
      <c r="I108" s="19" t="s">
        <v>13</v>
      </c>
    </row>
    <row r="109" spans="1:9" s="19" customFormat="1" x14ac:dyDescent="0.2">
      <c r="A109" s="19">
        <v>6139278</v>
      </c>
      <c r="B109" s="16" t="s">
        <v>9</v>
      </c>
      <c r="C109" s="16" t="s">
        <v>595</v>
      </c>
      <c r="D109" s="21">
        <v>45657</v>
      </c>
      <c r="E109" s="17">
        <v>45657</v>
      </c>
      <c r="F109" s="19" t="s">
        <v>206</v>
      </c>
      <c r="G109" s="20" t="s">
        <v>207</v>
      </c>
      <c r="H109" s="19">
        <v>0</v>
      </c>
      <c r="I109" s="19" t="s">
        <v>13</v>
      </c>
    </row>
    <row r="110" spans="1:9" s="19" customFormat="1" x14ac:dyDescent="0.2">
      <c r="A110" s="19">
        <v>6139279</v>
      </c>
      <c r="B110" s="16" t="s">
        <v>9</v>
      </c>
      <c r="C110" s="16" t="s">
        <v>595</v>
      </c>
      <c r="D110" s="21">
        <v>45657</v>
      </c>
      <c r="E110" s="17">
        <v>45657</v>
      </c>
      <c r="F110" s="19" t="s">
        <v>208</v>
      </c>
      <c r="G110" s="20" t="s">
        <v>209</v>
      </c>
      <c r="H110" s="19">
        <v>0</v>
      </c>
      <c r="I110" s="19" t="s">
        <v>13</v>
      </c>
    </row>
    <row r="111" spans="1:9" s="19" customFormat="1" x14ac:dyDescent="0.2">
      <c r="A111" s="19">
        <v>6139280</v>
      </c>
      <c r="B111" s="16" t="s">
        <v>9</v>
      </c>
      <c r="C111" s="16" t="s">
        <v>595</v>
      </c>
      <c r="D111" s="21">
        <v>45657</v>
      </c>
      <c r="E111" s="17">
        <v>45657</v>
      </c>
      <c r="F111" s="19" t="s">
        <v>210</v>
      </c>
      <c r="G111" s="20" t="s">
        <v>211</v>
      </c>
      <c r="H111" s="19">
        <v>0</v>
      </c>
      <c r="I111" s="19" t="s">
        <v>13</v>
      </c>
    </row>
    <row r="112" spans="1:9" s="19" customFormat="1" x14ac:dyDescent="0.2">
      <c r="A112" s="19">
        <v>6139281</v>
      </c>
      <c r="B112" s="16" t="s">
        <v>9</v>
      </c>
      <c r="C112" s="16" t="s">
        <v>595</v>
      </c>
      <c r="D112" s="21">
        <v>45657</v>
      </c>
      <c r="E112" s="17">
        <v>45657</v>
      </c>
      <c r="F112" s="19" t="s">
        <v>212</v>
      </c>
      <c r="G112" s="20" t="s">
        <v>213</v>
      </c>
      <c r="H112" s="19">
        <v>0</v>
      </c>
      <c r="I112" s="19" t="s">
        <v>13</v>
      </c>
    </row>
    <row r="113" spans="1:9" s="19" customFormat="1" x14ac:dyDescent="0.2">
      <c r="A113" s="19">
        <v>6139282</v>
      </c>
      <c r="B113" s="16" t="s">
        <v>9</v>
      </c>
      <c r="C113" s="16" t="s">
        <v>595</v>
      </c>
      <c r="D113" s="21">
        <v>45657</v>
      </c>
      <c r="E113" s="17">
        <v>45657</v>
      </c>
      <c r="F113" s="19" t="s">
        <v>214</v>
      </c>
      <c r="G113" s="20" t="s">
        <v>215</v>
      </c>
      <c r="H113" s="19">
        <v>0</v>
      </c>
      <c r="I113" s="19" t="s">
        <v>13</v>
      </c>
    </row>
    <row r="114" spans="1:9" s="19" customFormat="1" x14ac:dyDescent="0.2">
      <c r="A114" s="19">
        <v>6139283</v>
      </c>
      <c r="B114" s="16" t="s">
        <v>9</v>
      </c>
      <c r="C114" s="16" t="s">
        <v>595</v>
      </c>
      <c r="D114" s="21">
        <v>45657</v>
      </c>
      <c r="E114" s="17">
        <v>45657</v>
      </c>
      <c r="F114" s="19" t="s">
        <v>216</v>
      </c>
      <c r="G114" s="20" t="s">
        <v>217</v>
      </c>
      <c r="H114" s="19">
        <v>0</v>
      </c>
      <c r="I114" s="19" t="s">
        <v>13</v>
      </c>
    </row>
    <row r="115" spans="1:9" s="19" customFormat="1" x14ac:dyDescent="0.2">
      <c r="A115" s="19">
        <v>6139284</v>
      </c>
      <c r="B115" s="16" t="s">
        <v>9</v>
      </c>
      <c r="C115" s="16" t="s">
        <v>595</v>
      </c>
      <c r="D115" s="21">
        <v>45657</v>
      </c>
      <c r="E115" s="17">
        <v>45657</v>
      </c>
      <c r="F115" s="19" t="s">
        <v>218</v>
      </c>
      <c r="G115" s="20" t="s">
        <v>219</v>
      </c>
      <c r="H115" s="19">
        <v>0</v>
      </c>
      <c r="I115" s="19" t="s">
        <v>13</v>
      </c>
    </row>
    <row r="116" spans="1:9" s="19" customFormat="1" x14ac:dyDescent="0.2">
      <c r="A116" s="19">
        <v>6139285</v>
      </c>
      <c r="B116" s="16" t="s">
        <v>9</v>
      </c>
      <c r="C116" s="16" t="s">
        <v>595</v>
      </c>
      <c r="D116" s="21">
        <v>45657</v>
      </c>
      <c r="E116" s="17">
        <v>45657</v>
      </c>
      <c r="F116" s="19" t="s">
        <v>220</v>
      </c>
      <c r="G116" s="20" t="s">
        <v>221</v>
      </c>
      <c r="H116" s="19">
        <v>0</v>
      </c>
      <c r="I116" s="19" t="s">
        <v>13</v>
      </c>
    </row>
    <row r="117" spans="1:9" s="19" customFormat="1" x14ac:dyDescent="0.2">
      <c r="A117" s="19">
        <v>6139286</v>
      </c>
      <c r="B117" s="16" t="s">
        <v>9</v>
      </c>
      <c r="C117" s="16" t="s">
        <v>595</v>
      </c>
      <c r="D117" s="21">
        <v>45657</v>
      </c>
      <c r="E117" s="17">
        <v>45657</v>
      </c>
      <c r="F117" s="19" t="s">
        <v>222</v>
      </c>
      <c r="G117" s="20" t="s">
        <v>223</v>
      </c>
      <c r="H117" s="19">
        <v>0</v>
      </c>
      <c r="I117" s="19" t="s">
        <v>13</v>
      </c>
    </row>
    <row r="118" spans="1:9" x14ac:dyDescent="0.2">
      <c r="A118" s="7">
        <v>6139287</v>
      </c>
      <c r="B118" s="8" t="s">
        <v>9</v>
      </c>
      <c r="C118" s="8" t="s">
        <v>595</v>
      </c>
      <c r="D118" s="9">
        <v>45657</v>
      </c>
      <c r="E118" s="10">
        <v>45657</v>
      </c>
      <c r="F118" s="7" t="s">
        <v>224</v>
      </c>
      <c r="G118" s="11" t="s">
        <v>225</v>
      </c>
      <c r="H118" s="7">
        <v>11854347</v>
      </c>
      <c r="I118" s="7" t="s">
        <v>13</v>
      </c>
    </row>
    <row r="119" spans="1:9" x14ac:dyDescent="0.2">
      <c r="A119" s="7">
        <v>6139288</v>
      </c>
      <c r="B119" s="8" t="s">
        <v>9</v>
      </c>
      <c r="C119" s="8" t="s">
        <v>595</v>
      </c>
      <c r="D119" s="9">
        <v>45657</v>
      </c>
      <c r="E119" s="10">
        <v>45657</v>
      </c>
      <c r="F119" s="7" t="s">
        <v>226</v>
      </c>
      <c r="G119" s="11" t="s">
        <v>165</v>
      </c>
      <c r="H119" s="7">
        <v>6786795</v>
      </c>
      <c r="I119" s="7" t="s">
        <v>13</v>
      </c>
    </row>
    <row r="120" spans="1:9" x14ac:dyDescent="0.2">
      <c r="A120" s="7">
        <v>6139289</v>
      </c>
      <c r="B120" s="8" t="s">
        <v>9</v>
      </c>
      <c r="C120" s="8" t="s">
        <v>595</v>
      </c>
      <c r="D120" s="9">
        <v>45657</v>
      </c>
      <c r="E120" s="10">
        <v>45657</v>
      </c>
      <c r="F120" s="7" t="s">
        <v>227</v>
      </c>
      <c r="G120" s="11" t="s">
        <v>165</v>
      </c>
      <c r="H120" s="7">
        <v>6786795</v>
      </c>
      <c r="I120" s="7" t="s">
        <v>13</v>
      </c>
    </row>
    <row r="121" spans="1:9" x14ac:dyDescent="0.2">
      <c r="A121" s="7">
        <v>6139290</v>
      </c>
      <c r="B121" s="8" t="s">
        <v>9</v>
      </c>
      <c r="C121" s="8" t="s">
        <v>595</v>
      </c>
      <c r="D121" s="9">
        <v>45657</v>
      </c>
      <c r="E121" s="10">
        <v>45657</v>
      </c>
      <c r="F121" s="7" t="s">
        <v>228</v>
      </c>
      <c r="G121" s="11" t="s">
        <v>168</v>
      </c>
      <c r="H121" s="7">
        <v>6786795</v>
      </c>
      <c r="I121" s="7" t="s">
        <v>13</v>
      </c>
    </row>
    <row r="122" spans="1:9" x14ac:dyDescent="0.2">
      <c r="A122" s="7">
        <v>6139291</v>
      </c>
      <c r="B122" s="8" t="s">
        <v>9</v>
      </c>
      <c r="C122" s="8" t="s">
        <v>595</v>
      </c>
      <c r="D122" s="9">
        <v>45657</v>
      </c>
      <c r="E122" s="10">
        <v>45657</v>
      </c>
      <c r="F122" s="7" t="s">
        <v>229</v>
      </c>
      <c r="G122" s="11" t="s">
        <v>170</v>
      </c>
      <c r="H122" s="7">
        <v>0</v>
      </c>
      <c r="I122" s="7" t="s">
        <v>13</v>
      </c>
    </row>
    <row r="123" spans="1:9" x14ac:dyDescent="0.2">
      <c r="A123" s="7">
        <v>6139292</v>
      </c>
      <c r="B123" s="8" t="s">
        <v>9</v>
      </c>
      <c r="C123" s="8" t="s">
        <v>595</v>
      </c>
      <c r="D123" s="9">
        <v>45657</v>
      </c>
      <c r="E123" s="10">
        <v>45657</v>
      </c>
      <c r="F123" s="7" t="s">
        <v>230</v>
      </c>
      <c r="G123" s="11" t="s">
        <v>172</v>
      </c>
      <c r="H123" s="7">
        <v>0</v>
      </c>
      <c r="I123" s="7" t="s">
        <v>13</v>
      </c>
    </row>
    <row r="124" spans="1:9" x14ac:dyDescent="0.2">
      <c r="A124" s="7">
        <v>6139293</v>
      </c>
      <c r="B124" s="8" t="s">
        <v>9</v>
      </c>
      <c r="C124" s="8" t="s">
        <v>595</v>
      </c>
      <c r="D124" s="9">
        <v>45657</v>
      </c>
      <c r="E124" s="10">
        <v>45657</v>
      </c>
      <c r="F124" s="7" t="s">
        <v>231</v>
      </c>
      <c r="G124" s="11" t="s">
        <v>174</v>
      </c>
      <c r="H124" s="7">
        <v>0</v>
      </c>
      <c r="I124" s="7" t="s">
        <v>13</v>
      </c>
    </row>
    <row r="125" spans="1:9" x14ac:dyDescent="0.2">
      <c r="A125" s="7">
        <v>6139294</v>
      </c>
      <c r="B125" s="8" t="s">
        <v>9</v>
      </c>
      <c r="C125" s="8" t="s">
        <v>595</v>
      </c>
      <c r="D125" s="9">
        <v>45657</v>
      </c>
      <c r="E125" s="10">
        <v>45657</v>
      </c>
      <c r="F125" s="7" t="s">
        <v>232</v>
      </c>
      <c r="G125" s="11" t="s">
        <v>176</v>
      </c>
      <c r="H125" s="7">
        <v>1835469</v>
      </c>
      <c r="I125" s="7" t="s">
        <v>13</v>
      </c>
    </row>
    <row r="126" spans="1:9" x14ac:dyDescent="0.2">
      <c r="A126" s="7">
        <v>6139295</v>
      </c>
      <c r="B126" s="8" t="s">
        <v>9</v>
      </c>
      <c r="C126" s="8" t="s">
        <v>595</v>
      </c>
      <c r="D126" s="9">
        <v>45657</v>
      </c>
      <c r="E126" s="10">
        <v>45657</v>
      </c>
      <c r="F126" s="7" t="s">
        <v>233</v>
      </c>
      <c r="G126" s="11" t="s">
        <v>178</v>
      </c>
      <c r="H126" s="7">
        <v>0</v>
      </c>
      <c r="I126" s="7" t="s">
        <v>13</v>
      </c>
    </row>
    <row r="127" spans="1:9" x14ac:dyDescent="0.2">
      <c r="A127" s="7">
        <v>6139296</v>
      </c>
      <c r="B127" s="8" t="s">
        <v>9</v>
      </c>
      <c r="C127" s="8" t="s">
        <v>595</v>
      </c>
      <c r="D127" s="9">
        <v>45657</v>
      </c>
      <c r="E127" s="10">
        <v>45657</v>
      </c>
      <c r="F127" s="7" t="s">
        <v>234</v>
      </c>
      <c r="G127" s="11" t="s">
        <v>180</v>
      </c>
      <c r="H127" s="7">
        <v>0</v>
      </c>
      <c r="I127" s="7" t="s">
        <v>13</v>
      </c>
    </row>
    <row r="128" spans="1:9" x14ac:dyDescent="0.2">
      <c r="A128" s="7">
        <v>6139297</v>
      </c>
      <c r="B128" s="8" t="s">
        <v>9</v>
      </c>
      <c r="C128" s="8" t="s">
        <v>595</v>
      </c>
      <c r="D128" s="9">
        <v>45657</v>
      </c>
      <c r="E128" s="10">
        <v>45657</v>
      </c>
      <c r="F128" s="7" t="s">
        <v>235</v>
      </c>
      <c r="G128" s="11" t="s">
        <v>182</v>
      </c>
      <c r="H128" s="7">
        <v>0</v>
      </c>
      <c r="I128" s="7" t="s">
        <v>13</v>
      </c>
    </row>
    <row r="129" spans="1:9" x14ac:dyDescent="0.2">
      <c r="A129" s="7">
        <v>6139298</v>
      </c>
      <c r="B129" s="8" t="s">
        <v>9</v>
      </c>
      <c r="C129" s="8" t="s">
        <v>595</v>
      </c>
      <c r="D129" s="9">
        <v>45657</v>
      </c>
      <c r="E129" s="10">
        <v>45657</v>
      </c>
      <c r="F129" s="7" t="s">
        <v>236</v>
      </c>
      <c r="G129" s="11" t="s">
        <v>184</v>
      </c>
      <c r="H129" s="7">
        <v>0</v>
      </c>
      <c r="I129" s="7" t="s">
        <v>13</v>
      </c>
    </row>
    <row r="130" spans="1:9" x14ac:dyDescent="0.2">
      <c r="A130" s="7">
        <v>6139299</v>
      </c>
      <c r="B130" s="8" t="s">
        <v>9</v>
      </c>
      <c r="C130" s="8" t="s">
        <v>595</v>
      </c>
      <c r="D130" s="9">
        <v>45657</v>
      </c>
      <c r="E130" s="10">
        <v>45657</v>
      </c>
      <c r="F130" s="7" t="s">
        <v>237</v>
      </c>
      <c r="G130" s="11" t="s">
        <v>59</v>
      </c>
      <c r="H130" s="7">
        <v>1835469</v>
      </c>
      <c r="I130" s="7" t="s">
        <v>13</v>
      </c>
    </row>
    <row r="131" spans="1:9" x14ac:dyDescent="0.2">
      <c r="A131" s="7">
        <v>6139300</v>
      </c>
      <c r="B131" s="8" t="s">
        <v>9</v>
      </c>
      <c r="C131" s="8" t="s">
        <v>595</v>
      </c>
      <c r="D131" s="9">
        <v>45657</v>
      </c>
      <c r="E131" s="10">
        <v>45657</v>
      </c>
      <c r="F131" s="7" t="s">
        <v>238</v>
      </c>
      <c r="G131" s="11" t="s">
        <v>191</v>
      </c>
      <c r="H131" s="7">
        <v>0</v>
      </c>
      <c r="I131" s="7" t="s">
        <v>13</v>
      </c>
    </row>
    <row r="132" spans="1:9" x14ac:dyDescent="0.2">
      <c r="A132" s="7">
        <v>6139301</v>
      </c>
      <c r="B132" s="8" t="s">
        <v>9</v>
      </c>
      <c r="C132" s="8" t="s">
        <v>595</v>
      </c>
      <c r="D132" s="9">
        <v>45657</v>
      </c>
      <c r="E132" s="10">
        <v>45657</v>
      </c>
      <c r="F132" s="7" t="s">
        <v>239</v>
      </c>
      <c r="G132" s="11" t="s">
        <v>240</v>
      </c>
      <c r="H132" s="7">
        <v>0</v>
      </c>
      <c r="I132" s="7" t="s">
        <v>13</v>
      </c>
    </row>
    <row r="133" spans="1:9" x14ac:dyDescent="0.2">
      <c r="A133" s="7">
        <v>6139302</v>
      </c>
      <c r="B133" s="8" t="s">
        <v>9</v>
      </c>
      <c r="C133" s="8" t="s">
        <v>595</v>
      </c>
      <c r="D133" s="9">
        <v>45657</v>
      </c>
      <c r="E133" s="10">
        <v>45657</v>
      </c>
      <c r="F133" s="7" t="s">
        <v>241</v>
      </c>
      <c r="G133" s="11" t="s">
        <v>159</v>
      </c>
      <c r="H133" s="7">
        <v>176813</v>
      </c>
      <c r="I133" s="7" t="s">
        <v>13</v>
      </c>
    </row>
    <row r="134" spans="1:9" x14ac:dyDescent="0.2">
      <c r="A134" s="7">
        <v>6139303</v>
      </c>
      <c r="B134" s="8" t="s">
        <v>9</v>
      </c>
      <c r="C134" s="8" t="s">
        <v>595</v>
      </c>
      <c r="D134" s="9">
        <v>45657</v>
      </c>
      <c r="E134" s="10">
        <v>45657</v>
      </c>
      <c r="F134" s="7" t="s">
        <v>242</v>
      </c>
      <c r="G134" s="11" t="s">
        <v>195</v>
      </c>
      <c r="H134" s="7">
        <v>769587</v>
      </c>
      <c r="I134" s="7" t="s">
        <v>13</v>
      </c>
    </row>
    <row r="135" spans="1:9" x14ac:dyDescent="0.2">
      <c r="A135" s="7">
        <v>6139304</v>
      </c>
      <c r="B135" s="8" t="s">
        <v>9</v>
      </c>
      <c r="C135" s="8" t="s">
        <v>595</v>
      </c>
      <c r="D135" s="9">
        <v>45657</v>
      </c>
      <c r="E135" s="10">
        <v>45657</v>
      </c>
      <c r="F135" s="7" t="s">
        <v>243</v>
      </c>
      <c r="G135" s="11" t="s">
        <v>244</v>
      </c>
      <c r="H135" s="7">
        <v>118077</v>
      </c>
      <c r="I135" s="7" t="s">
        <v>13</v>
      </c>
    </row>
    <row r="136" spans="1:9" x14ac:dyDescent="0.2">
      <c r="A136" s="7">
        <v>6139305</v>
      </c>
      <c r="B136" s="8" t="s">
        <v>9</v>
      </c>
      <c r="C136" s="8" t="s">
        <v>595</v>
      </c>
      <c r="D136" s="9">
        <v>45657</v>
      </c>
      <c r="E136" s="10">
        <v>45657</v>
      </c>
      <c r="F136" s="7" t="s">
        <v>245</v>
      </c>
      <c r="G136" s="11" t="s">
        <v>157</v>
      </c>
      <c r="H136" s="7">
        <v>417503</v>
      </c>
      <c r="I136" s="7" t="s">
        <v>13</v>
      </c>
    </row>
    <row r="137" spans="1:9" x14ac:dyDescent="0.2">
      <c r="A137" s="7">
        <v>6139306</v>
      </c>
      <c r="B137" s="8" t="s">
        <v>9</v>
      </c>
      <c r="C137" s="8" t="s">
        <v>595</v>
      </c>
      <c r="D137" s="9">
        <v>45657</v>
      </c>
      <c r="E137" s="10">
        <v>45657</v>
      </c>
      <c r="F137" s="7" t="s">
        <v>599</v>
      </c>
      <c r="G137" s="11" t="s">
        <v>600</v>
      </c>
      <c r="H137" s="7">
        <v>353489</v>
      </c>
      <c r="I137" s="7" t="s">
        <v>13</v>
      </c>
    </row>
    <row r="138" spans="1:9" x14ac:dyDescent="0.2">
      <c r="A138" s="7">
        <v>6139307</v>
      </c>
      <c r="B138" s="8" t="s">
        <v>9</v>
      </c>
      <c r="C138" s="8" t="s">
        <v>595</v>
      </c>
      <c r="D138" s="9">
        <v>45657</v>
      </c>
      <c r="E138" s="10">
        <v>45657</v>
      </c>
      <c r="F138" s="7" t="s">
        <v>246</v>
      </c>
      <c r="G138" s="11" t="s">
        <v>81</v>
      </c>
      <c r="H138" s="7">
        <v>1356206</v>
      </c>
      <c r="I138" s="7" t="s">
        <v>13</v>
      </c>
    </row>
    <row r="139" spans="1:9" x14ac:dyDescent="0.2">
      <c r="A139" s="7">
        <v>6139308</v>
      </c>
      <c r="B139" s="8" t="s">
        <v>9</v>
      </c>
      <c r="C139" s="8" t="s">
        <v>595</v>
      </c>
      <c r="D139" s="9">
        <v>45657</v>
      </c>
      <c r="E139" s="10">
        <v>45657</v>
      </c>
      <c r="F139" s="7" t="s">
        <v>247</v>
      </c>
      <c r="G139" s="11" t="s">
        <v>83</v>
      </c>
      <c r="H139" s="7">
        <v>1356206</v>
      </c>
      <c r="I139" s="7" t="s">
        <v>13</v>
      </c>
    </row>
    <row r="140" spans="1:9" x14ac:dyDescent="0.2">
      <c r="A140" s="7">
        <v>6139309</v>
      </c>
      <c r="B140" s="8" t="s">
        <v>9</v>
      </c>
      <c r="C140" s="8" t="s">
        <v>595</v>
      </c>
      <c r="D140" s="9">
        <v>45657</v>
      </c>
      <c r="E140" s="10">
        <v>45657</v>
      </c>
      <c r="F140" s="7" t="s">
        <v>248</v>
      </c>
      <c r="G140" s="11" t="s">
        <v>199</v>
      </c>
      <c r="H140" s="7">
        <v>1875877</v>
      </c>
      <c r="I140" s="7" t="s">
        <v>13</v>
      </c>
    </row>
    <row r="141" spans="1:9" x14ac:dyDescent="0.2">
      <c r="A141" s="7">
        <v>6139310</v>
      </c>
      <c r="B141" s="8" t="s">
        <v>9</v>
      </c>
      <c r="C141" s="8" t="s">
        <v>595</v>
      </c>
      <c r="D141" s="9">
        <v>45657</v>
      </c>
      <c r="E141" s="10">
        <v>45657</v>
      </c>
      <c r="F141" s="7" t="s">
        <v>249</v>
      </c>
      <c r="G141" s="11" t="s">
        <v>201</v>
      </c>
      <c r="H141" s="7">
        <v>993950</v>
      </c>
      <c r="I141" s="7" t="s">
        <v>13</v>
      </c>
    </row>
    <row r="142" spans="1:9" x14ac:dyDescent="0.2">
      <c r="A142" s="7">
        <v>6139311</v>
      </c>
      <c r="B142" s="8" t="s">
        <v>9</v>
      </c>
      <c r="C142" s="8" t="s">
        <v>595</v>
      </c>
      <c r="D142" s="9">
        <v>45657</v>
      </c>
      <c r="E142" s="10">
        <v>45657</v>
      </c>
      <c r="F142" s="7" t="s">
        <v>250</v>
      </c>
      <c r="G142" s="11" t="s">
        <v>203</v>
      </c>
      <c r="H142" s="7">
        <v>0</v>
      </c>
      <c r="I142" s="7" t="s">
        <v>13</v>
      </c>
    </row>
    <row r="143" spans="1:9" x14ac:dyDescent="0.2">
      <c r="A143" s="7">
        <v>6139312</v>
      </c>
      <c r="B143" s="8" t="s">
        <v>9</v>
      </c>
      <c r="C143" s="8" t="s">
        <v>595</v>
      </c>
      <c r="D143" s="9">
        <v>45657</v>
      </c>
      <c r="E143" s="10">
        <v>45657</v>
      </c>
      <c r="F143" s="7" t="s">
        <v>251</v>
      </c>
      <c r="G143" s="11" t="s">
        <v>205</v>
      </c>
      <c r="H143" s="7">
        <v>0</v>
      </c>
      <c r="I143" s="7" t="s">
        <v>13</v>
      </c>
    </row>
    <row r="144" spans="1:9" x14ac:dyDescent="0.2">
      <c r="A144" s="7">
        <v>6139313</v>
      </c>
      <c r="B144" s="8" t="s">
        <v>9</v>
      </c>
      <c r="C144" s="8" t="s">
        <v>595</v>
      </c>
      <c r="D144" s="9">
        <v>45657</v>
      </c>
      <c r="E144" s="10">
        <v>45657</v>
      </c>
      <c r="F144" s="7" t="s">
        <v>252</v>
      </c>
      <c r="G144" s="11" t="s">
        <v>207</v>
      </c>
      <c r="H144" s="7">
        <v>0</v>
      </c>
      <c r="I144" s="7" t="s">
        <v>13</v>
      </c>
    </row>
    <row r="145" spans="1:9" x14ac:dyDescent="0.2">
      <c r="A145" s="7">
        <v>6139314</v>
      </c>
      <c r="B145" s="8" t="s">
        <v>9</v>
      </c>
      <c r="C145" s="8" t="s">
        <v>595</v>
      </c>
      <c r="D145" s="9">
        <v>45657</v>
      </c>
      <c r="E145" s="10">
        <v>45657</v>
      </c>
      <c r="F145" s="7" t="s">
        <v>253</v>
      </c>
      <c r="G145" s="11" t="s">
        <v>209</v>
      </c>
      <c r="H145" s="7">
        <v>0</v>
      </c>
      <c r="I145" s="7" t="s">
        <v>13</v>
      </c>
    </row>
    <row r="146" spans="1:9" x14ac:dyDescent="0.2">
      <c r="A146" s="7">
        <v>6139315</v>
      </c>
      <c r="B146" s="8" t="s">
        <v>9</v>
      </c>
      <c r="C146" s="8" t="s">
        <v>595</v>
      </c>
      <c r="D146" s="9">
        <v>45657</v>
      </c>
      <c r="E146" s="10">
        <v>45657</v>
      </c>
      <c r="F146" s="7" t="s">
        <v>254</v>
      </c>
      <c r="G146" s="11" t="s">
        <v>211</v>
      </c>
      <c r="H146" s="7">
        <v>881927</v>
      </c>
      <c r="I146" s="7" t="s">
        <v>13</v>
      </c>
    </row>
    <row r="147" spans="1:9" x14ac:dyDescent="0.2">
      <c r="A147" s="7">
        <v>6139316</v>
      </c>
      <c r="B147" s="8" t="s">
        <v>9</v>
      </c>
      <c r="C147" s="8" t="s">
        <v>595</v>
      </c>
      <c r="D147" s="9">
        <v>45657</v>
      </c>
      <c r="E147" s="10">
        <v>45657</v>
      </c>
      <c r="F147" s="7" t="s">
        <v>255</v>
      </c>
      <c r="G147" s="11" t="s">
        <v>213</v>
      </c>
      <c r="H147" s="7">
        <v>0</v>
      </c>
      <c r="I147" s="7" t="s">
        <v>13</v>
      </c>
    </row>
    <row r="148" spans="1:9" x14ac:dyDescent="0.2">
      <c r="A148" s="7">
        <v>6139317</v>
      </c>
      <c r="B148" s="8" t="s">
        <v>9</v>
      </c>
      <c r="C148" s="8" t="s">
        <v>595</v>
      </c>
      <c r="D148" s="9">
        <v>45657</v>
      </c>
      <c r="E148" s="10">
        <v>45657</v>
      </c>
      <c r="F148" s="7" t="s">
        <v>256</v>
      </c>
      <c r="G148" s="11" t="s">
        <v>215</v>
      </c>
      <c r="H148" s="7">
        <v>0</v>
      </c>
      <c r="I148" s="7" t="s">
        <v>13</v>
      </c>
    </row>
    <row r="149" spans="1:9" x14ac:dyDescent="0.2">
      <c r="A149" s="7">
        <v>6139318</v>
      </c>
      <c r="B149" s="8" t="s">
        <v>9</v>
      </c>
      <c r="C149" s="8" t="s">
        <v>595</v>
      </c>
      <c r="D149" s="9">
        <v>45657</v>
      </c>
      <c r="E149" s="10">
        <v>45657</v>
      </c>
      <c r="F149" s="7" t="s">
        <v>257</v>
      </c>
      <c r="G149" s="11" t="s">
        <v>217</v>
      </c>
      <c r="H149" s="7">
        <v>0</v>
      </c>
      <c r="I149" s="7" t="s">
        <v>13</v>
      </c>
    </row>
    <row r="150" spans="1:9" x14ac:dyDescent="0.2">
      <c r="A150" s="7">
        <v>6139319</v>
      </c>
      <c r="B150" s="8" t="s">
        <v>9</v>
      </c>
      <c r="C150" s="8" t="s">
        <v>595</v>
      </c>
      <c r="D150" s="9">
        <v>45657</v>
      </c>
      <c r="E150" s="10">
        <v>45657</v>
      </c>
      <c r="F150" s="7" t="s">
        <v>258</v>
      </c>
      <c r="G150" s="11" t="s">
        <v>211</v>
      </c>
      <c r="H150" s="7">
        <v>881927</v>
      </c>
      <c r="I150" s="7" t="s">
        <v>13</v>
      </c>
    </row>
    <row r="151" spans="1:9" x14ac:dyDescent="0.2">
      <c r="A151" s="7">
        <v>6139320</v>
      </c>
      <c r="B151" s="8" t="s">
        <v>9</v>
      </c>
      <c r="C151" s="8" t="s">
        <v>595</v>
      </c>
      <c r="D151" s="9">
        <v>45657</v>
      </c>
      <c r="E151" s="10">
        <v>45657</v>
      </c>
      <c r="F151" s="7" t="s">
        <v>259</v>
      </c>
      <c r="G151" s="11" t="s">
        <v>193</v>
      </c>
      <c r="H151" s="7">
        <v>0</v>
      </c>
      <c r="I151" s="7" t="s">
        <v>13</v>
      </c>
    </row>
    <row r="152" spans="1:9" x14ac:dyDescent="0.2">
      <c r="A152" s="7">
        <v>6139321</v>
      </c>
      <c r="B152" s="8" t="s">
        <v>9</v>
      </c>
      <c r="C152" s="8" t="s">
        <v>595</v>
      </c>
      <c r="D152" s="9">
        <v>45657</v>
      </c>
      <c r="E152" s="10">
        <v>45657</v>
      </c>
      <c r="F152" s="7" t="s">
        <v>260</v>
      </c>
      <c r="G152" s="11" t="s">
        <v>219</v>
      </c>
      <c r="H152" s="7">
        <v>0</v>
      </c>
      <c r="I152" s="7" t="s">
        <v>13</v>
      </c>
    </row>
    <row r="153" spans="1:9" x14ac:dyDescent="0.2">
      <c r="A153" s="7">
        <v>6139322</v>
      </c>
      <c r="B153" s="8" t="s">
        <v>9</v>
      </c>
      <c r="C153" s="8" t="s">
        <v>595</v>
      </c>
      <c r="D153" s="9">
        <v>45657</v>
      </c>
      <c r="E153" s="10">
        <v>45657</v>
      </c>
      <c r="F153" s="7" t="s">
        <v>261</v>
      </c>
      <c r="G153" s="11" t="s">
        <v>221</v>
      </c>
      <c r="H153" s="7">
        <v>0</v>
      </c>
      <c r="I153" s="7" t="s">
        <v>13</v>
      </c>
    </row>
    <row r="154" spans="1:9" x14ac:dyDescent="0.2">
      <c r="A154" s="7">
        <v>6139323</v>
      </c>
      <c r="B154" s="8" t="s">
        <v>9</v>
      </c>
      <c r="C154" s="8" t="s">
        <v>595</v>
      </c>
      <c r="D154" s="9">
        <v>45657</v>
      </c>
      <c r="E154" s="10">
        <v>45657</v>
      </c>
      <c r="F154" s="7" t="s">
        <v>262</v>
      </c>
      <c r="G154" s="11" t="s">
        <v>223</v>
      </c>
      <c r="H154" s="7">
        <v>0</v>
      </c>
      <c r="I154" s="7" t="s">
        <v>13</v>
      </c>
    </row>
    <row r="155" spans="1:9" x14ac:dyDescent="0.2">
      <c r="A155" s="7">
        <v>6139324</v>
      </c>
      <c r="B155" s="8" t="s">
        <v>9</v>
      </c>
      <c r="C155" s="8" t="s">
        <v>595</v>
      </c>
      <c r="D155" s="9">
        <v>45657</v>
      </c>
      <c r="E155" s="10">
        <v>45657</v>
      </c>
      <c r="F155" s="7" t="s">
        <v>263</v>
      </c>
      <c r="G155" s="11" t="s">
        <v>264</v>
      </c>
      <c r="H155" s="7">
        <v>0</v>
      </c>
      <c r="I155" s="7" t="s">
        <v>13</v>
      </c>
    </row>
    <row r="156" spans="1:9" x14ac:dyDescent="0.2">
      <c r="A156" s="7">
        <v>6139325</v>
      </c>
      <c r="B156" s="8" t="s">
        <v>9</v>
      </c>
      <c r="C156" s="8" t="s">
        <v>595</v>
      </c>
      <c r="D156" s="9">
        <v>45657</v>
      </c>
      <c r="E156" s="10">
        <v>45657</v>
      </c>
      <c r="F156" s="7" t="s">
        <v>265</v>
      </c>
      <c r="G156" s="11" t="s">
        <v>266</v>
      </c>
      <c r="H156" s="7">
        <v>0</v>
      </c>
      <c r="I156" s="7" t="s">
        <v>13</v>
      </c>
    </row>
    <row r="157" spans="1:9" x14ac:dyDescent="0.2">
      <c r="A157" s="7">
        <v>6139326</v>
      </c>
      <c r="B157" s="8" t="s">
        <v>9</v>
      </c>
      <c r="C157" s="8" t="s">
        <v>595</v>
      </c>
      <c r="D157" s="9">
        <v>45657</v>
      </c>
      <c r="E157" s="10">
        <v>45657</v>
      </c>
      <c r="F157" s="7" t="s">
        <v>267</v>
      </c>
      <c r="G157" s="11" t="s">
        <v>268</v>
      </c>
      <c r="H157" s="7">
        <v>0</v>
      </c>
      <c r="I157" s="7" t="s">
        <v>13</v>
      </c>
    </row>
    <row r="158" spans="1:9" x14ac:dyDescent="0.2">
      <c r="A158" s="7">
        <v>6139327</v>
      </c>
      <c r="B158" s="8" t="s">
        <v>9</v>
      </c>
      <c r="C158" s="8" t="s">
        <v>595</v>
      </c>
      <c r="D158" s="9">
        <v>45657</v>
      </c>
      <c r="E158" s="10">
        <v>45657</v>
      </c>
      <c r="F158" s="7" t="s">
        <v>269</v>
      </c>
      <c r="G158" s="11" t="s">
        <v>270</v>
      </c>
      <c r="H158" s="7">
        <v>0</v>
      </c>
      <c r="I158" s="7" t="s">
        <v>13</v>
      </c>
    </row>
    <row r="159" spans="1:9" x14ac:dyDescent="0.2">
      <c r="A159" s="7">
        <v>6139328</v>
      </c>
      <c r="B159" s="8" t="s">
        <v>9</v>
      </c>
      <c r="C159" s="8" t="s">
        <v>595</v>
      </c>
      <c r="D159" s="9">
        <v>45657</v>
      </c>
      <c r="E159" s="10">
        <v>45657</v>
      </c>
      <c r="F159" s="7" t="s">
        <v>271</v>
      </c>
      <c r="G159" s="35" t="s">
        <v>272</v>
      </c>
      <c r="H159" s="7">
        <v>15671587</v>
      </c>
      <c r="I159" s="7" t="s">
        <v>13</v>
      </c>
    </row>
    <row r="160" spans="1:9" x14ac:dyDescent="0.2">
      <c r="A160" s="7">
        <v>6139329</v>
      </c>
      <c r="B160" s="8" t="s">
        <v>9</v>
      </c>
      <c r="C160" s="8" t="s">
        <v>595</v>
      </c>
      <c r="D160" s="9">
        <v>45657</v>
      </c>
      <c r="E160" s="10">
        <v>45657</v>
      </c>
      <c r="F160" s="7" t="s">
        <v>273</v>
      </c>
      <c r="G160" s="11" t="s">
        <v>274</v>
      </c>
      <c r="H160" s="7">
        <v>12484515</v>
      </c>
      <c r="I160" s="7" t="s">
        <v>13</v>
      </c>
    </row>
    <row r="161" spans="1:9" x14ac:dyDescent="0.2">
      <c r="A161" s="7">
        <v>6139330</v>
      </c>
      <c r="B161" s="8" t="s">
        <v>9</v>
      </c>
      <c r="C161" s="8" t="s">
        <v>595</v>
      </c>
      <c r="D161" s="9">
        <v>45657</v>
      </c>
      <c r="E161" s="10">
        <v>45657</v>
      </c>
      <c r="F161" s="7" t="s">
        <v>275</v>
      </c>
      <c r="G161" s="11" t="s">
        <v>276</v>
      </c>
      <c r="H161" s="7">
        <v>10461264</v>
      </c>
      <c r="I161" s="7" t="s">
        <v>13</v>
      </c>
    </row>
    <row r="162" spans="1:9" x14ac:dyDescent="0.2">
      <c r="A162" s="7">
        <v>6139331</v>
      </c>
      <c r="B162" s="8" t="s">
        <v>9</v>
      </c>
      <c r="C162" s="8" t="s">
        <v>595</v>
      </c>
      <c r="D162" s="9">
        <v>45657</v>
      </c>
      <c r="E162" s="10">
        <v>45657</v>
      </c>
      <c r="F162" s="7" t="s">
        <v>277</v>
      </c>
      <c r="G162" s="11" t="s">
        <v>278</v>
      </c>
      <c r="H162" s="7">
        <v>9894936</v>
      </c>
      <c r="I162" s="7" t="s">
        <v>13</v>
      </c>
    </row>
    <row r="163" spans="1:9" x14ac:dyDescent="0.2">
      <c r="A163" s="7">
        <v>6139332</v>
      </c>
      <c r="B163" s="8" t="s">
        <v>9</v>
      </c>
      <c r="C163" s="8" t="s">
        <v>595</v>
      </c>
      <c r="D163" s="9">
        <v>45657</v>
      </c>
      <c r="E163" s="10">
        <v>45657</v>
      </c>
      <c r="F163" s="7" t="s">
        <v>279</v>
      </c>
      <c r="G163" s="11" t="s">
        <v>280</v>
      </c>
      <c r="H163" s="7">
        <v>362059</v>
      </c>
      <c r="I163" s="7" t="s">
        <v>13</v>
      </c>
    </row>
    <row r="164" spans="1:9" x14ac:dyDescent="0.2">
      <c r="A164" s="7">
        <v>6139333</v>
      </c>
      <c r="B164" s="8" t="s">
        <v>9</v>
      </c>
      <c r="C164" s="8" t="s">
        <v>595</v>
      </c>
      <c r="D164" s="9">
        <v>45657</v>
      </c>
      <c r="E164" s="10">
        <v>45657</v>
      </c>
      <c r="F164" s="7" t="s">
        <v>281</v>
      </c>
      <c r="G164" s="11" t="s">
        <v>282</v>
      </c>
      <c r="H164" s="7">
        <v>0</v>
      </c>
      <c r="I164" s="7" t="s">
        <v>13</v>
      </c>
    </row>
    <row r="165" spans="1:9" x14ac:dyDescent="0.2">
      <c r="A165" s="7">
        <v>6139334</v>
      </c>
      <c r="B165" s="8" t="s">
        <v>9</v>
      </c>
      <c r="C165" s="8" t="s">
        <v>595</v>
      </c>
      <c r="D165" s="9">
        <v>45657</v>
      </c>
      <c r="E165" s="10">
        <v>45657</v>
      </c>
      <c r="F165" s="7" t="s">
        <v>283</v>
      </c>
      <c r="G165" s="11" t="s">
        <v>284</v>
      </c>
      <c r="H165" s="7">
        <v>0</v>
      </c>
      <c r="I165" s="7" t="s">
        <v>13</v>
      </c>
    </row>
    <row r="166" spans="1:9" x14ac:dyDescent="0.2">
      <c r="A166" s="7">
        <v>6139335</v>
      </c>
      <c r="B166" s="8" t="s">
        <v>9</v>
      </c>
      <c r="C166" s="8" t="s">
        <v>595</v>
      </c>
      <c r="D166" s="9">
        <v>45657</v>
      </c>
      <c r="E166" s="10">
        <v>45657</v>
      </c>
      <c r="F166" s="7" t="s">
        <v>285</v>
      </c>
      <c r="G166" s="11" t="s">
        <v>286</v>
      </c>
      <c r="H166" s="7">
        <v>-19991</v>
      </c>
      <c r="I166" s="7" t="s">
        <v>13</v>
      </c>
    </row>
    <row r="167" spans="1:9" x14ac:dyDescent="0.2">
      <c r="A167" s="7">
        <v>6139336</v>
      </c>
      <c r="B167" s="8" t="s">
        <v>9</v>
      </c>
      <c r="C167" s="8" t="s">
        <v>595</v>
      </c>
      <c r="D167" s="9">
        <v>45657</v>
      </c>
      <c r="E167" s="10">
        <v>45657</v>
      </c>
      <c r="F167" s="7" t="s">
        <v>287</v>
      </c>
      <c r="G167" s="11" t="s">
        <v>240</v>
      </c>
      <c r="H167" s="7">
        <v>0</v>
      </c>
      <c r="I167" s="7" t="s">
        <v>13</v>
      </c>
    </row>
    <row r="168" spans="1:9" x14ac:dyDescent="0.2">
      <c r="A168" s="7">
        <v>6139337</v>
      </c>
      <c r="B168" s="8" t="s">
        <v>9</v>
      </c>
      <c r="C168" s="8" t="s">
        <v>595</v>
      </c>
      <c r="D168" s="9">
        <v>45657</v>
      </c>
      <c r="E168" s="10">
        <v>45657</v>
      </c>
      <c r="F168" s="7" t="s">
        <v>288</v>
      </c>
      <c r="G168" s="11" t="s">
        <v>289</v>
      </c>
      <c r="H168" s="7">
        <v>224260</v>
      </c>
      <c r="I168" s="7" t="s">
        <v>13</v>
      </c>
    </row>
    <row r="169" spans="1:9" x14ac:dyDescent="0.2">
      <c r="A169" s="7">
        <v>6139338</v>
      </c>
      <c r="B169" s="8" t="s">
        <v>9</v>
      </c>
      <c r="C169" s="8" t="s">
        <v>595</v>
      </c>
      <c r="D169" s="9">
        <v>45657</v>
      </c>
      <c r="E169" s="10">
        <v>45657</v>
      </c>
      <c r="F169" s="7" t="s">
        <v>290</v>
      </c>
      <c r="G169" s="11" t="s">
        <v>291</v>
      </c>
      <c r="H169" s="7">
        <v>0</v>
      </c>
      <c r="I169" s="7" t="s">
        <v>13</v>
      </c>
    </row>
    <row r="170" spans="1:9" x14ac:dyDescent="0.2">
      <c r="A170" s="7">
        <v>6139339</v>
      </c>
      <c r="B170" s="8" t="s">
        <v>9</v>
      </c>
      <c r="C170" s="8" t="s">
        <v>595</v>
      </c>
      <c r="D170" s="9">
        <v>45657</v>
      </c>
      <c r="E170" s="10">
        <v>45657</v>
      </c>
      <c r="F170" s="7" t="s">
        <v>292</v>
      </c>
      <c r="G170" s="11" t="s">
        <v>293</v>
      </c>
      <c r="H170" s="7">
        <v>0</v>
      </c>
      <c r="I170" s="7" t="s">
        <v>13</v>
      </c>
    </row>
    <row r="171" spans="1:9" x14ac:dyDescent="0.2">
      <c r="A171" s="7">
        <v>6139340</v>
      </c>
      <c r="B171" s="8" t="s">
        <v>9</v>
      </c>
      <c r="C171" s="8" t="s">
        <v>595</v>
      </c>
      <c r="D171" s="9">
        <v>45657</v>
      </c>
      <c r="E171" s="10">
        <v>45657</v>
      </c>
      <c r="F171" s="7" t="s">
        <v>294</v>
      </c>
      <c r="G171" s="11" t="s">
        <v>295</v>
      </c>
      <c r="H171" s="7">
        <v>0</v>
      </c>
      <c r="I171" s="7" t="s">
        <v>13</v>
      </c>
    </row>
    <row r="172" spans="1:9" x14ac:dyDescent="0.2">
      <c r="A172" s="7">
        <v>6139341</v>
      </c>
      <c r="B172" s="8" t="s">
        <v>9</v>
      </c>
      <c r="C172" s="8" t="s">
        <v>595</v>
      </c>
      <c r="D172" s="9">
        <v>45657</v>
      </c>
      <c r="E172" s="10">
        <v>45657</v>
      </c>
      <c r="F172" s="7" t="s">
        <v>296</v>
      </c>
      <c r="G172" s="11" t="s">
        <v>297</v>
      </c>
      <c r="H172" s="7">
        <v>0</v>
      </c>
      <c r="I172" s="7" t="s">
        <v>13</v>
      </c>
    </row>
    <row r="173" spans="1:9" x14ac:dyDescent="0.2">
      <c r="A173" s="7">
        <v>6139342</v>
      </c>
      <c r="B173" s="8" t="s">
        <v>9</v>
      </c>
      <c r="C173" s="8" t="s">
        <v>595</v>
      </c>
      <c r="D173" s="9">
        <v>45657</v>
      </c>
      <c r="E173" s="10">
        <v>45657</v>
      </c>
      <c r="F173" s="7" t="s">
        <v>298</v>
      </c>
      <c r="G173" s="11" t="s">
        <v>299</v>
      </c>
      <c r="H173" s="7">
        <v>0</v>
      </c>
      <c r="I173" s="7" t="s">
        <v>13</v>
      </c>
    </row>
    <row r="174" spans="1:9" x14ac:dyDescent="0.2">
      <c r="A174" s="7">
        <v>6139343</v>
      </c>
      <c r="B174" s="8" t="s">
        <v>9</v>
      </c>
      <c r="C174" s="8" t="s">
        <v>595</v>
      </c>
      <c r="D174" s="9">
        <v>45657</v>
      </c>
      <c r="E174" s="10">
        <v>45657</v>
      </c>
      <c r="F174" s="7" t="s">
        <v>300</v>
      </c>
      <c r="G174" s="11" t="s">
        <v>301</v>
      </c>
      <c r="H174" s="7">
        <v>0</v>
      </c>
      <c r="I174" s="7" t="s">
        <v>13</v>
      </c>
    </row>
    <row r="175" spans="1:9" x14ac:dyDescent="0.2">
      <c r="A175" s="7">
        <v>6139344</v>
      </c>
      <c r="B175" s="8" t="s">
        <v>9</v>
      </c>
      <c r="C175" s="8" t="s">
        <v>595</v>
      </c>
      <c r="D175" s="9">
        <v>45657</v>
      </c>
      <c r="E175" s="10">
        <v>45657</v>
      </c>
      <c r="F175" s="7" t="s">
        <v>302</v>
      </c>
      <c r="G175" s="11" t="s">
        <v>303</v>
      </c>
      <c r="H175" s="7">
        <v>0</v>
      </c>
      <c r="I175" s="7" t="s">
        <v>13</v>
      </c>
    </row>
    <row r="176" spans="1:9" x14ac:dyDescent="0.2">
      <c r="A176" s="7">
        <v>6139345</v>
      </c>
      <c r="B176" s="8" t="s">
        <v>9</v>
      </c>
      <c r="C176" s="8" t="s">
        <v>595</v>
      </c>
      <c r="D176" s="9">
        <v>45657</v>
      </c>
      <c r="E176" s="10">
        <v>45657</v>
      </c>
      <c r="F176" s="7" t="s">
        <v>304</v>
      </c>
      <c r="G176" s="11" t="s">
        <v>305</v>
      </c>
      <c r="H176" s="7">
        <v>0</v>
      </c>
      <c r="I176" s="7" t="s">
        <v>13</v>
      </c>
    </row>
    <row r="177" spans="1:10" x14ac:dyDescent="0.2">
      <c r="A177" s="7">
        <v>6139346</v>
      </c>
      <c r="B177" s="8" t="s">
        <v>9</v>
      </c>
      <c r="C177" s="8" t="s">
        <v>595</v>
      </c>
      <c r="D177" s="9">
        <v>45657</v>
      </c>
      <c r="E177" s="10">
        <v>45657</v>
      </c>
      <c r="F177" s="7" t="s">
        <v>306</v>
      </c>
      <c r="G177" s="11" t="s">
        <v>307</v>
      </c>
      <c r="H177" s="7">
        <v>0</v>
      </c>
      <c r="I177" s="7" t="s">
        <v>13</v>
      </c>
    </row>
    <row r="178" spans="1:10" x14ac:dyDescent="0.2">
      <c r="A178" s="7">
        <v>6139347</v>
      </c>
      <c r="B178" s="8" t="s">
        <v>9</v>
      </c>
      <c r="C178" s="8" t="s">
        <v>595</v>
      </c>
      <c r="D178" s="9">
        <v>45657</v>
      </c>
      <c r="E178" s="10">
        <v>45657</v>
      </c>
      <c r="F178" s="7" t="s">
        <v>308</v>
      </c>
      <c r="G178" s="11" t="s">
        <v>309</v>
      </c>
      <c r="H178" s="7">
        <v>0</v>
      </c>
      <c r="I178" s="7" t="s">
        <v>13</v>
      </c>
    </row>
    <row r="179" spans="1:10" x14ac:dyDescent="0.2">
      <c r="A179" s="7">
        <v>6139348</v>
      </c>
      <c r="B179" s="8" t="s">
        <v>9</v>
      </c>
      <c r="C179" s="8" t="s">
        <v>595</v>
      </c>
      <c r="D179" s="9">
        <v>45657</v>
      </c>
      <c r="E179" s="10">
        <v>45657</v>
      </c>
      <c r="F179" s="7" t="s">
        <v>310</v>
      </c>
      <c r="G179" s="11" t="s">
        <v>311</v>
      </c>
      <c r="H179" s="7">
        <v>0</v>
      </c>
      <c r="I179" s="7" t="s">
        <v>13</v>
      </c>
    </row>
    <row r="180" spans="1:10" x14ac:dyDescent="0.2">
      <c r="A180" s="7">
        <v>6139349</v>
      </c>
      <c r="B180" s="8" t="s">
        <v>9</v>
      </c>
      <c r="C180" s="8" t="s">
        <v>595</v>
      </c>
      <c r="D180" s="9">
        <v>45657</v>
      </c>
      <c r="E180" s="10">
        <v>45657</v>
      </c>
      <c r="F180" s="7" t="s">
        <v>312</v>
      </c>
      <c r="G180" s="11" t="s">
        <v>286</v>
      </c>
      <c r="H180" s="7">
        <v>0</v>
      </c>
      <c r="I180" s="7" t="s">
        <v>13</v>
      </c>
    </row>
    <row r="181" spans="1:10" x14ac:dyDescent="0.2">
      <c r="A181" s="7">
        <v>6139350</v>
      </c>
      <c r="B181" s="8" t="s">
        <v>9</v>
      </c>
      <c r="C181" s="8" t="s">
        <v>595</v>
      </c>
      <c r="D181" s="9">
        <v>45657</v>
      </c>
      <c r="E181" s="10">
        <v>45657</v>
      </c>
      <c r="F181" s="7" t="s">
        <v>313</v>
      </c>
      <c r="G181" s="11" t="s">
        <v>291</v>
      </c>
      <c r="H181" s="7">
        <v>0</v>
      </c>
      <c r="I181" s="7" t="s">
        <v>13</v>
      </c>
    </row>
    <row r="182" spans="1:10" x14ac:dyDescent="0.2">
      <c r="A182" s="7">
        <v>6139351</v>
      </c>
      <c r="B182" s="8" t="s">
        <v>9</v>
      </c>
      <c r="C182" s="8" t="s">
        <v>595</v>
      </c>
      <c r="D182" s="9">
        <v>45657</v>
      </c>
      <c r="E182" s="10">
        <v>45657</v>
      </c>
      <c r="F182" s="7" t="s">
        <v>314</v>
      </c>
      <c r="G182" s="11" t="s">
        <v>291</v>
      </c>
      <c r="H182" s="7">
        <v>0</v>
      </c>
      <c r="I182" s="7" t="s">
        <v>13</v>
      </c>
    </row>
    <row r="183" spans="1:10" x14ac:dyDescent="0.2">
      <c r="A183" s="7">
        <v>6139352</v>
      </c>
      <c r="B183" s="8" t="s">
        <v>9</v>
      </c>
      <c r="C183" s="8" t="s">
        <v>595</v>
      </c>
      <c r="D183" s="9">
        <v>45657</v>
      </c>
      <c r="E183" s="10">
        <v>45657</v>
      </c>
      <c r="F183" s="7" t="s">
        <v>315</v>
      </c>
      <c r="G183" s="11" t="s">
        <v>316</v>
      </c>
      <c r="H183" s="7">
        <v>-8879594</v>
      </c>
      <c r="I183" s="7" t="s">
        <v>13</v>
      </c>
    </row>
    <row r="184" spans="1:10" x14ac:dyDescent="0.2">
      <c r="A184" s="7">
        <v>6139353</v>
      </c>
      <c r="B184" s="8" t="s">
        <v>9</v>
      </c>
      <c r="C184" s="8" t="s">
        <v>595</v>
      </c>
      <c r="D184" s="9">
        <v>45657</v>
      </c>
      <c r="E184" s="10">
        <v>45657</v>
      </c>
      <c r="F184" s="7" t="s">
        <v>317</v>
      </c>
      <c r="G184" s="11" t="s">
        <v>318</v>
      </c>
      <c r="H184" s="7">
        <v>1605223</v>
      </c>
      <c r="I184" s="7" t="s">
        <v>13</v>
      </c>
    </row>
    <row r="185" spans="1:10" x14ac:dyDescent="0.2">
      <c r="A185" s="7">
        <v>6139354</v>
      </c>
      <c r="B185" s="8" t="s">
        <v>9</v>
      </c>
      <c r="C185" s="8" t="s">
        <v>595</v>
      </c>
      <c r="D185" s="9">
        <v>45657</v>
      </c>
      <c r="E185" s="10">
        <v>45657</v>
      </c>
      <c r="F185" s="7" t="s">
        <v>319</v>
      </c>
      <c r="G185" s="11" t="s">
        <v>320</v>
      </c>
      <c r="H185" s="7">
        <v>0</v>
      </c>
      <c r="I185" s="7" t="s">
        <v>13</v>
      </c>
    </row>
    <row r="186" spans="1:10" x14ac:dyDescent="0.2">
      <c r="A186" s="7">
        <v>6139355</v>
      </c>
      <c r="B186" s="8" t="s">
        <v>9</v>
      </c>
      <c r="C186" s="8" t="s">
        <v>595</v>
      </c>
      <c r="D186" s="9">
        <v>45657</v>
      </c>
      <c r="E186" s="10">
        <v>45657</v>
      </c>
      <c r="F186" s="7" t="s">
        <v>321</v>
      </c>
      <c r="G186" s="11" t="s">
        <v>322</v>
      </c>
      <c r="H186" s="7">
        <v>0</v>
      </c>
      <c r="I186" s="7" t="s">
        <v>13</v>
      </c>
    </row>
    <row r="187" spans="1:10" x14ac:dyDescent="0.2">
      <c r="A187" s="7">
        <v>6139356</v>
      </c>
      <c r="B187" s="8" t="s">
        <v>9</v>
      </c>
      <c r="C187" s="8" t="s">
        <v>595</v>
      </c>
      <c r="D187" s="9">
        <v>45657</v>
      </c>
      <c r="E187" s="10">
        <v>45657</v>
      </c>
      <c r="F187" s="7" t="s">
        <v>323</v>
      </c>
      <c r="G187" s="11" t="s">
        <v>324</v>
      </c>
      <c r="H187" s="7">
        <v>179</v>
      </c>
      <c r="I187" s="7" t="s">
        <v>13</v>
      </c>
      <c r="J187" s="7" t="s">
        <v>764</v>
      </c>
    </row>
    <row r="188" spans="1:10" s="54" customFormat="1" ht="19" customHeight="1" x14ac:dyDescent="0.2">
      <c r="A188" s="54">
        <v>6139357</v>
      </c>
      <c r="B188" s="55" t="s">
        <v>9</v>
      </c>
      <c r="C188" s="55" t="s">
        <v>595</v>
      </c>
      <c r="D188" s="56">
        <v>45292</v>
      </c>
      <c r="E188" s="57">
        <v>45657</v>
      </c>
      <c r="F188" s="54" t="s">
        <v>325</v>
      </c>
      <c r="G188" s="58" t="s">
        <v>326</v>
      </c>
      <c r="H188" s="54">
        <v>24089804</v>
      </c>
      <c r="I188" s="54" t="s">
        <v>13</v>
      </c>
    </row>
    <row r="189" spans="1:10" s="54" customFormat="1" x14ac:dyDescent="0.2">
      <c r="A189" s="54">
        <v>6139358</v>
      </c>
      <c r="B189" s="55" t="s">
        <v>9</v>
      </c>
      <c r="C189" s="55" t="s">
        <v>595</v>
      </c>
      <c r="D189" s="56">
        <v>45292</v>
      </c>
      <c r="E189" s="57">
        <v>45657</v>
      </c>
      <c r="F189" s="54" t="s">
        <v>327</v>
      </c>
      <c r="G189" s="58" t="s">
        <v>328</v>
      </c>
      <c r="H189" s="54">
        <v>-8372597</v>
      </c>
      <c r="I189" s="54" t="s">
        <v>13</v>
      </c>
      <c r="J189" s="54" t="s">
        <v>762</v>
      </c>
    </row>
    <row r="190" spans="1:10" s="54" customFormat="1" x14ac:dyDescent="0.2">
      <c r="A190" s="54">
        <v>6139359</v>
      </c>
      <c r="B190" s="55" t="s">
        <v>9</v>
      </c>
      <c r="C190" s="55" t="s">
        <v>595</v>
      </c>
      <c r="D190" s="56">
        <v>45292</v>
      </c>
      <c r="E190" s="57">
        <v>45657</v>
      </c>
      <c r="F190" s="54" t="s">
        <v>329</v>
      </c>
      <c r="G190" s="58" t="s">
        <v>330</v>
      </c>
      <c r="H190" s="54">
        <v>15717207</v>
      </c>
      <c r="I190" s="54" t="s">
        <v>13</v>
      </c>
    </row>
    <row r="191" spans="1:10" s="54" customFormat="1" x14ac:dyDescent="0.2">
      <c r="A191" s="54">
        <v>6139360</v>
      </c>
      <c r="B191" s="55" t="s">
        <v>9</v>
      </c>
      <c r="C191" s="55" t="s">
        <v>595</v>
      </c>
      <c r="D191" s="56">
        <v>45292</v>
      </c>
      <c r="E191" s="57">
        <v>45657</v>
      </c>
      <c r="F191" s="54" t="s">
        <v>331</v>
      </c>
      <c r="G191" s="58" t="s">
        <v>332</v>
      </c>
      <c r="H191" s="54">
        <v>-14809136</v>
      </c>
      <c r="I191" s="54" t="s">
        <v>13</v>
      </c>
    </row>
    <row r="192" spans="1:10" s="54" customFormat="1" x14ac:dyDescent="0.2">
      <c r="A192" s="54">
        <v>6139361</v>
      </c>
      <c r="B192" s="55" t="s">
        <v>9</v>
      </c>
      <c r="C192" s="55" t="s">
        <v>595</v>
      </c>
      <c r="D192" s="56">
        <v>45292</v>
      </c>
      <c r="E192" s="57">
        <v>45657</v>
      </c>
      <c r="F192" s="54" t="s">
        <v>333</v>
      </c>
      <c r="G192" s="58" t="s">
        <v>334</v>
      </c>
      <c r="H192" s="54">
        <v>-9968893</v>
      </c>
      <c r="I192" s="54" t="s">
        <v>13</v>
      </c>
      <c r="J192" s="54" t="s">
        <v>763</v>
      </c>
    </row>
    <row r="193" spans="1:10" s="54" customFormat="1" x14ac:dyDescent="0.2">
      <c r="A193" s="54">
        <v>6139362</v>
      </c>
      <c r="B193" s="55" t="s">
        <v>9</v>
      </c>
      <c r="C193" s="55" t="s">
        <v>595</v>
      </c>
      <c r="D193" s="56">
        <v>45292</v>
      </c>
      <c r="E193" s="57">
        <v>45657</v>
      </c>
      <c r="F193" s="54" t="s">
        <v>335</v>
      </c>
      <c r="G193" s="58" t="s">
        <v>336</v>
      </c>
      <c r="H193" s="54">
        <v>-3358347</v>
      </c>
      <c r="I193" s="54" t="s">
        <v>13</v>
      </c>
    </row>
    <row r="194" spans="1:10" s="54" customFormat="1" x14ac:dyDescent="0.2">
      <c r="A194" s="54">
        <v>6139363</v>
      </c>
      <c r="B194" s="55" t="s">
        <v>9</v>
      </c>
      <c r="C194" s="55" t="s">
        <v>595</v>
      </c>
      <c r="D194" s="56">
        <v>45292</v>
      </c>
      <c r="E194" s="57">
        <v>45657</v>
      </c>
      <c r="F194" s="54" t="s">
        <v>342</v>
      </c>
      <c r="G194" s="58" t="s">
        <v>343</v>
      </c>
      <c r="H194" s="54">
        <v>-480182</v>
      </c>
      <c r="I194" s="54" t="s">
        <v>13</v>
      </c>
    </row>
    <row r="195" spans="1:10" s="54" customFormat="1" x14ac:dyDescent="0.2">
      <c r="A195" s="54">
        <v>6139364</v>
      </c>
      <c r="B195" s="55" t="s">
        <v>9</v>
      </c>
      <c r="C195" s="55" t="s">
        <v>595</v>
      </c>
      <c r="D195" s="56">
        <v>45292</v>
      </c>
      <c r="E195" s="57">
        <v>45657</v>
      </c>
      <c r="F195" s="54" t="s">
        <v>344</v>
      </c>
      <c r="G195" s="58" t="s">
        <v>345</v>
      </c>
      <c r="H195" s="54">
        <v>-1001714</v>
      </c>
      <c r="I195" s="54" t="s">
        <v>13</v>
      </c>
      <c r="J195" s="54" t="s">
        <v>759</v>
      </c>
    </row>
    <row r="196" spans="1:10" s="54" customFormat="1" x14ac:dyDescent="0.2">
      <c r="A196" s="54">
        <v>6139365</v>
      </c>
      <c r="B196" s="55" t="s">
        <v>9</v>
      </c>
      <c r="C196" s="55" t="s">
        <v>595</v>
      </c>
      <c r="D196" s="56">
        <v>45292</v>
      </c>
      <c r="E196" s="57">
        <v>45657</v>
      </c>
      <c r="F196" s="54" t="s">
        <v>346</v>
      </c>
      <c r="G196" s="58" t="s">
        <v>347</v>
      </c>
      <c r="H196" s="54">
        <v>0</v>
      </c>
      <c r="I196" s="54" t="s">
        <v>13</v>
      </c>
      <c r="J196" s="54">
        <f>H190-(-H191)</f>
        <v>908071</v>
      </c>
    </row>
    <row r="197" spans="1:10" s="54" customFormat="1" x14ac:dyDescent="0.2">
      <c r="A197" s="54">
        <v>6139366</v>
      </c>
      <c r="B197" s="55" t="s">
        <v>9</v>
      </c>
      <c r="C197" s="55" t="s">
        <v>595</v>
      </c>
      <c r="D197" s="56">
        <v>45292</v>
      </c>
      <c r="E197" s="57">
        <v>45657</v>
      </c>
      <c r="F197" s="54" t="s">
        <v>348</v>
      </c>
      <c r="G197" s="58" t="s">
        <v>349</v>
      </c>
      <c r="H197" s="54">
        <v>0</v>
      </c>
      <c r="I197" s="54" t="s">
        <v>13</v>
      </c>
    </row>
    <row r="198" spans="1:10" s="54" customFormat="1" x14ac:dyDescent="0.2">
      <c r="A198" s="54">
        <v>6139367</v>
      </c>
      <c r="B198" s="55" t="s">
        <v>9</v>
      </c>
      <c r="C198" s="55" t="s">
        <v>595</v>
      </c>
      <c r="D198" s="56">
        <v>45292</v>
      </c>
      <c r="E198" s="57">
        <v>45657</v>
      </c>
      <c r="F198" s="54" t="s">
        <v>350</v>
      </c>
      <c r="G198" s="58" t="s">
        <v>351</v>
      </c>
      <c r="H198" s="54">
        <v>908071</v>
      </c>
      <c r="I198" s="54" t="s">
        <v>13</v>
      </c>
    </row>
    <row r="199" spans="1:10" s="54" customFormat="1" x14ac:dyDescent="0.2">
      <c r="A199" s="54">
        <v>6139368</v>
      </c>
      <c r="B199" s="55" t="s">
        <v>9</v>
      </c>
      <c r="C199" s="55" t="s">
        <v>595</v>
      </c>
      <c r="D199" s="56">
        <v>45292</v>
      </c>
      <c r="E199" s="57">
        <v>45657</v>
      </c>
      <c r="F199" s="54" t="s">
        <v>352</v>
      </c>
      <c r="G199" s="58" t="s">
        <v>353</v>
      </c>
      <c r="H199" s="54">
        <v>-692809</v>
      </c>
      <c r="I199" s="54" t="s">
        <v>13</v>
      </c>
      <c r="J199" s="59" t="s">
        <v>760</v>
      </c>
    </row>
    <row r="200" spans="1:10" s="54" customFormat="1" x14ac:dyDescent="0.2">
      <c r="A200" s="54">
        <v>6139369</v>
      </c>
      <c r="B200" s="55" t="s">
        <v>9</v>
      </c>
      <c r="C200" s="55" t="s">
        <v>595</v>
      </c>
      <c r="D200" s="56">
        <v>45292</v>
      </c>
      <c r="E200" s="57">
        <v>45657</v>
      </c>
      <c r="F200" s="54" t="s">
        <v>354</v>
      </c>
      <c r="G200" s="58" t="s">
        <v>355</v>
      </c>
      <c r="H200" s="54">
        <v>0</v>
      </c>
      <c r="I200" s="54" t="s">
        <v>13</v>
      </c>
      <c r="J200" s="54">
        <f>J196+H222</f>
        <v>1876881</v>
      </c>
    </row>
    <row r="201" spans="1:10" s="54" customFormat="1" x14ac:dyDescent="0.2">
      <c r="A201" s="54">
        <v>6139370</v>
      </c>
      <c r="B201" s="55" t="s">
        <v>9</v>
      </c>
      <c r="C201" s="55" t="s">
        <v>595</v>
      </c>
      <c r="D201" s="56">
        <v>45292</v>
      </c>
      <c r="E201" s="57">
        <v>45657</v>
      </c>
      <c r="F201" s="54" t="s">
        <v>356</v>
      </c>
      <c r="G201" s="58" t="s">
        <v>357</v>
      </c>
      <c r="H201" s="54">
        <v>0</v>
      </c>
      <c r="I201" s="54" t="s">
        <v>13</v>
      </c>
    </row>
    <row r="202" spans="1:10" s="54" customFormat="1" x14ac:dyDescent="0.2">
      <c r="A202" s="54">
        <v>6139371</v>
      </c>
      <c r="B202" s="55" t="s">
        <v>9</v>
      </c>
      <c r="C202" s="55" t="s">
        <v>595</v>
      </c>
      <c r="D202" s="56">
        <v>45292</v>
      </c>
      <c r="E202" s="57">
        <v>45657</v>
      </c>
      <c r="F202" s="54" t="s">
        <v>358</v>
      </c>
      <c r="G202" s="58" t="s">
        <v>359</v>
      </c>
      <c r="H202" s="54">
        <v>-692809</v>
      </c>
      <c r="I202" s="54" t="s">
        <v>13</v>
      </c>
    </row>
    <row r="203" spans="1:10" s="54" customFormat="1" x14ac:dyDescent="0.2">
      <c r="A203" s="54">
        <v>6139372</v>
      </c>
      <c r="B203" s="55" t="s">
        <v>9</v>
      </c>
      <c r="C203" s="55" t="s">
        <v>595</v>
      </c>
      <c r="D203" s="56">
        <v>45292</v>
      </c>
      <c r="E203" s="57">
        <v>45657</v>
      </c>
      <c r="F203" s="54" t="s">
        <v>360</v>
      </c>
      <c r="G203" s="58" t="s">
        <v>601</v>
      </c>
      <c r="H203" s="54">
        <v>-692809</v>
      </c>
      <c r="I203" s="54" t="s">
        <v>13</v>
      </c>
      <c r="J203" s="59" t="s">
        <v>761</v>
      </c>
    </row>
    <row r="204" spans="1:10" s="54" customFormat="1" x14ac:dyDescent="0.2">
      <c r="A204" s="54">
        <v>6139373</v>
      </c>
      <c r="B204" s="55" t="s">
        <v>9</v>
      </c>
      <c r="C204" s="55" t="s">
        <v>595</v>
      </c>
      <c r="D204" s="56">
        <v>45292</v>
      </c>
      <c r="E204" s="57">
        <v>45657</v>
      </c>
      <c r="F204" s="54" t="s">
        <v>361</v>
      </c>
      <c r="G204" s="58" t="s">
        <v>362</v>
      </c>
      <c r="H204" s="54">
        <v>215262</v>
      </c>
      <c r="I204" s="54" t="s">
        <v>13</v>
      </c>
      <c r="J204" s="54">
        <f>J196-H206</f>
        <v>908071</v>
      </c>
    </row>
    <row r="205" spans="1:10" s="54" customFormat="1" x14ac:dyDescent="0.2">
      <c r="A205" s="54">
        <v>6139374</v>
      </c>
      <c r="B205" s="55" t="s">
        <v>9</v>
      </c>
      <c r="C205" s="55" t="s">
        <v>595</v>
      </c>
      <c r="D205" s="56">
        <v>45292</v>
      </c>
      <c r="E205" s="57">
        <v>45657</v>
      </c>
      <c r="F205" s="54" t="s">
        <v>363</v>
      </c>
      <c r="G205" s="60" t="s">
        <v>364</v>
      </c>
      <c r="H205" s="61">
        <f>'2025 4'!J197-'2025 4'!H206</f>
        <v>1415968</v>
      </c>
      <c r="I205" s="54" t="s">
        <v>13</v>
      </c>
    </row>
    <row r="206" spans="1:10" s="54" customFormat="1" x14ac:dyDescent="0.2">
      <c r="A206" s="54">
        <v>6139375</v>
      </c>
      <c r="B206" s="55" t="s">
        <v>9</v>
      </c>
      <c r="C206" s="55" t="s">
        <v>595</v>
      </c>
      <c r="D206" s="56">
        <v>45292</v>
      </c>
      <c r="E206" s="57">
        <v>45657</v>
      </c>
      <c r="F206" s="54" t="s">
        <v>365</v>
      </c>
      <c r="G206" s="58" t="s">
        <v>366</v>
      </c>
      <c r="H206" s="54">
        <v>0</v>
      </c>
      <c r="I206" s="54" t="s">
        <v>13</v>
      </c>
    </row>
    <row r="207" spans="1:10" s="54" customFormat="1" x14ac:dyDescent="0.2">
      <c r="A207" s="54">
        <v>6139376</v>
      </c>
      <c r="B207" s="55" t="s">
        <v>9</v>
      </c>
      <c r="C207" s="55" t="s">
        <v>595</v>
      </c>
      <c r="D207" s="56">
        <v>45292</v>
      </c>
      <c r="E207" s="57">
        <v>45657</v>
      </c>
      <c r="F207" s="54" t="s">
        <v>367</v>
      </c>
      <c r="G207" s="58" t="s">
        <v>368</v>
      </c>
      <c r="H207" s="54">
        <v>0</v>
      </c>
      <c r="I207" s="54" t="s">
        <v>13</v>
      </c>
    </row>
    <row r="208" spans="1:10" s="54" customFormat="1" x14ac:dyDescent="0.2">
      <c r="A208" s="54">
        <v>6139377</v>
      </c>
      <c r="B208" s="55" t="s">
        <v>9</v>
      </c>
      <c r="C208" s="55" t="s">
        <v>595</v>
      </c>
      <c r="D208" s="56">
        <v>45292</v>
      </c>
      <c r="E208" s="57">
        <v>45657</v>
      </c>
      <c r="F208" s="54" t="s">
        <v>369</v>
      </c>
      <c r="G208" s="58" t="s">
        <v>370</v>
      </c>
      <c r="H208" s="54">
        <v>-742108</v>
      </c>
      <c r="I208" s="54" t="s">
        <v>13</v>
      </c>
    </row>
    <row r="209" spans="1:9" s="54" customFormat="1" x14ac:dyDescent="0.2">
      <c r="A209" s="54">
        <v>6139378</v>
      </c>
      <c r="B209" s="55" t="s">
        <v>9</v>
      </c>
      <c r="C209" s="55" t="s">
        <v>595</v>
      </c>
      <c r="D209" s="56">
        <v>45292</v>
      </c>
      <c r="E209" s="57">
        <v>45657</v>
      </c>
      <c r="F209" s="54" t="s">
        <v>371</v>
      </c>
      <c r="G209" s="58" t="s">
        <v>372</v>
      </c>
      <c r="H209" s="54">
        <v>-8187572</v>
      </c>
      <c r="I209" s="54" t="s">
        <v>13</v>
      </c>
    </row>
    <row r="210" spans="1:9" s="54" customFormat="1" x14ac:dyDescent="0.2">
      <c r="A210" s="54">
        <v>6139379</v>
      </c>
      <c r="B210" s="55" t="s">
        <v>9</v>
      </c>
      <c r="C210" s="55" t="s">
        <v>595</v>
      </c>
      <c r="D210" s="56">
        <v>45292</v>
      </c>
      <c r="E210" s="57">
        <v>45657</v>
      </c>
      <c r="F210" s="54" t="s">
        <v>373</v>
      </c>
      <c r="G210" s="58" t="s">
        <v>374</v>
      </c>
      <c r="H210" s="54">
        <v>-8187572</v>
      </c>
      <c r="I210" s="54" t="s">
        <v>13</v>
      </c>
    </row>
    <row r="211" spans="1:9" s="54" customFormat="1" x14ac:dyDescent="0.2">
      <c r="A211" s="54">
        <v>6139380</v>
      </c>
      <c r="B211" s="55" t="s">
        <v>9</v>
      </c>
      <c r="C211" s="55" t="s">
        <v>595</v>
      </c>
      <c r="D211" s="56">
        <v>45292</v>
      </c>
      <c r="E211" s="57">
        <v>45657</v>
      </c>
      <c r="F211" s="54" t="s">
        <v>375</v>
      </c>
      <c r="G211" s="58" t="s">
        <v>376</v>
      </c>
      <c r="H211" s="54">
        <v>0</v>
      </c>
      <c r="I211" s="54" t="s">
        <v>13</v>
      </c>
    </row>
    <row r="212" spans="1:9" s="54" customFormat="1" x14ac:dyDescent="0.2">
      <c r="A212" s="54">
        <v>6139381</v>
      </c>
      <c r="B212" s="55" t="s">
        <v>9</v>
      </c>
      <c r="C212" s="55" t="s">
        <v>595</v>
      </c>
      <c r="D212" s="56">
        <v>45292</v>
      </c>
      <c r="E212" s="57">
        <v>45657</v>
      </c>
      <c r="F212" s="54" t="s">
        <v>377</v>
      </c>
      <c r="G212" s="58" t="s">
        <v>378</v>
      </c>
      <c r="H212" s="54">
        <v>-8929680</v>
      </c>
      <c r="I212" s="54" t="s">
        <v>13</v>
      </c>
    </row>
    <row r="213" spans="1:9" s="54" customFormat="1" x14ac:dyDescent="0.2">
      <c r="A213" s="54">
        <v>6139382</v>
      </c>
      <c r="B213" s="55" t="s">
        <v>9</v>
      </c>
      <c r="C213" s="55" t="s">
        <v>595</v>
      </c>
      <c r="D213" s="56">
        <v>45292</v>
      </c>
      <c r="E213" s="57">
        <v>45657</v>
      </c>
      <c r="F213" s="54" t="s">
        <v>379</v>
      </c>
      <c r="G213" s="58" t="s">
        <v>380</v>
      </c>
      <c r="H213" s="54">
        <v>-8929859</v>
      </c>
      <c r="I213" s="54" t="s">
        <v>13</v>
      </c>
    </row>
    <row r="214" spans="1:9" s="54" customFormat="1" x14ac:dyDescent="0.2">
      <c r="A214" s="54">
        <v>6139383</v>
      </c>
      <c r="B214" s="55" t="s">
        <v>9</v>
      </c>
      <c r="C214" s="55" t="s">
        <v>595</v>
      </c>
      <c r="D214" s="56">
        <v>45292</v>
      </c>
      <c r="E214" s="57">
        <v>45657</v>
      </c>
      <c r="F214" s="54" t="s">
        <v>381</v>
      </c>
      <c r="G214" s="58" t="s">
        <v>382</v>
      </c>
      <c r="H214" s="54">
        <v>179</v>
      </c>
      <c r="I214" s="54" t="s">
        <v>13</v>
      </c>
    </row>
    <row r="215" spans="1:9" s="54" customFormat="1" x14ac:dyDescent="0.2">
      <c r="A215" s="54">
        <v>6139384</v>
      </c>
      <c r="B215" s="55" t="s">
        <v>9</v>
      </c>
      <c r="C215" s="55" t="s">
        <v>595</v>
      </c>
      <c r="D215" s="56">
        <v>45292</v>
      </c>
      <c r="E215" s="57">
        <v>45657</v>
      </c>
      <c r="F215" s="54" t="s">
        <v>383</v>
      </c>
      <c r="G215" s="58" t="s">
        <v>384</v>
      </c>
      <c r="H215" s="54">
        <v>0</v>
      </c>
      <c r="I215" s="54" t="s">
        <v>13</v>
      </c>
    </row>
    <row r="216" spans="1:9" s="54" customFormat="1" x14ac:dyDescent="0.2">
      <c r="A216" s="54">
        <v>6139385</v>
      </c>
      <c r="B216" s="55" t="s">
        <v>9</v>
      </c>
      <c r="C216" s="55" t="s">
        <v>595</v>
      </c>
      <c r="D216" s="56">
        <v>45292</v>
      </c>
      <c r="E216" s="57">
        <v>45657</v>
      </c>
      <c r="F216" s="54" t="s">
        <v>385</v>
      </c>
      <c r="G216" s="58" t="s">
        <v>386</v>
      </c>
      <c r="H216" s="54">
        <v>0</v>
      </c>
      <c r="I216" s="54" t="s">
        <v>13</v>
      </c>
    </row>
    <row r="217" spans="1:9" s="54" customFormat="1" x14ac:dyDescent="0.2">
      <c r="A217" s="54">
        <v>6139386</v>
      </c>
      <c r="B217" s="55" t="s">
        <v>9</v>
      </c>
      <c r="C217" s="55" t="s">
        <v>595</v>
      </c>
      <c r="D217" s="56">
        <v>45292</v>
      </c>
      <c r="E217" s="57">
        <v>45657</v>
      </c>
      <c r="F217" s="54" t="s">
        <v>387</v>
      </c>
      <c r="G217" s="58" t="s">
        <v>388</v>
      </c>
      <c r="H217" s="54">
        <v>-6</v>
      </c>
      <c r="I217" s="54" t="s">
        <v>13</v>
      </c>
    </row>
    <row r="218" spans="1:9" s="54" customFormat="1" x14ac:dyDescent="0.2">
      <c r="A218" s="54">
        <v>6139387</v>
      </c>
      <c r="B218" s="55" t="s">
        <v>9</v>
      </c>
      <c r="C218" s="55" t="s">
        <v>595</v>
      </c>
      <c r="D218" s="56">
        <v>45292</v>
      </c>
      <c r="E218" s="57">
        <v>45657</v>
      </c>
      <c r="F218" s="54" t="s">
        <v>389</v>
      </c>
      <c r="G218" s="58" t="s">
        <v>390</v>
      </c>
      <c r="H218" s="54">
        <v>0</v>
      </c>
      <c r="I218" s="54" t="s">
        <v>13</v>
      </c>
    </row>
    <row r="219" spans="1:9" s="54" customFormat="1" x14ac:dyDescent="0.2">
      <c r="A219" s="54">
        <v>6139388</v>
      </c>
      <c r="B219" s="55" t="s">
        <v>9</v>
      </c>
      <c r="C219" s="55" t="s">
        <v>595</v>
      </c>
      <c r="D219" s="56">
        <v>45292</v>
      </c>
      <c r="E219" s="57">
        <v>45657</v>
      </c>
      <c r="F219" s="54" t="s">
        <v>391</v>
      </c>
      <c r="G219" s="58" t="s">
        <v>388</v>
      </c>
      <c r="H219" s="54">
        <v>-6</v>
      </c>
      <c r="I219" s="54" t="s">
        <v>13</v>
      </c>
    </row>
    <row r="220" spans="1:9" x14ac:dyDescent="0.2">
      <c r="A220" s="7">
        <v>6139389</v>
      </c>
      <c r="B220" s="8" t="s">
        <v>9</v>
      </c>
      <c r="C220" s="8" t="s">
        <v>595</v>
      </c>
      <c r="D220" s="9">
        <v>45292</v>
      </c>
      <c r="E220" s="10">
        <v>45657</v>
      </c>
      <c r="F220" s="7" t="s">
        <v>392</v>
      </c>
      <c r="G220" s="11" t="s">
        <v>393</v>
      </c>
      <c r="H220" s="7">
        <v>-2553253</v>
      </c>
      <c r="I220" s="7" t="s">
        <v>13</v>
      </c>
    </row>
    <row r="221" spans="1:9" x14ac:dyDescent="0.2">
      <c r="A221" s="7">
        <v>6139390</v>
      </c>
      <c r="B221" s="8" t="s">
        <v>9</v>
      </c>
      <c r="C221" s="8" t="s">
        <v>595</v>
      </c>
      <c r="D221" s="9">
        <v>45292</v>
      </c>
      <c r="E221" s="10">
        <v>45657</v>
      </c>
      <c r="F221" s="7" t="s">
        <v>394</v>
      </c>
      <c r="G221" s="11" t="s">
        <v>395</v>
      </c>
      <c r="H221" s="7">
        <v>-5079677</v>
      </c>
      <c r="I221" s="7" t="s">
        <v>13</v>
      </c>
    </row>
    <row r="222" spans="1:9" x14ac:dyDescent="0.2">
      <c r="A222" s="7">
        <v>6139391</v>
      </c>
      <c r="B222" s="8" t="s">
        <v>9</v>
      </c>
      <c r="C222" s="8" t="s">
        <v>595</v>
      </c>
      <c r="D222" s="9">
        <v>45292</v>
      </c>
      <c r="E222" s="10">
        <v>45657</v>
      </c>
      <c r="F222" s="7" t="s">
        <v>396</v>
      </c>
      <c r="G222" s="11" t="s">
        <v>397</v>
      </c>
      <c r="H222" s="7">
        <v>968810</v>
      </c>
      <c r="I222" s="7" t="s">
        <v>13</v>
      </c>
    </row>
    <row r="223" spans="1:9" x14ac:dyDescent="0.2">
      <c r="A223" s="7">
        <v>6139392</v>
      </c>
      <c r="B223" s="8" t="s">
        <v>9</v>
      </c>
      <c r="C223" s="8" t="s">
        <v>595</v>
      </c>
      <c r="D223" s="9">
        <v>45292</v>
      </c>
      <c r="E223" s="10">
        <v>45657</v>
      </c>
      <c r="F223" s="7" t="s">
        <v>398</v>
      </c>
      <c r="G223" s="11" t="s">
        <v>399</v>
      </c>
      <c r="H223" s="7">
        <v>-15073</v>
      </c>
      <c r="I223" s="7" t="s">
        <v>13</v>
      </c>
    </row>
    <row r="224" spans="1:9" x14ac:dyDescent="0.2">
      <c r="A224" s="7">
        <v>6139393</v>
      </c>
      <c r="B224" s="8" t="s">
        <v>9</v>
      </c>
      <c r="C224" s="8" t="s">
        <v>595</v>
      </c>
      <c r="D224" s="9">
        <v>45292</v>
      </c>
      <c r="E224" s="10">
        <v>45657</v>
      </c>
      <c r="F224" s="7" t="s">
        <v>400</v>
      </c>
      <c r="G224" s="11" t="s">
        <v>401</v>
      </c>
      <c r="H224" s="7">
        <v>120971</v>
      </c>
      <c r="I224" s="7" t="s">
        <v>13</v>
      </c>
    </row>
    <row r="225" spans="1:9" x14ac:dyDescent="0.2">
      <c r="A225" s="7">
        <v>6139394</v>
      </c>
      <c r="B225" s="8" t="s">
        <v>9</v>
      </c>
      <c r="C225" s="8" t="s">
        <v>595</v>
      </c>
      <c r="D225" s="9">
        <v>45292</v>
      </c>
      <c r="E225" s="10">
        <v>45657</v>
      </c>
      <c r="F225" s="7" t="s">
        <v>402</v>
      </c>
      <c r="G225" s="11" t="s">
        <v>403</v>
      </c>
      <c r="H225" s="7">
        <v>-29016</v>
      </c>
      <c r="I225" s="7" t="s">
        <v>13</v>
      </c>
    </row>
    <row r="226" spans="1:9" x14ac:dyDescent="0.2">
      <c r="A226" s="7">
        <v>6139395</v>
      </c>
      <c r="B226" s="8" t="s">
        <v>9</v>
      </c>
      <c r="C226" s="8" t="s">
        <v>595</v>
      </c>
      <c r="D226" s="9">
        <v>45292</v>
      </c>
      <c r="E226" s="10">
        <v>45657</v>
      </c>
      <c r="F226" s="7" t="s">
        <v>404</v>
      </c>
      <c r="G226" s="11" t="s">
        <v>107</v>
      </c>
      <c r="H226" s="7">
        <v>957370</v>
      </c>
      <c r="I226" s="7" t="s">
        <v>13</v>
      </c>
    </row>
    <row r="227" spans="1:9" x14ac:dyDescent="0.2">
      <c r="A227" s="7">
        <v>6139396</v>
      </c>
      <c r="B227" s="8" t="s">
        <v>9</v>
      </c>
      <c r="C227" s="8" t="s">
        <v>595</v>
      </c>
      <c r="D227" s="9">
        <v>45292</v>
      </c>
      <c r="E227" s="10">
        <v>45657</v>
      </c>
      <c r="F227" s="7" t="s">
        <v>405</v>
      </c>
      <c r="G227" s="11" t="s">
        <v>406</v>
      </c>
      <c r="H227" s="7">
        <v>67710</v>
      </c>
      <c r="I227" s="7" t="s">
        <v>13</v>
      </c>
    </row>
    <row r="228" spans="1:9" x14ac:dyDescent="0.2">
      <c r="A228" s="7">
        <v>6139397</v>
      </c>
      <c r="B228" s="8" t="s">
        <v>9</v>
      </c>
      <c r="C228" s="8" t="s">
        <v>595</v>
      </c>
      <c r="D228" s="9">
        <v>45292</v>
      </c>
      <c r="E228" s="10">
        <v>45657</v>
      </c>
      <c r="F228" s="7" t="s">
        <v>407</v>
      </c>
      <c r="G228" s="11" t="s">
        <v>408</v>
      </c>
      <c r="H228" s="7">
        <v>0</v>
      </c>
      <c r="I228" s="7" t="s">
        <v>13</v>
      </c>
    </row>
    <row r="229" spans="1:9" x14ac:dyDescent="0.2">
      <c r="A229" s="7">
        <v>6139398</v>
      </c>
      <c r="B229" s="8" t="s">
        <v>9</v>
      </c>
      <c r="C229" s="8" t="s">
        <v>595</v>
      </c>
      <c r="D229" s="9">
        <v>45292</v>
      </c>
      <c r="E229" s="10">
        <v>45657</v>
      </c>
      <c r="F229" s="7" t="s">
        <v>409</v>
      </c>
      <c r="G229" s="11" t="s">
        <v>410</v>
      </c>
      <c r="H229" s="7">
        <v>402988</v>
      </c>
      <c r="I229" s="7" t="s">
        <v>13</v>
      </c>
    </row>
    <row r="230" spans="1:9" x14ac:dyDescent="0.2">
      <c r="A230" s="7">
        <v>6139399</v>
      </c>
      <c r="B230" s="8" t="s">
        <v>9</v>
      </c>
      <c r="C230" s="8" t="s">
        <v>595</v>
      </c>
      <c r="D230" s="9">
        <v>45292</v>
      </c>
      <c r="E230" s="10">
        <v>45657</v>
      </c>
      <c r="F230" s="7" t="s">
        <v>411</v>
      </c>
      <c r="G230" s="11" t="s">
        <v>602</v>
      </c>
      <c r="H230" s="7">
        <v>-987459</v>
      </c>
      <c r="I230" s="7" t="s">
        <v>13</v>
      </c>
    </row>
    <row r="231" spans="1:9" x14ac:dyDescent="0.2">
      <c r="A231" s="7">
        <v>6139400</v>
      </c>
      <c r="B231" s="8" t="s">
        <v>9</v>
      </c>
      <c r="C231" s="8" t="s">
        <v>595</v>
      </c>
      <c r="D231" s="9">
        <v>45292</v>
      </c>
      <c r="E231" s="10">
        <v>45657</v>
      </c>
      <c r="F231" s="7" t="s">
        <v>413</v>
      </c>
      <c r="G231" s="11" t="s">
        <v>414</v>
      </c>
      <c r="H231" s="7">
        <v>67799</v>
      </c>
      <c r="I231" s="7" t="s">
        <v>13</v>
      </c>
    </row>
    <row r="232" spans="1:9" x14ac:dyDescent="0.2">
      <c r="A232" s="7">
        <v>6139401</v>
      </c>
      <c r="B232" s="8" t="s">
        <v>9</v>
      </c>
      <c r="C232" s="8" t="s">
        <v>595</v>
      </c>
      <c r="D232" s="9">
        <v>45292</v>
      </c>
      <c r="E232" s="10">
        <v>45657</v>
      </c>
      <c r="F232" s="7" t="s">
        <v>415</v>
      </c>
      <c r="G232" s="11" t="s">
        <v>416</v>
      </c>
      <c r="H232" s="7">
        <v>480182</v>
      </c>
      <c r="I232" s="7" t="s">
        <v>13</v>
      </c>
    </row>
    <row r="233" spans="1:9" x14ac:dyDescent="0.2">
      <c r="A233" s="7">
        <v>6139402</v>
      </c>
      <c r="B233" s="8" t="s">
        <v>9</v>
      </c>
      <c r="C233" s="8" t="s">
        <v>595</v>
      </c>
      <c r="D233" s="9">
        <v>45292</v>
      </c>
      <c r="E233" s="10">
        <v>45657</v>
      </c>
      <c r="F233" s="7" t="s">
        <v>417</v>
      </c>
      <c r="G233" s="11" t="s">
        <v>418</v>
      </c>
      <c r="H233" s="7">
        <v>303768</v>
      </c>
      <c r="I233" s="7" t="s">
        <v>13</v>
      </c>
    </row>
    <row r="234" spans="1:9" x14ac:dyDescent="0.2">
      <c r="A234" s="7">
        <v>6139403</v>
      </c>
      <c r="B234" s="8" t="s">
        <v>9</v>
      </c>
      <c r="C234" s="8" t="s">
        <v>595</v>
      </c>
      <c r="D234" s="9">
        <v>45292</v>
      </c>
      <c r="E234" s="10">
        <v>45657</v>
      </c>
      <c r="F234" s="7" t="s">
        <v>419</v>
      </c>
      <c r="G234" s="11" t="s">
        <v>420</v>
      </c>
      <c r="H234" s="7">
        <v>1995</v>
      </c>
      <c r="I234" s="7" t="s">
        <v>13</v>
      </c>
    </row>
    <row r="235" spans="1:9" x14ac:dyDescent="0.2">
      <c r="A235" s="7">
        <v>6139404</v>
      </c>
      <c r="B235" s="8" t="s">
        <v>9</v>
      </c>
      <c r="C235" s="8" t="s">
        <v>595</v>
      </c>
      <c r="D235" s="9">
        <v>45292</v>
      </c>
      <c r="E235" s="10">
        <v>45657</v>
      </c>
      <c r="F235" s="7" t="s">
        <v>421</v>
      </c>
      <c r="G235" s="11" t="s">
        <v>422</v>
      </c>
      <c r="H235" s="7">
        <v>-8929680</v>
      </c>
      <c r="I235" s="7" t="s">
        <v>13</v>
      </c>
    </row>
    <row r="236" spans="1:9" x14ac:dyDescent="0.2">
      <c r="A236" s="7">
        <v>6139405</v>
      </c>
      <c r="B236" s="8" t="s">
        <v>9</v>
      </c>
      <c r="C236" s="8" t="s">
        <v>595</v>
      </c>
      <c r="D236" s="9">
        <v>45292</v>
      </c>
      <c r="E236" s="10">
        <v>45657</v>
      </c>
      <c r="F236" s="7" t="s">
        <v>423</v>
      </c>
      <c r="G236" s="11" t="s">
        <v>424</v>
      </c>
      <c r="H236" s="7">
        <v>76829</v>
      </c>
      <c r="I236" s="7" t="s">
        <v>13</v>
      </c>
    </row>
    <row r="237" spans="1:9" x14ac:dyDescent="0.2">
      <c r="A237" s="7">
        <v>6139406</v>
      </c>
      <c r="B237" s="8" t="s">
        <v>9</v>
      </c>
      <c r="C237" s="8" t="s">
        <v>595</v>
      </c>
      <c r="D237" s="9">
        <v>45292</v>
      </c>
      <c r="E237" s="10">
        <v>45657</v>
      </c>
      <c r="F237" s="7" t="s">
        <v>425</v>
      </c>
      <c r="G237" s="11" t="s">
        <v>426</v>
      </c>
      <c r="H237" s="7">
        <v>643056</v>
      </c>
      <c r="I237" s="7" t="s">
        <v>13</v>
      </c>
    </row>
    <row r="238" spans="1:9" x14ac:dyDescent="0.2">
      <c r="A238" s="7">
        <v>6139407</v>
      </c>
      <c r="B238" s="8" t="s">
        <v>9</v>
      </c>
      <c r="C238" s="8" t="s">
        <v>595</v>
      </c>
      <c r="D238" s="9">
        <v>45292</v>
      </c>
      <c r="E238" s="10">
        <v>45657</v>
      </c>
      <c r="F238" s="7" t="s">
        <v>427</v>
      </c>
      <c r="G238" s="11" t="s">
        <v>603</v>
      </c>
      <c r="H238" s="7">
        <v>1082805</v>
      </c>
      <c r="I238" s="7" t="s">
        <v>13</v>
      </c>
    </row>
    <row r="239" spans="1:9" x14ac:dyDescent="0.2">
      <c r="A239" s="7">
        <v>6139408</v>
      </c>
      <c r="B239" s="8" t="s">
        <v>9</v>
      </c>
      <c r="C239" s="8" t="s">
        <v>595</v>
      </c>
      <c r="D239" s="9">
        <v>45292</v>
      </c>
      <c r="E239" s="10">
        <v>45657</v>
      </c>
      <c r="F239" s="7" t="s">
        <v>429</v>
      </c>
      <c r="G239" s="11" t="s">
        <v>430</v>
      </c>
      <c r="H239" s="7">
        <v>0</v>
      </c>
      <c r="I239" s="7" t="s">
        <v>13</v>
      </c>
    </row>
    <row r="240" spans="1:9" x14ac:dyDescent="0.2">
      <c r="A240" s="7">
        <v>6139409</v>
      </c>
      <c r="B240" s="8" t="s">
        <v>9</v>
      </c>
      <c r="C240" s="8" t="s">
        <v>595</v>
      </c>
      <c r="D240" s="9">
        <v>45292</v>
      </c>
      <c r="E240" s="10">
        <v>45657</v>
      </c>
      <c r="F240" s="7" t="s">
        <v>431</v>
      </c>
      <c r="G240" s="11" t="s">
        <v>432</v>
      </c>
      <c r="H240" s="7">
        <v>88047</v>
      </c>
      <c r="I240" s="7" t="s">
        <v>13</v>
      </c>
    </row>
    <row r="241" spans="1:9" x14ac:dyDescent="0.2">
      <c r="A241" s="7">
        <v>6139410</v>
      </c>
      <c r="B241" s="8" t="s">
        <v>9</v>
      </c>
      <c r="C241" s="8" t="s">
        <v>595</v>
      </c>
      <c r="D241" s="9">
        <v>45292</v>
      </c>
      <c r="E241" s="10">
        <v>45657</v>
      </c>
      <c r="F241" s="7" t="s">
        <v>433</v>
      </c>
      <c r="G241" s="11" t="s">
        <v>434</v>
      </c>
      <c r="H241" s="7">
        <v>-380779</v>
      </c>
      <c r="I241" s="7" t="s">
        <v>13</v>
      </c>
    </row>
    <row r="242" spans="1:9" x14ac:dyDescent="0.2">
      <c r="A242" s="7">
        <v>6139411</v>
      </c>
      <c r="B242" s="8" t="s">
        <v>9</v>
      </c>
      <c r="C242" s="8" t="s">
        <v>595</v>
      </c>
      <c r="D242" s="9">
        <v>45292</v>
      </c>
      <c r="E242" s="10">
        <v>45657</v>
      </c>
      <c r="F242" s="7" t="s">
        <v>435</v>
      </c>
      <c r="G242" s="11" t="s">
        <v>436</v>
      </c>
      <c r="H242" s="7">
        <v>-1086201</v>
      </c>
      <c r="I242" s="7" t="s">
        <v>13</v>
      </c>
    </row>
    <row r="243" spans="1:9" x14ac:dyDescent="0.2">
      <c r="A243" s="7">
        <v>6139412</v>
      </c>
      <c r="B243" s="8" t="s">
        <v>9</v>
      </c>
      <c r="C243" s="8" t="s">
        <v>595</v>
      </c>
      <c r="D243" s="9">
        <v>45292</v>
      </c>
      <c r="E243" s="10">
        <v>45657</v>
      </c>
      <c r="F243" s="7" t="s">
        <v>437</v>
      </c>
      <c r="G243" s="11" t="s">
        <v>438</v>
      </c>
      <c r="H243" s="7">
        <v>-2043198</v>
      </c>
      <c r="I243" s="7" t="s">
        <v>13</v>
      </c>
    </row>
    <row r="244" spans="1:9" x14ac:dyDescent="0.2">
      <c r="A244" s="7">
        <v>6139413</v>
      </c>
      <c r="B244" s="8" t="s">
        <v>9</v>
      </c>
      <c r="C244" s="8" t="s">
        <v>595</v>
      </c>
      <c r="D244" s="9">
        <v>45292</v>
      </c>
      <c r="E244" s="10">
        <v>45657</v>
      </c>
      <c r="F244" s="7" t="s">
        <v>439</v>
      </c>
      <c r="G244" s="11" t="s">
        <v>440</v>
      </c>
      <c r="H244" s="7">
        <v>-318167</v>
      </c>
      <c r="I244" s="7" t="s">
        <v>13</v>
      </c>
    </row>
    <row r="245" spans="1:9" x14ac:dyDescent="0.2">
      <c r="A245" s="7">
        <v>6139414</v>
      </c>
      <c r="B245" s="8" t="s">
        <v>9</v>
      </c>
      <c r="C245" s="8" t="s">
        <v>595</v>
      </c>
      <c r="D245" s="9">
        <v>45292</v>
      </c>
      <c r="E245" s="10">
        <v>45657</v>
      </c>
      <c r="F245" s="7" t="s">
        <v>441</v>
      </c>
      <c r="G245" s="11" t="s">
        <v>442</v>
      </c>
      <c r="H245" s="7">
        <v>384087</v>
      </c>
      <c r="I245" s="7" t="s">
        <v>13</v>
      </c>
    </row>
    <row r="246" spans="1:9" x14ac:dyDescent="0.2">
      <c r="A246" s="7">
        <v>6139415</v>
      </c>
      <c r="B246" s="8" t="s">
        <v>9</v>
      </c>
      <c r="C246" s="8" t="s">
        <v>595</v>
      </c>
      <c r="D246" s="9">
        <v>45292</v>
      </c>
      <c r="E246" s="10">
        <v>45657</v>
      </c>
      <c r="F246" s="7" t="s">
        <v>443</v>
      </c>
      <c r="G246" s="11" t="s">
        <v>444</v>
      </c>
      <c r="H246" s="7">
        <v>106111</v>
      </c>
      <c r="I246" s="7" t="s">
        <v>13</v>
      </c>
    </row>
    <row r="247" spans="1:9" x14ac:dyDescent="0.2">
      <c r="A247" s="7">
        <v>6139416</v>
      </c>
      <c r="B247" s="8" t="s">
        <v>9</v>
      </c>
      <c r="C247" s="8" t="s">
        <v>595</v>
      </c>
      <c r="D247" s="9">
        <v>45292</v>
      </c>
      <c r="E247" s="10">
        <v>45657</v>
      </c>
      <c r="F247" s="7" t="s">
        <v>445</v>
      </c>
      <c r="G247" s="11" t="s">
        <v>446</v>
      </c>
      <c r="H247" s="7">
        <v>727779</v>
      </c>
      <c r="I247" s="7" t="s">
        <v>13</v>
      </c>
    </row>
    <row r="248" spans="1:9" x14ac:dyDescent="0.2">
      <c r="A248" s="7">
        <v>6139417</v>
      </c>
      <c r="B248" s="8" t="s">
        <v>9</v>
      </c>
      <c r="C248" s="8" t="s">
        <v>595</v>
      </c>
      <c r="D248" s="9">
        <v>45292</v>
      </c>
      <c r="E248" s="10">
        <v>45657</v>
      </c>
      <c r="F248" s="7" t="s">
        <v>447</v>
      </c>
      <c r="G248" s="11" t="s">
        <v>448</v>
      </c>
      <c r="H248" s="7">
        <v>168329</v>
      </c>
      <c r="I248" s="7" t="s">
        <v>13</v>
      </c>
    </row>
    <row r="249" spans="1:9" x14ac:dyDescent="0.2">
      <c r="A249" s="7">
        <v>6139418</v>
      </c>
      <c r="B249" s="8" t="s">
        <v>9</v>
      </c>
      <c r="C249" s="8" t="s">
        <v>595</v>
      </c>
      <c r="D249" s="9">
        <v>45292</v>
      </c>
      <c r="E249" s="10">
        <v>45657</v>
      </c>
      <c r="F249" s="7" t="s">
        <v>449</v>
      </c>
      <c r="G249" s="11" t="s">
        <v>450</v>
      </c>
      <c r="H249" s="7">
        <v>58035</v>
      </c>
      <c r="I249" s="7" t="s">
        <v>13</v>
      </c>
    </row>
    <row r="250" spans="1:9" x14ac:dyDescent="0.2">
      <c r="A250" s="7">
        <v>6139419</v>
      </c>
      <c r="B250" s="8" t="s">
        <v>9</v>
      </c>
      <c r="C250" s="8" t="s">
        <v>595</v>
      </c>
      <c r="D250" s="9">
        <v>45292</v>
      </c>
      <c r="E250" s="10">
        <v>45657</v>
      </c>
      <c r="F250" s="7" t="s">
        <v>451</v>
      </c>
      <c r="G250" s="11" t="s">
        <v>452</v>
      </c>
      <c r="H250" s="7">
        <v>-169177</v>
      </c>
      <c r="I250" s="7" t="s">
        <v>13</v>
      </c>
    </row>
    <row r="251" spans="1:9" x14ac:dyDescent="0.2">
      <c r="A251" s="7">
        <v>6139420</v>
      </c>
      <c r="B251" s="8" t="s">
        <v>9</v>
      </c>
      <c r="C251" s="8" t="s">
        <v>595</v>
      </c>
      <c r="D251" s="9">
        <v>45292</v>
      </c>
      <c r="E251" s="10">
        <v>45657</v>
      </c>
      <c r="F251" s="7" t="s">
        <v>453</v>
      </c>
      <c r="G251" s="11" t="s">
        <v>59</v>
      </c>
      <c r="H251" s="7">
        <v>3612625</v>
      </c>
      <c r="I251" s="7" t="s">
        <v>13</v>
      </c>
    </row>
    <row r="252" spans="1:9" x14ac:dyDescent="0.2">
      <c r="A252" s="7">
        <v>6139421</v>
      </c>
      <c r="B252" s="8" t="s">
        <v>9</v>
      </c>
      <c r="C252" s="8" t="s">
        <v>595</v>
      </c>
      <c r="D252" s="9">
        <v>45292</v>
      </c>
      <c r="E252" s="10">
        <v>45657</v>
      </c>
      <c r="F252" s="7" t="s">
        <v>454</v>
      </c>
      <c r="G252" s="11" t="s">
        <v>455</v>
      </c>
      <c r="H252" s="7">
        <v>-718199</v>
      </c>
      <c r="I252" s="7" t="s">
        <v>13</v>
      </c>
    </row>
    <row r="253" spans="1:9" x14ac:dyDescent="0.2">
      <c r="A253" s="7">
        <v>6139422</v>
      </c>
      <c r="B253" s="8" t="s">
        <v>9</v>
      </c>
      <c r="C253" s="8" t="s">
        <v>595</v>
      </c>
      <c r="D253" s="9">
        <v>45292</v>
      </c>
      <c r="E253" s="10">
        <v>45657</v>
      </c>
      <c r="F253" s="7" t="s">
        <v>456</v>
      </c>
      <c r="G253" s="11" t="s">
        <v>457</v>
      </c>
      <c r="H253" s="7">
        <v>-89253</v>
      </c>
      <c r="I253" s="7" t="s">
        <v>13</v>
      </c>
    </row>
    <row r="254" spans="1:9" x14ac:dyDescent="0.2">
      <c r="A254" s="7">
        <v>6139423</v>
      </c>
      <c r="B254" s="8" t="s">
        <v>9</v>
      </c>
      <c r="C254" s="8" t="s">
        <v>595</v>
      </c>
      <c r="D254" s="9">
        <v>45292</v>
      </c>
      <c r="E254" s="10">
        <v>45657</v>
      </c>
      <c r="F254" s="7" t="s">
        <v>458</v>
      </c>
      <c r="G254" s="11" t="s">
        <v>459</v>
      </c>
      <c r="H254" s="7">
        <v>-64432</v>
      </c>
      <c r="I254" s="7" t="s">
        <v>13</v>
      </c>
    </row>
    <row r="255" spans="1:9" x14ac:dyDescent="0.2">
      <c r="A255" s="7">
        <v>6139424</v>
      </c>
      <c r="B255" s="8" t="s">
        <v>9</v>
      </c>
      <c r="C255" s="8" t="s">
        <v>595</v>
      </c>
      <c r="D255" s="9">
        <v>45292</v>
      </c>
      <c r="E255" s="10">
        <v>45657</v>
      </c>
      <c r="F255" s="7" t="s">
        <v>460</v>
      </c>
      <c r="G255" s="11" t="s">
        <v>461</v>
      </c>
      <c r="H255" s="7">
        <v>-520674</v>
      </c>
      <c r="I255" s="7" t="s">
        <v>13</v>
      </c>
    </row>
    <row r="256" spans="1:9" x14ac:dyDescent="0.2">
      <c r="A256" s="7">
        <v>6139425</v>
      </c>
      <c r="B256" s="8" t="s">
        <v>9</v>
      </c>
      <c r="C256" s="8" t="s">
        <v>595</v>
      </c>
      <c r="D256" s="9">
        <v>45292</v>
      </c>
      <c r="E256" s="10">
        <v>45657</v>
      </c>
      <c r="F256" s="7" t="s">
        <v>462</v>
      </c>
      <c r="G256" s="11" t="s">
        <v>463</v>
      </c>
      <c r="H256" s="7">
        <v>-95622</v>
      </c>
      <c r="I256" s="7" t="s">
        <v>13</v>
      </c>
    </row>
    <row r="257" spans="1:9" x14ac:dyDescent="0.2">
      <c r="A257" s="7">
        <v>6139426</v>
      </c>
      <c r="B257" s="8" t="s">
        <v>9</v>
      </c>
      <c r="C257" s="8" t="s">
        <v>595</v>
      </c>
      <c r="D257" s="9">
        <v>45292</v>
      </c>
      <c r="E257" s="10">
        <v>45657</v>
      </c>
      <c r="F257" s="7" t="s">
        <v>464</v>
      </c>
      <c r="G257" s="11" t="s">
        <v>465</v>
      </c>
      <c r="H257" s="7">
        <v>-86507</v>
      </c>
      <c r="I257" s="7" t="s">
        <v>13</v>
      </c>
    </row>
    <row r="258" spans="1:9" x14ac:dyDescent="0.2">
      <c r="A258" s="7">
        <v>6139427</v>
      </c>
      <c r="B258" s="8" t="s">
        <v>9</v>
      </c>
      <c r="C258" s="8" t="s">
        <v>595</v>
      </c>
      <c r="D258" s="9">
        <v>45292</v>
      </c>
      <c r="E258" s="10">
        <v>45657</v>
      </c>
      <c r="F258" s="7" t="s">
        <v>466</v>
      </c>
      <c r="G258" s="11" t="s">
        <v>467</v>
      </c>
      <c r="H258" s="7">
        <v>5157981</v>
      </c>
      <c r="I258" s="7" t="s">
        <v>13</v>
      </c>
    </row>
    <row r="259" spans="1:9" x14ac:dyDescent="0.2">
      <c r="A259" s="7">
        <v>6139428</v>
      </c>
      <c r="B259" s="8" t="s">
        <v>9</v>
      </c>
      <c r="C259" s="8" t="s">
        <v>595</v>
      </c>
      <c r="D259" s="9">
        <v>45292</v>
      </c>
      <c r="E259" s="10">
        <v>45657</v>
      </c>
      <c r="F259" s="7" t="s">
        <v>604</v>
      </c>
      <c r="G259" s="11" t="s">
        <v>412</v>
      </c>
      <c r="H259" s="7">
        <v>0</v>
      </c>
      <c r="I259" s="7" t="s">
        <v>13</v>
      </c>
    </row>
    <row r="260" spans="1:9" x14ac:dyDescent="0.2">
      <c r="A260" s="7">
        <v>6139429</v>
      </c>
      <c r="B260" s="8" t="s">
        <v>9</v>
      </c>
      <c r="C260" s="8" t="s">
        <v>595</v>
      </c>
      <c r="D260" s="9">
        <v>45292</v>
      </c>
      <c r="E260" s="10">
        <v>45657</v>
      </c>
      <c r="F260" s="7" t="s">
        <v>605</v>
      </c>
      <c r="G260" s="11" t="s">
        <v>428</v>
      </c>
      <c r="H260" s="7">
        <v>0</v>
      </c>
      <c r="I260" s="7" t="s">
        <v>13</v>
      </c>
    </row>
    <row r="261" spans="1:9" x14ac:dyDescent="0.2">
      <c r="A261" s="7">
        <v>6139430</v>
      </c>
      <c r="B261" s="8" t="s">
        <v>9</v>
      </c>
      <c r="C261" s="8" t="s">
        <v>595</v>
      </c>
      <c r="D261" s="9">
        <v>45292</v>
      </c>
      <c r="E261" s="10">
        <v>45657</v>
      </c>
      <c r="F261" s="7" t="s">
        <v>606</v>
      </c>
      <c r="G261" s="11" t="s">
        <v>607</v>
      </c>
      <c r="H261" s="7">
        <v>29331</v>
      </c>
      <c r="I261" s="7" t="s">
        <v>13</v>
      </c>
    </row>
    <row r="262" spans="1:9" x14ac:dyDescent="0.2">
      <c r="A262" s="7">
        <v>6139431</v>
      </c>
      <c r="B262" s="8" t="s">
        <v>9</v>
      </c>
      <c r="C262" s="8" t="s">
        <v>595</v>
      </c>
      <c r="D262" s="9">
        <v>45292</v>
      </c>
      <c r="E262" s="10">
        <v>45657</v>
      </c>
      <c r="F262" s="7" t="s">
        <v>608</v>
      </c>
      <c r="G262" s="11" t="s">
        <v>609</v>
      </c>
      <c r="H262" s="7">
        <v>0</v>
      </c>
      <c r="I262" s="7" t="s">
        <v>13</v>
      </c>
    </row>
    <row r="263" spans="1:9" x14ac:dyDescent="0.2">
      <c r="A263" s="7">
        <v>6139432</v>
      </c>
      <c r="B263" s="8" t="s">
        <v>9</v>
      </c>
      <c r="C263" s="8" t="s">
        <v>595</v>
      </c>
      <c r="D263" s="9">
        <v>45292</v>
      </c>
      <c r="E263" s="10">
        <v>45657</v>
      </c>
      <c r="F263" s="7" t="s">
        <v>468</v>
      </c>
      <c r="G263" s="11" t="s">
        <v>469</v>
      </c>
      <c r="H263" s="7">
        <v>2275361</v>
      </c>
      <c r="I263" s="7" t="s">
        <v>13</v>
      </c>
    </row>
    <row r="264" spans="1:9" x14ac:dyDescent="0.2">
      <c r="A264" s="7">
        <v>6139433</v>
      </c>
      <c r="B264" s="8" t="s">
        <v>9</v>
      </c>
      <c r="C264" s="8" t="s">
        <v>595</v>
      </c>
      <c r="D264" s="9">
        <v>45292</v>
      </c>
      <c r="E264" s="10">
        <v>45657</v>
      </c>
      <c r="F264" s="7" t="s">
        <v>470</v>
      </c>
      <c r="G264" s="11" t="s">
        <v>471</v>
      </c>
      <c r="H264" s="7">
        <v>-547610</v>
      </c>
      <c r="I264" s="7" t="s">
        <v>13</v>
      </c>
    </row>
    <row r="265" spans="1:9" x14ac:dyDescent="0.2">
      <c r="A265" s="7">
        <v>6139434</v>
      </c>
      <c r="B265" s="8" t="s">
        <v>9</v>
      </c>
      <c r="C265" s="8" t="s">
        <v>595</v>
      </c>
      <c r="D265" s="9">
        <v>45292</v>
      </c>
      <c r="E265" s="10">
        <v>45657</v>
      </c>
      <c r="F265" s="7" t="s">
        <v>472</v>
      </c>
      <c r="G265" s="11" t="s">
        <v>473</v>
      </c>
      <c r="H265" s="7">
        <v>0</v>
      </c>
      <c r="I265" s="7" t="s">
        <v>13</v>
      </c>
    </row>
    <row r="266" spans="1:9" x14ac:dyDescent="0.2">
      <c r="A266" s="7">
        <v>6139435</v>
      </c>
      <c r="B266" s="8" t="s">
        <v>9</v>
      </c>
      <c r="C266" s="8" t="s">
        <v>595</v>
      </c>
      <c r="D266" s="9">
        <v>45292</v>
      </c>
      <c r="E266" s="10">
        <v>45657</v>
      </c>
      <c r="F266" s="7" t="s">
        <v>474</v>
      </c>
      <c r="G266" s="11" t="s">
        <v>475</v>
      </c>
      <c r="H266" s="7">
        <v>26535</v>
      </c>
      <c r="I266" s="7" t="s">
        <v>13</v>
      </c>
    </row>
    <row r="267" spans="1:9" x14ac:dyDescent="0.2">
      <c r="A267" s="7">
        <v>6139436</v>
      </c>
      <c r="B267" s="8" t="s">
        <v>9</v>
      </c>
      <c r="C267" s="8" t="s">
        <v>595</v>
      </c>
      <c r="D267" s="9">
        <v>45292</v>
      </c>
      <c r="E267" s="10">
        <v>45657</v>
      </c>
      <c r="F267" s="7" t="s">
        <v>476</v>
      </c>
      <c r="G267" s="11" t="s">
        <v>477</v>
      </c>
      <c r="H267" s="7">
        <v>-28300676</v>
      </c>
      <c r="I267" s="7" t="s">
        <v>13</v>
      </c>
    </row>
    <row r="268" spans="1:9" x14ac:dyDescent="0.2">
      <c r="A268" s="7">
        <v>6139437</v>
      </c>
      <c r="B268" s="8" t="s">
        <v>9</v>
      </c>
      <c r="C268" s="8" t="s">
        <v>595</v>
      </c>
      <c r="D268" s="9">
        <v>45292</v>
      </c>
      <c r="E268" s="10">
        <v>45657</v>
      </c>
      <c r="F268" s="7" t="s">
        <v>478</v>
      </c>
      <c r="G268" s="11" t="s">
        <v>479</v>
      </c>
      <c r="H268" s="7">
        <v>30716383</v>
      </c>
      <c r="I268" s="7" t="s">
        <v>13</v>
      </c>
    </row>
    <row r="269" spans="1:9" x14ac:dyDescent="0.2">
      <c r="A269" s="7">
        <v>6139438</v>
      </c>
      <c r="B269" s="8" t="s">
        <v>9</v>
      </c>
      <c r="C269" s="8" t="s">
        <v>595</v>
      </c>
      <c r="D269" s="9">
        <v>45292</v>
      </c>
      <c r="E269" s="10">
        <v>45657</v>
      </c>
      <c r="F269" s="7" t="s">
        <v>480</v>
      </c>
      <c r="G269" s="11" t="s">
        <v>481</v>
      </c>
      <c r="H269" s="7">
        <v>0</v>
      </c>
      <c r="I269" s="7" t="s">
        <v>13</v>
      </c>
    </row>
    <row r="270" spans="1:9" x14ac:dyDescent="0.2">
      <c r="A270" s="7">
        <v>6139439</v>
      </c>
      <c r="B270" s="8" t="s">
        <v>9</v>
      </c>
      <c r="C270" s="8" t="s">
        <v>595</v>
      </c>
      <c r="D270" s="9">
        <v>45292</v>
      </c>
      <c r="E270" s="10">
        <v>45657</v>
      </c>
      <c r="F270" s="7" t="s">
        <v>482</v>
      </c>
      <c r="G270" s="11" t="s">
        <v>483</v>
      </c>
      <c r="H270" s="7">
        <v>0</v>
      </c>
      <c r="I270" s="7" t="s">
        <v>13</v>
      </c>
    </row>
    <row r="271" spans="1:9" x14ac:dyDescent="0.2">
      <c r="A271" s="7">
        <v>6139440</v>
      </c>
      <c r="B271" s="8" t="s">
        <v>9</v>
      </c>
      <c r="C271" s="8" t="s">
        <v>595</v>
      </c>
      <c r="D271" s="9">
        <v>45292</v>
      </c>
      <c r="E271" s="10">
        <v>45657</v>
      </c>
      <c r="F271" s="7" t="s">
        <v>484</v>
      </c>
      <c r="G271" s="11" t="s">
        <v>485</v>
      </c>
      <c r="H271" s="7">
        <v>226219</v>
      </c>
      <c r="I271" s="7" t="s">
        <v>13</v>
      </c>
    </row>
    <row r="272" spans="1:9" x14ac:dyDescent="0.2">
      <c r="A272" s="7">
        <v>6139441</v>
      </c>
      <c r="B272" s="8" t="s">
        <v>9</v>
      </c>
      <c r="C272" s="8" t="s">
        <v>595</v>
      </c>
      <c r="D272" s="9">
        <v>45292</v>
      </c>
      <c r="E272" s="10">
        <v>45657</v>
      </c>
      <c r="F272" s="7" t="s">
        <v>486</v>
      </c>
      <c r="G272" s="11" t="s">
        <v>487</v>
      </c>
      <c r="H272" s="7">
        <v>747144</v>
      </c>
      <c r="I272" s="7" t="s">
        <v>13</v>
      </c>
    </row>
    <row r="273" spans="1:9" x14ac:dyDescent="0.2">
      <c r="A273" s="7">
        <v>6139442</v>
      </c>
      <c r="B273" s="8" t="s">
        <v>9</v>
      </c>
      <c r="C273" s="8" t="s">
        <v>595</v>
      </c>
      <c r="D273" s="9">
        <v>45292</v>
      </c>
      <c r="E273" s="10">
        <v>45657</v>
      </c>
      <c r="F273" s="7" t="s">
        <v>488</v>
      </c>
      <c r="G273" s="11" t="s">
        <v>489</v>
      </c>
      <c r="H273" s="7">
        <v>-592634</v>
      </c>
      <c r="I273" s="7" t="s">
        <v>13</v>
      </c>
    </row>
    <row r="274" spans="1:9" x14ac:dyDescent="0.2">
      <c r="A274" s="7">
        <v>6139443</v>
      </c>
      <c r="B274" s="8" t="s">
        <v>9</v>
      </c>
      <c r="C274" s="8" t="s">
        <v>595</v>
      </c>
      <c r="D274" s="9">
        <v>45292</v>
      </c>
      <c r="E274" s="10">
        <v>45657</v>
      </c>
      <c r="F274" s="7" t="s">
        <v>490</v>
      </c>
      <c r="G274" s="11" t="s">
        <v>491</v>
      </c>
      <c r="H274" s="7">
        <v>-969572</v>
      </c>
      <c r="I274" s="7" t="s">
        <v>13</v>
      </c>
    </row>
    <row r="275" spans="1:9" x14ac:dyDescent="0.2">
      <c r="A275" s="7">
        <v>6139444</v>
      </c>
      <c r="B275" s="8" t="s">
        <v>9</v>
      </c>
      <c r="C275" s="8" t="s">
        <v>595</v>
      </c>
      <c r="D275" s="9">
        <v>45292</v>
      </c>
      <c r="E275" s="10">
        <v>45657</v>
      </c>
      <c r="F275" s="7" t="s">
        <v>492</v>
      </c>
      <c r="G275" s="11" t="s">
        <v>493</v>
      </c>
      <c r="H275" s="7">
        <v>-1470472</v>
      </c>
      <c r="I275" s="7" t="s">
        <v>13</v>
      </c>
    </row>
    <row r="276" spans="1:9" x14ac:dyDescent="0.2">
      <c r="A276" s="7">
        <v>6139445</v>
      </c>
      <c r="B276" s="8" t="s">
        <v>9</v>
      </c>
      <c r="C276" s="8" t="s">
        <v>595</v>
      </c>
      <c r="D276" s="9">
        <v>45292</v>
      </c>
      <c r="E276" s="10">
        <v>45657</v>
      </c>
      <c r="F276" s="7" t="s">
        <v>494</v>
      </c>
      <c r="G276" s="11" t="s">
        <v>495</v>
      </c>
      <c r="H276" s="7">
        <v>1475561</v>
      </c>
      <c r="I276" s="7" t="s">
        <v>13</v>
      </c>
    </row>
    <row r="277" spans="1:9" x14ac:dyDescent="0.2">
      <c r="A277" s="7">
        <v>6139446</v>
      </c>
      <c r="B277" s="8" t="s">
        <v>9</v>
      </c>
      <c r="C277" s="8" t="s">
        <v>595</v>
      </c>
      <c r="D277" s="9">
        <v>45292</v>
      </c>
      <c r="E277" s="10">
        <v>45657</v>
      </c>
      <c r="F277" s="7" t="s">
        <v>496</v>
      </c>
      <c r="G277" s="11" t="s">
        <v>497</v>
      </c>
      <c r="H277" s="7">
        <v>0</v>
      </c>
      <c r="I277" s="7" t="s">
        <v>13</v>
      </c>
    </row>
    <row r="278" spans="1:9" x14ac:dyDescent="0.2">
      <c r="A278" s="7">
        <v>6139447</v>
      </c>
      <c r="B278" s="8" t="s">
        <v>9</v>
      </c>
      <c r="C278" s="8" t="s">
        <v>595</v>
      </c>
      <c r="D278" s="9">
        <v>45292</v>
      </c>
      <c r="E278" s="10">
        <v>45657</v>
      </c>
      <c r="F278" s="7" t="s">
        <v>498</v>
      </c>
      <c r="G278" s="11" t="s">
        <v>499</v>
      </c>
      <c r="H278" s="7">
        <v>-1022860</v>
      </c>
      <c r="I278" s="7" t="s">
        <v>13</v>
      </c>
    </row>
    <row r="279" spans="1:9" x14ac:dyDescent="0.2">
      <c r="A279" s="7">
        <v>6139448</v>
      </c>
      <c r="B279" s="8" t="s">
        <v>9</v>
      </c>
      <c r="C279" s="8" t="s">
        <v>595</v>
      </c>
      <c r="D279" s="9">
        <v>45292</v>
      </c>
      <c r="E279" s="10">
        <v>45657</v>
      </c>
      <c r="F279" s="7" t="s">
        <v>500</v>
      </c>
      <c r="G279" s="11" t="s">
        <v>501</v>
      </c>
      <c r="H279" s="7">
        <v>-85828</v>
      </c>
      <c r="I279" s="7" t="s">
        <v>13</v>
      </c>
    </row>
    <row r="280" spans="1:9" x14ac:dyDescent="0.2">
      <c r="A280" s="7">
        <v>6139449</v>
      </c>
      <c r="B280" s="8" t="s">
        <v>9</v>
      </c>
      <c r="C280" s="8" t="s">
        <v>595</v>
      </c>
      <c r="D280" s="9">
        <v>45292</v>
      </c>
      <c r="E280" s="10">
        <v>45657</v>
      </c>
      <c r="F280" s="7" t="s">
        <v>502</v>
      </c>
      <c r="G280" s="11" t="s">
        <v>503</v>
      </c>
      <c r="H280" s="7">
        <v>-219462</v>
      </c>
      <c r="I280" s="7" t="s">
        <v>13</v>
      </c>
    </row>
    <row r="281" spans="1:9" x14ac:dyDescent="0.2">
      <c r="A281" s="7">
        <v>6139450</v>
      </c>
      <c r="B281" s="8" t="s">
        <v>9</v>
      </c>
      <c r="C281" s="8" t="s">
        <v>595</v>
      </c>
      <c r="D281" s="9">
        <v>45292</v>
      </c>
      <c r="E281" s="10">
        <v>45657</v>
      </c>
      <c r="F281" s="7" t="s">
        <v>504</v>
      </c>
      <c r="G281" s="11" t="s">
        <v>505</v>
      </c>
      <c r="H281" s="7">
        <v>0</v>
      </c>
      <c r="I281" s="7" t="s">
        <v>13</v>
      </c>
    </row>
    <row r="282" spans="1:9" x14ac:dyDescent="0.2">
      <c r="A282" s="7">
        <v>6139451</v>
      </c>
      <c r="B282" s="8" t="s">
        <v>9</v>
      </c>
      <c r="C282" s="8" t="s">
        <v>595</v>
      </c>
      <c r="D282" s="9">
        <v>45292</v>
      </c>
      <c r="E282" s="10">
        <v>45657</v>
      </c>
      <c r="F282" s="7" t="s">
        <v>506</v>
      </c>
      <c r="G282" s="11" t="s">
        <v>507</v>
      </c>
      <c r="H282" s="7">
        <v>0</v>
      </c>
      <c r="I282" s="7" t="s">
        <v>13</v>
      </c>
    </row>
    <row r="283" spans="1:9" x14ac:dyDescent="0.2">
      <c r="A283" s="7">
        <v>6139452</v>
      </c>
      <c r="B283" s="8" t="s">
        <v>9</v>
      </c>
      <c r="C283" s="8" t="s">
        <v>595</v>
      </c>
      <c r="D283" s="9">
        <v>45292</v>
      </c>
      <c r="E283" s="10">
        <v>45657</v>
      </c>
      <c r="F283" s="7" t="s">
        <v>508</v>
      </c>
      <c r="G283" s="11" t="s">
        <v>509</v>
      </c>
      <c r="H283" s="7">
        <v>0</v>
      </c>
      <c r="I283" s="7" t="s">
        <v>13</v>
      </c>
    </row>
    <row r="284" spans="1:9" x14ac:dyDescent="0.2">
      <c r="A284" s="7">
        <v>6139453</v>
      </c>
      <c r="B284" s="8" t="s">
        <v>9</v>
      </c>
      <c r="C284" s="8" t="s">
        <v>595</v>
      </c>
      <c r="D284" s="9">
        <v>45292</v>
      </c>
      <c r="E284" s="10">
        <v>45657</v>
      </c>
      <c r="F284" s="7" t="s">
        <v>610</v>
      </c>
      <c r="G284" s="11" t="s">
        <v>611</v>
      </c>
      <c r="H284" s="7">
        <v>353489</v>
      </c>
      <c r="I284" s="7" t="s">
        <v>13</v>
      </c>
    </row>
    <row r="285" spans="1:9" x14ac:dyDescent="0.2">
      <c r="A285" s="7">
        <v>6139454</v>
      </c>
      <c r="B285" s="8" t="s">
        <v>9</v>
      </c>
      <c r="C285" s="8" t="s">
        <v>595</v>
      </c>
      <c r="D285" s="9">
        <v>45292</v>
      </c>
      <c r="E285" s="10">
        <v>45657</v>
      </c>
      <c r="F285" s="7" t="s">
        <v>510</v>
      </c>
      <c r="G285" s="11" t="s">
        <v>511</v>
      </c>
      <c r="H285" s="7">
        <v>138203</v>
      </c>
      <c r="I285" s="7" t="s">
        <v>13</v>
      </c>
    </row>
    <row r="286" spans="1:9" x14ac:dyDescent="0.2">
      <c r="A286" s="7">
        <v>6139455</v>
      </c>
      <c r="B286" s="8" t="s">
        <v>9</v>
      </c>
      <c r="C286" s="8" t="s">
        <v>595</v>
      </c>
      <c r="D286" s="9">
        <v>45292</v>
      </c>
      <c r="E286" s="10">
        <v>45657</v>
      </c>
      <c r="F286" s="7" t="s">
        <v>512</v>
      </c>
      <c r="G286" s="11" t="s">
        <v>513</v>
      </c>
      <c r="H286" s="7">
        <v>-1109261</v>
      </c>
      <c r="I286" s="7" t="s">
        <v>13</v>
      </c>
    </row>
    <row r="287" spans="1:9" x14ac:dyDescent="0.2">
      <c r="A287" s="7">
        <v>6139456</v>
      </c>
      <c r="B287" s="8" t="s">
        <v>9</v>
      </c>
      <c r="C287" s="8" t="s">
        <v>595</v>
      </c>
      <c r="D287" s="9">
        <v>45292</v>
      </c>
      <c r="E287" s="10">
        <v>45657</v>
      </c>
      <c r="F287" s="7" t="s">
        <v>514</v>
      </c>
      <c r="G287" s="11" t="s">
        <v>515</v>
      </c>
      <c r="H287" s="7">
        <v>3750944</v>
      </c>
      <c r="I287" s="7" t="s">
        <v>13</v>
      </c>
    </row>
    <row r="288" spans="1:9" x14ac:dyDescent="0.2">
      <c r="A288" s="7">
        <v>6139457</v>
      </c>
      <c r="B288" s="8" t="s">
        <v>9</v>
      </c>
      <c r="C288" s="8" t="s">
        <v>595</v>
      </c>
      <c r="D288" s="9">
        <v>45292</v>
      </c>
      <c r="E288" s="10">
        <v>45657</v>
      </c>
      <c r="F288" s="7" t="s">
        <v>516</v>
      </c>
      <c r="G288" s="11" t="s">
        <v>517</v>
      </c>
      <c r="H288" s="7">
        <v>2641683</v>
      </c>
      <c r="I288" s="7" t="s">
        <v>13</v>
      </c>
    </row>
    <row r="289" spans="1:9" x14ac:dyDescent="0.2">
      <c r="A289" s="7">
        <v>6139458</v>
      </c>
      <c r="B289" s="8" t="s">
        <v>9</v>
      </c>
      <c r="C289" s="8" t="s">
        <v>595</v>
      </c>
      <c r="D289" s="9">
        <v>45292</v>
      </c>
      <c r="E289" s="10">
        <v>45657</v>
      </c>
      <c r="F289" s="7" t="s">
        <v>518</v>
      </c>
      <c r="G289" s="11" t="s">
        <v>519</v>
      </c>
      <c r="H289" s="7">
        <v>31507281</v>
      </c>
      <c r="I289" s="7" t="s">
        <v>13</v>
      </c>
    </row>
    <row r="290" spans="1:9" x14ac:dyDescent="0.2">
      <c r="A290" s="7">
        <v>6139459</v>
      </c>
      <c r="B290" s="8" t="s">
        <v>9</v>
      </c>
      <c r="C290" s="8" t="s">
        <v>595</v>
      </c>
      <c r="D290" s="9">
        <v>45292</v>
      </c>
      <c r="E290" s="10">
        <v>45657</v>
      </c>
      <c r="F290" s="7" t="s">
        <v>520</v>
      </c>
      <c r="G290" s="11" t="s">
        <v>521</v>
      </c>
      <c r="H290" s="7">
        <v>31666920</v>
      </c>
      <c r="I290" s="7" t="s">
        <v>13</v>
      </c>
    </row>
    <row r="291" spans="1:9" x14ac:dyDescent="0.2">
      <c r="A291" s="7">
        <v>6139460</v>
      </c>
      <c r="B291" s="8" t="s">
        <v>9</v>
      </c>
      <c r="C291" s="8" t="s">
        <v>595</v>
      </c>
      <c r="D291" s="9">
        <v>45292</v>
      </c>
      <c r="E291" s="10">
        <v>45657</v>
      </c>
      <c r="F291" s="7" t="s">
        <v>522</v>
      </c>
      <c r="G291" s="11" t="s">
        <v>523</v>
      </c>
      <c r="H291" s="7">
        <v>320543</v>
      </c>
      <c r="I291" s="7" t="s">
        <v>13</v>
      </c>
    </row>
    <row r="292" spans="1:9" x14ac:dyDescent="0.2">
      <c r="A292" s="7">
        <v>6139461</v>
      </c>
      <c r="B292" s="8" t="s">
        <v>9</v>
      </c>
      <c r="C292" s="8" t="s">
        <v>595</v>
      </c>
      <c r="D292" s="9">
        <v>45292</v>
      </c>
      <c r="E292" s="10">
        <v>45657</v>
      </c>
      <c r="F292" s="7" t="s">
        <v>524</v>
      </c>
      <c r="G292" s="11" t="s">
        <v>525</v>
      </c>
      <c r="H292" s="7">
        <v>0</v>
      </c>
      <c r="I292" s="7" t="s">
        <v>13</v>
      </c>
    </row>
    <row r="293" spans="1:9" x14ac:dyDescent="0.2">
      <c r="A293" s="7">
        <v>6139462</v>
      </c>
      <c r="B293" s="8" t="s">
        <v>9</v>
      </c>
      <c r="C293" s="8" t="s">
        <v>595</v>
      </c>
      <c r="D293" s="9">
        <v>45292</v>
      </c>
      <c r="E293" s="10">
        <v>45657</v>
      </c>
      <c r="F293" s="7" t="s">
        <v>526</v>
      </c>
      <c r="G293" s="11" t="s">
        <v>527</v>
      </c>
      <c r="H293" s="7">
        <v>-480182</v>
      </c>
      <c r="I293" s="7" t="s">
        <v>13</v>
      </c>
    </row>
    <row r="294" spans="1:9" x14ac:dyDescent="0.2">
      <c r="A294" s="7">
        <v>6139463</v>
      </c>
      <c r="B294" s="8" t="s">
        <v>9</v>
      </c>
      <c r="C294" s="8" t="s">
        <v>595</v>
      </c>
      <c r="D294" s="9">
        <v>45292</v>
      </c>
      <c r="E294" s="10">
        <v>45657</v>
      </c>
      <c r="F294" s="7" t="s">
        <v>528</v>
      </c>
      <c r="G294" s="11" t="s">
        <v>529</v>
      </c>
      <c r="H294" s="7">
        <v>-22268291</v>
      </c>
      <c r="I294" s="7" t="s">
        <v>13</v>
      </c>
    </row>
    <row r="295" spans="1:9" x14ac:dyDescent="0.2">
      <c r="A295" s="7">
        <v>6139464</v>
      </c>
      <c r="B295" s="8" t="s">
        <v>9</v>
      </c>
      <c r="C295" s="8" t="s">
        <v>595</v>
      </c>
      <c r="D295" s="9">
        <v>45292</v>
      </c>
      <c r="E295" s="10">
        <v>45657</v>
      </c>
      <c r="F295" s="7" t="s">
        <v>530</v>
      </c>
      <c r="G295" s="11" t="s">
        <v>531</v>
      </c>
      <c r="H295" s="7">
        <v>-11760584</v>
      </c>
      <c r="I295" s="7" t="s">
        <v>13</v>
      </c>
    </row>
    <row r="296" spans="1:9" x14ac:dyDescent="0.2">
      <c r="A296" s="7">
        <v>6139465</v>
      </c>
      <c r="B296" s="8" t="s">
        <v>9</v>
      </c>
      <c r="C296" s="8" t="s">
        <v>595</v>
      </c>
      <c r="D296" s="9">
        <v>45292</v>
      </c>
      <c r="E296" s="10">
        <v>45657</v>
      </c>
      <c r="F296" s="7" t="s">
        <v>532</v>
      </c>
      <c r="G296" s="11" t="s">
        <v>533</v>
      </c>
      <c r="H296" s="7">
        <v>-9017189</v>
      </c>
      <c r="I296" s="7" t="s">
        <v>13</v>
      </c>
    </row>
    <row r="297" spans="1:9" x14ac:dyDescent="0.2">
      <c r="A297" s="7">
        <v>6139466</v>
      </c>
      <c r="B297" s="8" t="s">
        <v>9</v>
      </c>
      <c r="C297" s="8" t="s">
        <v>595</v>
      </c>
      <c r="D297" s="9">
        <v>45292</v>
      </c>
      <c r="E297" s="10">
        <v>45657</v>
      </c>
      <c r="F297" s="7" t="s">
        <v>534</v>
      </c>
      <c r="G297" s="11" t="s">
        <v>535</v>
      </c>
      <c r="H297" s="7">
        <v>-1490518</v>
      </c>
      <c r="I297" s="7" t="s">
        <v>13</v>
      </c>
    </row>
    <row r="298" spans="1:9" x14ac:dyDescent="0.2">
      <c r="A298" s="7">
        <v>6139467</v>
      </c>
      <c r="B298" s="8" t="s">
        <v>9</v>
      </c>
      <c r="C298" s="8" t="s">
        <v>595</v>
      </c>
      <c r="D298" s="9">
        <v>45292</v>
      </c>
      <c r="E298" s="10">
        <v>45657</v>
      </c>
      <c r="F298" s="7" t="s">
        <v>536</v>
      </c>
      <c r="G298" s="11" t="s">
        <v>59</v>
      </c>
      <c r="H298" s="7">
        <v>0</v>
      </c>
      <c r="I298" s="7" t="s">
        <v>13</v>
      </c>
    </row>
    <row r="299" spans="1:9" x14ac:dyDescent="0.2">
      <c r="A299" s="7">
        <v>6139468</v>
      </c>
      <c r="B299" s="8" t="s">
        <v>9</v>
      </c>
      <c r="C299" s="8" t="s">
        <v>595</v>
      </c>
      <c r="D299" s="9">
        <v>45292</v>
      </c>
      <c r="E299" s="10">
        <v>45657</v>
      </c>
      <c r="F299" s="7" t="s">
        <v>537</v>
      </c>
      <c r="G299" s="11" t="s">
        <v>538</v>
      </c>
      <c r="H299" s="7">
        <v>9238990</v>
      </c>
      <c r="I299" s="7" t="s">
        <v>13</v>
      </c>
    </row>
    <row r="300" spans="1:9" x14ac:dyDescent="0.2">
      <c r="A300" s="7">
        <v>6139469</v>
      </c>
      <c r="B300" s="8" t="s">
        <v>9</v>
      </c>
      <c r="C300" s="8" t="s">
        <v>595</v>
      </c>
      <c r="D300" s="9">
        <v>45292</v>
      </c>
      <c r="E300" s="10">
        <v>45657</v>
      </c>
      <c r="F300" s="7" t="s">
        <v>539</v>
      </c>
      <c r="G300" s="11" t="s">
        <v>540</v>
      </c>
      <c r="H300" s="7">
        <v>-968810</v>
      </c>
      <c r="I300" s="7" t="s">
        <v>13</v>
      </c>
    </row>
    <row r="301" spans="1:9" x14ac:dyDescent="0.2">
      <c r="A301" s="7">
        <v>6139470</v>
      </c>
      <c r="B301" s="8" t="s">
        <v>9</v>
      </c>
      <c r="C301" s="8" t="s">
        <v>595</v>
      </c>
      <c r="D301" s="9">
        <v>45292</v>
      </c>
      <c r="E301" s="10">
        <v>45657</v>
      </c>
      <c r="F301" s="7" t="s">
        <v>541</v>
      </c>
      <c r="G301" s="11" t="s">
        <v>542</v>
      </c>
      <c r="H301" s="7">
        <v>-968810</v>
      </c>
      <c r="I301" s="7" t="s">
        <v>13</v>
      </c>
    </row>
    <row r="302" spans="1:9" x14ac:dyDescent="0.2">
      <c r="A302" s="7">
        <v>6139471</v>
      </c>
      <c r="B302" s="8" t="s">
        <v>9</v>
      </c>
      <c r="C302" s="8" t="s">
        <v>595</v>
      </c>
      <c r="D302" s="9">
        <v>45292</v>
      </c>
      <c r="E302" s="10">
        <v>45657</v>
      </c>
      <c r="F302" s="7" t="s">
        <v>543</v>
      </c>
      <c r="G302" s="11" t="s">
        <v>544</v>
      </c>
      <c r="H302" s="7">
        <v>0</v>
      </c>
      <c r="I302" s="7" t="s">
        <v>13</v>
      </c>
    </row>
    <row r="303" spans="1:9" x14ac:dyDescent="0.2">
      <c r="A303" s="7">
        <v>6139472</v>
      </c>
      <c r="B303" s="8" t="s">
        <v>9</v>
      </c>
      <c r="C303" s="8" t="s">
        <v>595</v>
      </c>
      <c r="D303" s="9">
        <v>45292</v>
      </c>
      <c r="E303" s="10">
        <v>45657</v>
      </c>
      <c r="F303" s="7" t="s">
        <v>545</v>
      </c>
      <c r="G303" s="11" t="s">
        <v>546</v>
      </c>
      <c r="H303" s="7">
        <v>8270180</v>
      </c>
      <c r="I303" s="7" t="s">
        <v>13</v>
      </c>
    </row>
    <row r="304" spans="1:9" x14ac:dyDescent="0.2">
      <c r="A304" s="7">
        <v>6139473</v>
      </c>
      <c r="B304" s="8" t="s">
        <v>9</v>
      </c>
      <c r="C304" s="8" t="s">
        <v>595</v>
      </c>
      <c r="D304" s="9">
        <v>45292</v>
      </c>
      <c r="E304" s="10">
        <v>45657</v>
      </c>
      <c r="F304" s="7" t="s">
        <v>547</v>
      </c>
      <c r="G304" s="11" t="s">
        <v>548</v>
      </c>
      <c r="H304" s="7">
        <v>-7555445</v>
      </c>
      <c r="I304" s="7" t="s">
        <v>13</v>
      </c>
    </row>
    <row r="305" spans="1:9" x14ac:dyDescent="0.2">
      <c r="A305" s="7">
        <v>6139474</v>
      </c>
      <c r="B305" s="8" t="s">
        <v>9</v>
      </c>
      <c r="C305" s="8" t="s">
        <v>595</v>
      </c>
      <c r="D305" s="9">
        <v>45292</v>
      </c>
      <c r="E305" s="10">
        <v>45657</v>
      </c>
      <c r="F305" s="7" t="s">
        <v>549</v>
      </c>
      <c r="G305" s="11" t="s">
        <v>349</v>
      </c>
      <c r="H305" s="7">
        <v>0</v>
      </c>
      <c r="I305" s="7" t="s">
        <v>13</v>
      </c>
    </row>
    <row r="306" spans="1:9" x14ac:dyDescent="0.2">
      <c r="A306" s="7">
        <v>6139475</v>
      </c>
      <c r="B306" s="8" t="s">
        <v>9</v>
      </c>
      <c r="C306" s="8" t="s">
        <v>595</v>
      </c>
      <c r="D306" s="9">
        <v>45292</v>
      </c>
      <c r="E306" s="10">
        <v>45657</v>
      </c>
      <c r="F306" s="7" t="s">
        <v>550</v>
      </c>
      <c r="G306" s="11" t="s">
        <v>355</v>
      </c>
      <c r="H306" s="7">
        <v>632127</v>
      </c>
      <c r="I306" s="7" t="s">
        <v>13</v>
      </c>
    </row>
    <row r="307" spans="1:9" x14ac:dyDescent="0.2">
      <c r="A307" s="7">
        <v>6139476</v>
      </c>
      <c r="B307" s="8" t="s">
        <v>9</v>
      </c>
      <c r="C307" s="8" t="s">
        <v>595</v>
      </c>
      <c r="D307" s="9">
        <v>45292</v>
      </c>
      <c r="E307" s="10">
        <v>45657</v>
      </c>
      <c r="F307" s="7" t="s">
        <v>551</v>
      </c>
      <c r="G307" s="11" t="s">
        <v>59</v>
      </c>
      <c r="H307" s="7">
        <v>-8187572</v>
      </c>
      <c r="I307" s="7" t="s">
        <v>13</v>
      </c>
    </row>
    <row r="308" spans="1:9" x14ac:dyDescent="0.2">
      <c r="A308" s="7">
        <v>6139477</v>
      </c>
      <c r="B308" s="8" t="s">
        <v>9</v>
      </c>
      <c r="C308" s="8" t="s">
        <v>595</v>
      </c>
      <c r="D308" s="9">
        <v>45292</v>
      </c>
      <c r="E308" s="10">
        <v>45657</v>
      </c>
      <c r="F308" s="7" t="s">
        <v>552</v>
      </c>
      <c r="G308" s="11" t="s">
        <v>612</v>
      </c>
      <c r="H308" s="7">
        <v>-8187572</v>
      </c>
      <c r="I308" s="7" t="s">
        <v>13</v>
      </c>
    </row>
    <row r="309" spans="1:9" x14ac:dyDescent="0.2">
      <c r="A309" s="7">
        <v>6139478</v>
      </c>
      <c r="B309" s="8" t="s">
        <v>9</v>
      </c>
      <c r="C309" s="8" t="s">
        <v>595</v>
      </c>
      <c r="D309" s="9">
        <v>45292</v>
      </c>
      <c r="E309" s="10">
        <v>45657</v>
      </c>
      <c r="F309" s="7" t="s">
        <v>554</v>
      </c>
      <c r="G309" s="11" t="s">
        <v>555</v>
      </c>
      <c r="H309" s="7">
        <v>714735</v>
      </c>
      <c r="I309" s="7" t="s">
        <v>13</v>
      </c>
    </row>
    <row r="310" spans="1:9" x14ac:dyDescent="0.2">
      <c r="A310" s="7">
        <v>6139479</v>
      </c>
      <c r="B310" s="8" t="s">
        <v>9</v>
      </c>
      <c r="C310" s="8" t="s">
        <v>595</v>
      </c>
      <c r="D310" s="9">
        <v>45292</v>
      </c>
      <c r="E310" s="10">
        <v>45657</v>
      </c>
      <c r="F310" s="7" t="s">
        <v>556</v>
      </c>
      <c r="G310" s="11" t="s">
        <v>557</v>
      </c>
      <c r="H310" s="7">
        <v>714735</v>
      </c>
      <c r="I310" s="7" t="s">
        <v>13</v>
      </c>
    </row>
    <row r="311" spans="1:9" x14ac:dyDescent="0.2">
      <c r="A311" s="7">
        <v>6139480</v>
      </c>
      <c r="B311" s="8" t="s">
        <v>9</v>
      </c>
      <c r="C311" s="8" t="s">
        <v>595</v>
      </c>
      <c r="D311" s="9">
        <v>45292</v>
      </c>
      <c r="E311" s="10">
        <v>45657</v>
      </c>
      <c r="F311" s="7" t="s">
        <v>558</v>
      </c>
      <c r="G311" s="11" t="s">
        <v>559</v>
      </c>
      <c r="H311" s="7">
        <v>3606660</v>
      </c>
      <c r="I311" s="7" t="s">
        <v>13</v>
      </c>
    </row>
    <row r="312" spans="1:9" x14ac:dyDescent="0.2">
      <c r="A312" s="7">
        <v>6139481</v>
      </c>
      <c r="B312" s="8" t="s">
        <v>9</v>
      </c>
      <c r="C312" s="8" t="s">
        <v>595</v>
      </c>
      <c r="D312" s="9">
        <v>45292</v>
      </c>
      <c r="E312" s="10">
        <v>45657</v>
      </c>
      <c r="F312" s="7" t="s">
        <v>560</v>
      </c>
      <c r="G312" s="11" t="s">
        <v>561</v>
      </c>
      <c r="H312" s="7">
        <v>2658816</v>
      </c>
      <c r="I312" s="7" t="s">
        <v>13</v>
      </c>
    </row>
    <row r="313" spans="1:9" x14ac:dyDescent="0.2">
      <c r="A313" s="7">
        <v>6139482</v>
      </c>
      <c r="B313" s="8" t="s">
        <v>9</v>
      </c>
      <c r="C313" s="8" t="s">
        <v>595</v>
      </c>
      <c r="D313" s="9">
        <v>45292</v>
      </c>
      <c r="E313" s="10">
        <v>45657</v>
      </c>
      <c r="F313" s="7" t="s">
        <v>562</v>
      </c>
      <c r="G313" s="11" t="s">
        <v>563</v>
      </c>
      <c r="H313" s="7">
        <v>668097</v>
      </c>
      <c r="I313" s="7" t="s">
        <v>13</v>
      </c>
    </row>
    <row r="314" spans="1:9" x14ac:dyDescent="0.2">
      <c r="A314" s="7">
        <v>6139483</v>
      </c>
      <c r="B314" s="8" t="s">
        <v>9</v>
      </c>
      <c r="C314" s="8" t="s">
        <v>595</v>
      </c>
      <c r="D314" s="9">
        <v>45292</v>
      </c>
      <c r="E314" s="10">
        <v>45657</v>
      </c>
      <c r="F314" s="7" t="s">
        <v>564</v>
      </c>
      <c r="G314" s="11" t="s">
        <v>565</v>
      </c>
      <c r="H314" s="7">
        <v>279747</v>
      </c>
      <c r="I314" s="7" t="s">
        <v>13</v>
      </c>
    </row>
    <row r="315" spans="1:9" x14ac:dyDescent="0.2">
      <c r="A315" s="7">
        <v>6139484</v>
      </c>
      <c r="B315" s="8" t="s">
        <v>9</v>
      </c>
      <c r="C315" s="8" t="s">
        <v>595</v>
      </c>
      <c r="D315" s="9">
        <v>45292</v>
      </c>
      <c r="E315" s="10">
        <v>45657</v>
      </c>
      <c r="F315" s="7" t="s">
        <v>566</v>
      </c>
      <c r="G315" s="11" t="s">
        <v>59</v>
      </c>
      <c r="H315" s="7">
        <v>0</v>
      </c>
      <c r="I315" s="7" t="s">
        <v>13</v>
      </c>
    </row>
    <row r="316" spans="1:9" x14ac:dyDescent="0.2">
      <c r="A316" s="7">
        <v>6139485</v>
      </c>
      <c r="B316" s="8" t="s">
        <v>9</v>
      </c>
      <c r="C316" s="8" t="s">
        <v>595</v>
      </c>
      <c r="D316" s="9">
        <v>45292</v>
      </c>
      <c r="E316" s="10">
        <v>45657</v>
      </c>
      <c r="F316" s="7" t="s">
        <v>567</v>
      </c>
      <c r="G316" s="11" t="s">
        <v>568</v>
      </c>
      <c r="H316" s="7">
        <v>4712819</v>
      </c>
      <c r="I316" s="7" t="s">
        <v>13</v>
      </c>
    </row>
    <row r="317" spans="1:9" x14ac:dyDescent="0.2">
      <c r="A317" s="7">
        <v>6139486</v>
      </c>
      <c r="B317" s="8" t="s">
        <v>9</v>
      </c>
      <c r="C317" s="8" t="s">
        <v>595</v>
      </c>
      <c r="D317" s="9">
        <v>45292</v>
      </c>
      <c r="E317" s="10">
        <v>45657</v>
      </c>
      <c r="F317" s="7" t="s">
        <v>569</v>
      </c>
      <c r="G317" s="11" t="s">
        <v>570</v>
      </c>
      <c r="H317" s="7">
        <v>-153354</v>
      </c>
      <c r="I317" s="7" t="s">
        <v>13</v>
      </c>
    </row>
    <row r="318" spans="1:9" x14ac:dyDescent="0.2">
      <c r="A318" s="7">
        <v>6139487</v>
      </c>
      <c r="B318" s="8" t="s">
        <v>9</v>
      </c>
      <c r="C318" s="8" t="s">
        <v>595</v>
      </c>
      <c r="D318" s="9">
        <v>45292</v>
      </c>
      <c r="E318" s="10">
        <v>45657</v>
      </c>
      <c r="F318" s="7" t="s">
        <v>571</v>
      </c>
      <c r="G318" s="11" t="s">
        <v>572</v>
      </c>
      <c r="H318" s="7">
        <v>4866173</v>
      </c>
      <c r="I318" s="7" t="s">
        <v>13</v>
      </c>
    </row>
    <row r="319" spans="1:9" x14ac:dyDescent="0.2">
      <c r="A319" s="7">
        <v>6139488</v>
      </c>
      <c r="B319" s="8" t="s">
        <v>9</v>
      </c>
      <c r="C319" s="8" t="s">
        <v>595</v>
      </c>
      <c r="D319" s="9">
        <v>45292</v>
      </c>
      <c r="E319" s="10">
        <v>45657</v>
      </c>
      <c r="F319" s="7" t="s">
        <v>573</v>
      </c>
      <c r="G319" s="11" t="s">
        <v>574</v>
      </c>
      <c r="H319" s="7">
        <v>0</v>
      </c>
      <c r="I319" s="7" t="s">
        <v>13</v>
      </c>
    </row>
    <row r="320" spans="1:9" x14ac:dyDescent="0.2">
      <c r="A320" s="7">
        <v>6139489</v>
      </c>
      <c r="B320" s="8" t="s">
        <v>9</v>
      </c>
      <c r="C320" s="8" t="s">
        <v>595</v>
      </c>
      <c r="D320" s="9">
        <v>45292</v>
      </c>
      <c r="E320" s="10">
        <v>45657</v>
      </c>
      <c r="F320" s="7" t="s">
        <v>575</v>
      </c>
      <c r="G320" s="11" t="s">
        <v>576</v>
      </c>
      <c r="H320" s="7">
        <v>1324936</v>
      </c>
      <c r="I320" s="7" t="s">
        <v>13</v>
      </c>
    </row>
    <row r="321" spans="1:9" x14ac:dyDescent="0.2">
      <c r="A321" s="7">
        <v>6139490</v>
      </c>
      <c r="B321" s="8" t="s">
        <v>9</v>
      </c>
      <c r="C321" s="8" t="s">
        <v>595</v>
      </c>
      <c r="D321" s="9">
        <v>45292</v>
      </c>
      <c r="E321" s="10">
        <v>45657</v>
      </c>
      <c r="F321" s="7" t="s">
        <v>577</v>
      </c>
      <c r="G321" s="11" t="s">
        <v>578</v>
      </c>
      <c r="H321" s="7">
        <v>1324936</v>
      </c>
      <c r="I321" s="7" t="s">
        <v>13</v>
      </c>
    </row>
    <row r="322" spans="1:9" x14ac:dyDescent="0.2">
      <c r="A322" s="7">
        <v>6139491</v>
      </c>
      <c r="B322" s="8" t="s">
        <v>9</v>
      </c>
      <c r="C322" s="8" t="s">
        <v>595</v>
      </c>
      <c r="D322" s="9">
        <v>45292</v>
      </c>
      <c r="E322" s="10">
        <v>45657</v>
      </c>
      <c r="F322" s="7" t="s">
        <v>579</v>
      </c>
      <c r="G322" s="11" t="s">
        <v>580</v>
      </c>
      <c r="H322" s="7">
        <v>0</v>
      </c>
      <c r="I322" s="7" t="s">
        <v>13</v>
      </c>
    </row>
    <row r="323" spans="1:9" x14ac:dyDescent="0.2">
      <c r="A323" s="7">
        <v>6139492</v>
      </c>
      <c r="B323" s="8" t="s">
        <v>9</v>
      </c>
      <c r="C323" s="8" t="s">
        <v>595</v>
      </c>
      <c r="D323" s="9">
        <v>45292</v>
      </c>
      <c r="E323" s="10">
        <v>45657</v>
      </c>
      <c r="F323" s="7" t="s">
        <v>581</v>
      </c>
      <c r="G323" s="11" t="s">
        <v>544</v>
      </c>
      <c r="H323" s="7">
        <v>0</v>
      </c>
      <c r="I323" s="7" t="s">
        <v>13</v>
      </c>
    </row>
    <row r="324" spans="1:9" x14ac:dyDescent="0.2">
      <c r="A324" s="7">
        <v>6139493</v>
      </c>
      <c r="B324" s="8" t="s">
        <v>9</v>
      </c>
      <c r="C324" s="8" t="s">
        <v>595</v>
      </c>
      <c r="D324" s="9">
        <v>45292</v>
      </c>
      <c r="E324" s="10">
        <v>45657</v>
      </c>
      <c r="F324" s="7" t="s">
        <v>582</v>
      </c>
      <c r="G324" s="11" t="s">
        <v>583</v>
      </c>
      <c r="H324" s="7">
        <v>-8929680</v>
      </c>
      <c r="I324" s="7" t="s">
        <v>13</v>
      </c>
    </row>
    <row r="325" spans="1:9" x14ac:dyDescent="0.2">
      <c r="A325" s="7">
        <v>6139494</v>
      </c>
      <c r="B325" s="8" t="s">
        <v>9</v>
      </c>
      <c r="C325" s="8" t="s">
        <v>595</v>
      </c>
      <c r="D325" s="9">
        <v>45292</v>
      </c>
      <c r="E325" s="10">
        <v>45657</v>
      </c>
      <c r="F325" s="7" t="s">
        <v>584</v>
      </c>
      <c r="G325" s="11" t="s">
        <v>585</v>
      </c>
      <c r="H325" s="7">
        <v>0</v>
      </c>
      <c r="I325" s="7" t="s">
        <v>13</v>
      </c>
    </row>
    <row r="326" spans="1:9" x14ac:dyDescent="0.2">
      <c r="A326" s="7">
        <v>6139495</v>
      </c>
      <c r="B326" s="8" t="s">
        <v>9</v>
      </c>
      <c r="C326" s="8" t="s">
        <v>595</v>
      </c>
      <c r="D326" s="9">
        <v>45292</v>
      </c>
      <c r="E326" s="10">
        <v>45657</v>
      </c>
      <c r="F326" s="7" t="s">
        <v>586</v>
      </c>
      <c r="G326" s="11" t="s">
        <v>587</v>
      </c>
      <c r="H326" s="7">
        <v>0</v>
      </c>
      <c r="I326" s="7" t="s">
        <v>13</v>
      </c>
    </row>
    <row r="327" spans="1:9" x14ac:dyDescent="0.2">
      <c r="A327" s="7">
        <v>6139496</v>
      </c>
      <c r="B327" s="8" t="s">
        <v>9</v>
      </c>
      <c r="C327" s="8" t="s">
        <v>595</v>
      </c>
      <c r="D327" s="9">
        <v>45292</v>
      </c>
      <c r="E327" s="10">
        <v>45657</v>
      </c>
      <c r="F327" s="7" t="s">
        <v>588</v>
      </c>
      <c r="G327" s="11" t="s">
        <v>589</v>
      </c>
      <c r="H327" s="7">
        <v>-8929859</v>
      </c>
      <c r="I327" s="7" t="s">
        <v>13</v>
      </c>
    </row>
    <row r="328" spans="1:9" x14ac:dyDescent="0.2">
      <c r="A328" s="7">
        <v>6139497</v>
      </c>
      <c r="B328" s="8" t="s">
        <v>9</v>
      </c>
      <c r="C328" s="8" t="s">
        <v>595</v>
      </c>
      <c r="D328" s="9">
        <v>45292</v>
      </c>
      <c r="E328" s="10">
        <v>45657</v>
      </c>
      <c r="F328" s="7" t="s">
        <v>590</v>
      </c>
      <c r="G328" s="11" t="s">
        <v>591</v>
      </c>
      <c r="H328" s="7">
        <v>179</v>
      </c>
      <c r="I328" s="7" t="s">
        <v>13</v>
      </c>
    </row>
    <row r="329" spans="1:9" x14ac:dyDescent="0.2">
      <c r="A329" s="7">
        <v>6139498</v>
      </c>
      <c r="B329" s="8" t="s">
        <v>9</v>
      </c>
      <c r="C329" s="8" t="s">
        <v>595</v>
      </c>
      <c r="D329" s="9">
        <v>45292</v>
      </c>
      <c r="E329" s="10">
        <v>45657</v>
      </c>
      <c r="F329" s="7" t="s">
        <v>592</v>
      </c>
      <c r="G329" s="11" t="s">
        <v>59</v>
      </c>
      <c r="H329" s="7">
        <v>0</v>
      </c>
      <c r="I329" s="7" t="s">
        <v>13</v>
      </c>
    </row>
    <row r="330" spans="1:9" x14ac:dyDescent="0.2">
      <c r="A330" s="7">
        <v>6139499</v>
      </c>
      <c r="B330" s="8" t="s">
        <v>9</v>
      </c>
      <c r="C330" s="8" t="s">
        <v>595</v>
      </c>
      <c r="D330" s="9">
        <v>45292</v>
      </c>
      <c r="E330" s="10">
        <v>45657</v>
      </c>
      <c r="F330" s="7" t="s">
        <v>593</v>
      </c>
      <c r="G330" s="11" t="s">
        <v>594</v>
      </c>
      <c r="H330" s="7">
        <v>0</v>
      </c>
      <c r="I330" s="7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F536-AC5D-934B-A329-F2ED86C4BDE9}">
  <dimension ref="A1:J333"/>
  <sheetViews>
    <sheetView topLeftCell="E3" zoomScale="212" workbookViewId="0">
      <selection activeCell="H12" sqref="H12"/>
    </sheetView>
  </sheetViews>
  <sheetFormatPr baseColWidth="10" defaultColWidth="8.83203125" defaultRowHeight="16" x14ac:dyDescent="0.2"/>
  <cols>
    <col min="1" max="1" width="9.33203125" style="2" bestFit="1" customWidth="1"/>
    <col min="2" max="2" width="13" style="2" customWidth="1"/>
    <col min="3" max="3" width="9" style="2" customWidth="1"/>
    <col min="4" max="4" width="14.33203125" style="29" customWidth="1"/>
    <col min="5" max="5" width="15.83203125" style="29" customWidth="1"/>
    <col min="6" max="6" width="8.83203125" style="2"/>
    <col min="7" max="7" width="56.5" style="2" customWidth="1"/>
    <col min="8" max="8" width="16" style="2" customWidth="1"/>
    <col min="9" max="9" width="16.6640625" style="2" customWidth="1"/>
    <col min="10" max="10" width="41.83203125" style="2" customWidth="1"/>
    <col min="11" max="16384" width="8.83203125" style="2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756</v>
      </c>
    </row>
    <row r="2" spans="1:10" x14ac:dyDescent="0.2">
      <c r="A2" s="2">
        <v>6574908</v>
      </c>
      <c r="B2" s="2" t="s">
        <v>9</v>
      </c>
      <c r="C2" s="2" t="s">
        <v>613</v>
      </c>
      <c r="D2" s="25">
        <v>46022</v>
      </c>
      <c r="E2" s="25">
        <v>46022</v>
      </c>
      <c r="F2" s="2" t="s">
        <v>11</v>
      </c>
      <c r="G2" s="2" t="s">
        <v>12</v>
      </c>
      <c r="H2" s="2">
        <v>28971321</v>
      </c>
      <c r="I2" s="2" t="s">
        <v>13</v>
      </c>
      <c r="J2" s="51"/>
    </row>
    <row r="3" spans="1:10" s="3" customFormat="1" x14ac:dyDescent="0.2">
      <c r="A3" s="3">
        <v>6574909</v>
      </c>
      <c r="B3" s="3" t="s">
        <v>9</v>
      </c>
      <c r="C3" s="3" t="s">
        <v>613</v>
      </c>
      <c r="D3" s="26">
        <v>46022</v>
      </c>
      <c r="E3" s="26">
        <v>46022</v>
      </c>
      <c r="F3" s="3" t="s">
        <v>14</v>
      </c>
      <c r="G3" s="3" t="s">
        <v>15</v>
      </c>
      <c r="H3" s="3">
        <v>12214304</v>
      </c>
      <c r="I3" s="3" t="s">
        <v>13</v>
      </c>
      <c r="J3" s="52"/>
    </row>
    <row r="4" spans="1:10" s="4" customFormat="1" x14ac:dyDescent="0.2">
      <c r="A4" s="4">
        <v>6574910</v>
      </c>
      <c r="B4" s="4" t="s">
        <v>9</v>
      </c>
      <c r="C4" s="4" t="s">
        <v>613</v>
      </c>
      <c r="D4" s="27">
        <v>46022</v>
      </c>
      <c r="E4" s="27">
        <v>46022</v>
      </c>
      <c r="F4" s="4" t="s">
        <v>16</v>
      </c>
      <c r="G4" s="4" t="s">
        <v>17</v>
      </c>
      <c r="H4" s="4">
        <v>1490706</v>
      </c>
      <c r="I4" s="4" t="s">
        <v>13</v>
      </c>
    </row>
    <row r="5" spans="1:10" s="4" customFormat="1" x14ac:dyDescent="0.2">
      <c r="A5" s="4">
        <v>6574911</v>
      </c>
      <c r="B5" s="4" t="s">
        <v>9</v>
      </c>
      <c r="C5" s="4" t="s">
        <v>613</v>
      </c>
      <c r="D5" s="27">
        <v>46022</v>
      </c>
      <c r="E5" s="27">
        <v>46022</v>
      </c>
      <c r="F5" s="4" t="s">
        <v>18</v>
      </c>
      <c r="G5" s="4" t="s">
        <v>19</v>
      </c>
      <c r="H5" s="4">
        <v>1180547</v>
      </c>
      <c r="I5" s="4" t="s">
        <v>13</v>
      </c>
    </row>
    <row r="6" spans="1:10" s="3" customFormat="1" x14ac:dyDescent="0.2">
      <c r="A6" s="3">
        <v>6574912</v>
      </c>
      <c r="B6" s="3" t="s">
        <v>9</v>
      </c>
      <c r="C6" s="3" t="s">
        <v>613</v>
      </c>
      <c r="D6" s="26">
        <v>46022</v>
      </c>
      <c r="E6" s="26">
        <v>46022</v>
      </c>
      <c r="F6" s="3" t="s">
        <v>20</v>
      </c>
      <c r="G6" s="3" t="s">
        <v>21</v>
      </c>
      <c r="H6" s="3">
        <v>0</v>
      </c>
      <c r="I6" s="3" t="s">
        <v>13</v>
      </c>
      <c r="J6" s="52"/>
    </row>
    <row r="7" spans="1:10" s="3" customFormat="1" x14ac:dyDescent="0.2">
      <c r="A7" s="3">
        <v>6574913</v>
      </c>
      <c r="B7" s="3" t="s">
        <v>9</v>
      </c>
      <c r="C7" s="3" t="s">
        <v>613</v>
      </c>
      <c r="D7" s="26">
        <v>46022</v>
      </c>
      <c r="E7" s="26">
        <v>46022</v>
      </c>
      <c r="F7" s="3" t="s">
        <v>22</v>
      </c>
      <c r="G7" s="3" t="s">
        <v>23</v>
      </c>
      <c r="H7" s="3">
        <v>0</v>
      </c>
      <c r="I7" s="3" t="s">
        <v>13</v>
      </c>
      <c r="J7" s="52"/>
    </row>
    <row r="8" spans="1:10" s="3" customFormat="1" x14ac:dyDescent="0.2">
      <c r="A8" s="3">
        <v>6574914</v>
      </c>
      <c r="B8" s="3" t="s">
        <v>9</v>
      </c>
      <c r="C8" s="3" t="s">
        <v>613</v>
      </c>
      <c r="D8" s="26">
        <v>46022</v>
      </c>
      <c r="E8" s="26">
        <v>46022</v>
      </c>
      <c r="F8" s="3" t="s">
        <v>24</v>
      </c>
      <c r="G8" s="3" t="s">
        <v>25</v>
      </c>
      <c r="H8" s="3">
        <v>0</v>
      </c>
      <c r="I8" s="3" t="s">
        <v>13</v>
      </c>
      <c r="J8" s="52"/>
    </row>
    <row r="9" spans="1:10" s="3" customFormat="1" x14ac:dyDescent="0.2">
      <c r="A9" s="3">
        <v>6574915</v>
      </c>
      <c r="B9" s="3" t="s">
        <v>9</v>
      </c>
      <c r="C9" s="3" t="s">
        <v>613</v>
      </c>
      <c r="D9" s="26">
        <v>46022</v>
      </c>
      <c r="E9" s="26">
        <v>46022</v>
      </c>
      <c r="F9" s="3" t="s">
        <v>26</v>
      </c>
      <c r="G9" s="3" t="s">
        <v>27</v>
      </c>
      <c r="H9" s="3">
        <v>0</v>
      </c>
      <c r="I9" s="3" t="s">
        <v>13</v>
      </c>
      <c r="J9" s="52"/>
    </row>
    <row r="10" spans="1:10" s="3" customFormat="1" x14ac:dyDescent="0.2">
      <c r="A10" s="3">
        <v>6574916</v>
      </c>
      <c r="B10" s="3" t="s">
        <v>9</v>
      </c>
      <c r="C10" s="3" t="s">
        <v>613</v>
      </c>
      <c r="D10" s="26">
        <v>46022</v>
      </c>
      <c r="E10" s="26">
        <v>46022</v>
      </c>
      <c r="F10" s="3" t="s">
        <v>28</v>
      </c>
      <c r="G10" s="3" t="s">
        <v>29</v>
      </c>
      <c r="H10" s="3">
        <v>0</v>
      </c>
      <c r="I10" s="3" t="s">
        <v>13</v>
      </c>
      <c r="J10" s="52"/>
    </row>
    <row r="11" spans="1:10" s="5" customFormat="1" x14ac:dyDescent="0.2">
      <c r="A11" s="5">
        <v>6574917</v>
      </c>
      <c r="B11" s="5" t="s">
        <v>9</v>
      </c>
      <c r="C11" s="5" t="s">
        <v>613</v>
      </c>
      <c r="D11" s="28">
        <v>46022</v>
      </c>
      <c r="E11" s="28">
        <v>46022</v>
      </c>
      <c r="F11" s="5" t="s">
        <v>30</v>
      </c>
      <c r="G11" s="5" t="s">
        <v>31</v>
      </c>
      <c r="H11" s="5">
        <v>4849142</v>
      </c>
      <c r="I11" s="5" t="s">
        <v>13</v>
      </c>
    </row>
    <row r="12" spans="1:10" s="3" customFormat="1" x14ac:dyDescent="0.2">
      <c r="A12" s="3">
        <v>6574918</v>
      </c>
      <c r="B12" s="3" t="s">
        <v>9</v>
      </c>
      <c r="C12" s="3" t="s">
        <v>613</v>
      </c>
      <c r="D12" s="26">
        <v>46022</v>
      </c>
      <c r="E12" s="26">
        <v>46022</v>
      </c>
      <c r="F12" s="3" t="s">
        <v>32</v>
      </c>
      <c r="G12" s="3" t="s">
        <v>33</v>
      </c>
      <c r="H12" s="3">
        <v>4680026</v>
      </c>
      <c r="I12" s="3" t="s">
        <v>13</v>
      </c>
      <c r="J12" s="52"/>
    </row>
    <row r="13" spans="1:10" s="3" customFormat="1" x14ac:dyDescent="0.2">
      <c r="A13" s="3">
        <v>6574919</v>
      </c>
      <c r="B13" s="3" t="s">
        <v>9</v>
      </c>
      <c r="C13" s="3" t="s">
        <v>613</v>
      </c>
      <c r="D13" s="26">
        <v>46022</v>
      </c>
      <c r="E13" s="26">
        <v>46022</v>
      </c>
      <c r="F13" s="3" t="s">
        <v>37</v>
      </c>
      <c r="G13" s="3" t="s">
        <v>38</v>
      </c>
      <c r="H13" s="3">
        <v>169116</v>
      </c>
      <c r="I13" s="3" t="s">
        <v>13</v>
      </c>
      <c r="J13" s="52"/>
    </row>
    <row r="14" spans="1:10" s="3" customFormat="1" x14ac:dyDescent="0.2">
      <c r="A14" s="3">
        <v>6574920</v>
      </c>
      <c r="B14" s="3" t="s">
        <v>9</v>
      </c>
      <c r="C14" s="3" t="s">
        <v>613</v>
      </c>
      <c r="D14" s="26">
        <v>46022</v>
      </c>
      <c r="E14" s="26">
        <v>46022</v>
      </c>
      <c r="F14" s="3" t="s">
        <v>614</v>
      </c>
      <c r="G14" s="3" t="s">
        <v>35</v>
      </c>
      <c r="H14" s="3">
        <v>169116</v>
      </c>
      <c r="I14" s="3" t="s">
        <v>13</v>
      </c>
      <c r="J14" s="52"/>
    </row>
    <row r="15" spans="1:10" s="3" customFormat="1" x14ac:dyDescent="0.2">
      <c r="A15" s="3">
        <v>6574921</v>
      </c>
      <c r="B15" s="3" t="s">
        <v>9</v>
      </c>
      <c r="C15" s="3" t="s">
        <v>613</v>
      </c>
      <c r="D15" s="26">
        <v>46022</v>
      </c>
      <c r="E15" s="26">
        <v>46022</v>
      </c>
      <c r="F15" s="3" t="s">
        <v>615</v>
      </c>
      <c r="G15" s="3" t="s">
        <v>616</v>
      </c>
      <c r="H15" s="3">
        <v>0</v>
      </c>
      <c r="I15" s="3" t="s">
        <v>13</v>
      </c>
      <c r="J15" s="52"/>
    </row>
    <row r="16" spans="1:10" s="5" customFormat="1" x14ac:dyDescent="0.2">
      <c r="A16" s="5">
        <v>6574922</v>
      </c>
      <c r="B16" s="5" t="s">
        <v>9</v>
      </c>
      <c r="C16" s="5" t="s">
        <v>613</v>
      </c>
      <c r="D16" s="30">
        <v>46022</v>
      </c>
      <c r="E16" s="30">
        <v>46022</v>
      </c>
      <c r="F16" s="31" t="s">
        <v>39</v>
      </c>
      <c r="G16" s="31" t="s">
        <v>40</v>
      </c>
      <c r="H16" s="31">
        <v>2965607</v>
      </c>
      <c r="I16" s="31" t="s">
        <v>13</v>
      </c>
    </row>
    <row r="17" spans="1:10" s="3" customFormat="1" x14ac:dyDescent="0.2">
      <c r="A17" s="3">
        <v>6574923</v>
      </c>
      <c r="B17" s="3" t="s">
        <v>9</v>
      </c>
      <c r="C17" s="3" t="s">
        <v>613</v>
      </c>
      <c r="D17" s="26">
        <v>46022</v>
      </c>
      <c r="E17" s="26">
        <v>46022</v>
      </c>
      <c r="F17" s="3" t="s">
        <v>41</v>
      </c>
      <c r="G17" s="3" t="s">
        <v>42</v>
      </c>
      <c r="H17" s="3">
        <v>0</v>
      </c>
      <c r="I17" s="3" t="s">
        <v>13</v>
      </c>
      <c r="J17" s="52"/>
    </row>
    <row r="18" spans="1:10" s="3" customFormat="1" x14ac:dyDescent="0.2">
      <c r="A18" s="3">
        <v>6574924</v>
      </c>
      <c r="B18" s="3" t="s">
        <v>9</v>
      </c>
      <c r="C18" s="3" t="s">
        <v>613</v>
      </c>
      <c r="D18" s="26">
        <v>46022</v>
      </c>
      <c r="E18" s="26">
        <v>46022</v>
      </c>
      <c r="F18" s="3" t="s">
        <v>43</v>
      </c>
      <c r="G18" s="3" t="s">
        <v>44</v>
      </c>
      <c r="H18" s="3">
        <v>1330795</v>
      </c>
      <c r="I18" s="3" t="s">
        <v>13</v>
      </c>
      <c r="J18" s="52"/>
    </row>
    <row r="19" spans="1:10" s="3" customFormat="1" x14ac:dyDescent="0.2">
      <c r="A19" s="3">
        <v>6574925</v>
      </c>
      <c r="B19" s="3" t="s">
        <v>9</v>
      </c>
      <c r="C19" s="3" t="s">
        <v>613</v>
      </c>
      <c r="D19" s="26">
        <v>46022</v>
      </c>
      <c r="E19" s="26">
        <v>46022</v>
      </c>
      <c r="F19" s="3" t="s">
        <v>45</v>
      </c>
      <c r="G19" s="3" t="s">
        <v>46</v>
      </c>
      <c r="H19" s="3">
        <v>1330795</v>
      </c>
      <c r="I19" s="3" t="s">
        <v>13</v>
      </c>
      <c r="J19" s="52"/>
    </row>
    <row r="20" spans="1:10" s="3" customFormat="1" x14ac:dyDescent="0.2">
      <c r="A20" s="3">
        <v>6574926</v>
      </c>
      <c r="B20" s="3" t="s">
        <v>9</v>
      </c>
      <c r="C20" s="3" t="s">
        <v>613</v>
      </c>
      <c r="D20" s="26">
        <v>46022</v>
      </c>
      <c r="E20" s="26">
        <v>46022</v>
      </c>
      <c r="F20" s="3" t="s">
        <v>47</v>
      </c>
      <c r="G20" s="3" t="s">
        <v>46</v>
      </c>
      <c r="H20" s="3">
        <v>1067920</v>
      </c>
      <c r="I20" s="3" t="s">
        <v>13</v>
      </c>
      <c r="J20" s="52"/>
    </row>
    <row r="21" spans="1:10" s="3" customFormat="1" x14ac:dyDescent="0.2">
      <c r="A21" s="3">
        <v>6574927</v>
      </c>
      <c r="B21" s="3" t="s">
        <v>9</v>
      </c>
      <c r="C21" s="3" t="s">
        <v>613</v>
      </c>
      <c r="D21" s="26">
        <v>46022</v>
      </c>
      <c r="E21" s="26">
        <v>46022</v>
      </c>
      <c r="F21" s="3" t="s">
        <v>48</v>
      </c>
      <c r="G21" s="3" t="s">
        <v>49</v>
      </c>
      <c r="H21" s="3">
        <v>262875</v>
      </c>
      <c r="I21" s="3" t="s">
        <v>13</v>
      </c>
      <c r="J21" s="52"/>
    </row>
    <row r="22" spans="1:10" s="3" customFormat="1" x14ac:dyDescent="0.2">
      <c r="A22" s="3">
        <v>6574928</v>
      </c>
      <c r="B22" s="3" t="s">
        <v>9</v>
      </c>
      <c r="C22" s="3" t="s">
        <v>613</v>
      </c>
      <c r="D22" s="26">
        <v>46022</v>
      </c>
      <c r="E22" s="26">
        <v>46022</v>
      </c>
      <c r="F22" s="3" t="s">
        <v>50</v>
      </c>
      <c r="G22" s="3" t="s">
        <v>51</v>
      </c>
      <c r="H22" s="3">
        <v>0</v>
      </c>
      <c r="I22" s="3" t="s">
        <v>13</v>
      </c>
      <c r="J22" s="52"/>
    </row>
    <row r="23" spans="1:10" s="5" customFormat="1" x14ac:dyDescent="0.2">
      <c r="A23" s="5">
        <v>6574929</v>
      </c>
      <c r="B23" s="5" t="s">
        <v>9</v>
      </c>
      <c r="C23" s="5" t="s">
        <v>613</v>
      </c>
      <c r="D23" s="28">
        <v>46022</v>
      </c>
      <c r="E23" s="28">
        <v>46022</v>
      </c>
      <c r="F23" s="5" t="s">
        <v>52</v>
      </c>
      <c r="G23" s="5" t="s">
        <v>53</v>
      </c>
      <c r="H23" s="5">
        <v>397507</v>
      </c>
      <c r="I23" s="5" t="s">
        <v>13</v>
      </c>
    </row>
    <row r="24" spans="1:10" s="3" customFormat="1" x14ac:dyDescent="0.2">
      <c r="A24" s="3">
        <v>6574930</v>
      </c>
      <c r="B24" s="3" t="s">
        <v>9</v>
      </c>
      <c r="C24" s="3" t="s">
        <v>613</v>
      </c>
      <c r="D24" s="26">
        <v>46022</v>
      </c>
      <c r="E24" s="26">
        <v>46022</v>
      </c>
      <c r="F24" s="3" t="s">
        <v>54</v>
      </c>
      <c r="G24" s="3" t="s">
        <v>55</v>
      </c>
      <c r="H24" s="3">
        <v>26708</v>
      </c>
      <c r="I24" s="3" t="s">
        <v>13</v>
      </c>
      <c r="J24" s="52"/>
    </row>
    <row r="25" spans="1:10" s="3" customFormat="1" x14ac:dyDescent="0.2">
      <c r="A25" s="3">
        <v>6574931</v>
      </c>
      <c r="B25" s="3" t="s">
        <v>9</v>
      </c>
      <c r="C25" s="3" t="s">
        <v>613</v>
      </c>
      <c r="D25" s="26">
        <v>46022</v>
      </c>
      <c r="E25" s="26">
        <v>46022</v>
      </c>
      <c r="F25" s="3" t="s">
        <v>56</v>
      </c>
      <c r="G25" s="3" t="s">
        <v>57</v>
      </c>
      <c r="H25" s="3">
        <v>0</v>
      </c>
      <c r="I25" s="3" t="s">
        <v>749</v>
      </c>
      <c r="J25" s="52"/>
    </row>
    <row r="26" spans="1:10" s="3" customFormat="1" x14ac:dyDescent="0.2">
      <c r="A26" s="3">
        <v>6574932</v>
      </c>
      <c r="B26" s="3" t="s">
        <v>9</v>
      </c>
      <c r="C26" s="3" t="s">
        <v>613</v>
      </c>
      <c r="D26" s="26">
        <v>46022</v>
      </c>
      <c r="E26" s="26">
        <v>46022</v>
      </c>
      <c r="F26" s="3" t="s">
        <v>58</v>
      </c>
      <c r="G26" s="3" t="s">
        <v>59</v>
      </c>
      <c r="H26" s="3">
        <v>370799</v>
      </c>
      <c r="I26" s="3" t="s">
        <v>13</v>
      </c>
      <c r="J26" s="52"/>
    </row>
    <row r="27" spans="1:10" s="3" customFormat="1" x14ac:dyDescent="0.2">
      <c r="A27" s="3">
        <v>6574933</v>
      </c>
      <c r="B27" s="3" t="s">
        <v>9</v>
      </c>
      <c r="C27" s="3" t="s">
        <v>613</v>
      </c>
      <c r="D27" s="26">
        <v>46022</v>
      </c>
      <c r="E27" s="26">
        <v>46022</v>
      </c>
      <c r="F27" s="3" t="s">
        <v>60</v>
      </c>
      <c r="G27" s="3" t="s">
        <v>61</v>
      </c>
      <c r="H27" s="3">
        <v>0</v>
      </c>
      <c r="I27" s="3" t="s">
        <v>13</v>
      </c>
      <c r="J27" s="52"/>
    </row>
    <row r="28" spans="1:10" s="3" customFormat="1" x14ac:dyDescent="0.2">
      <c r="A28" s="3">
        <v>6574934</v>
      </c>
      <c r="B28" s="3" t="s">
        <v>9</v>
      </c>
      <c r="C28" s="3" t="s">
        <v>613</v>
      </c>
      <c r="D28" s="26">
        <v>46022</v>
      </c>
      <c r="E28" s="26">
        <v>46022</v>
      </c>
      <c r="F28" s="3" t="s">
        <v>62</v>
      </c>
      <c r="G28" s="3" t="s">
        <v>63</v>
      </c>
      <c r="H28" s="3">
        <v>7709</v>
      </c>
      <c r="I28" s="3" t="s">
        <v>13</v>
      </c>
      <c r="J28" s="52"/>
    </row>
    <row r="29" spans="1:10" s="3" customFormat="1" x14ac:dyDescent="0.2">
      <c r="A29" s="3">
        <v>6574935</v>
      </c>
      <c r="B29" s="3" t="s">
        <v>9</v>
      </c>
      <c r="C29" s="3" t="s">
        <v>613</v>
      </c>
      <c r="D29" s="26">
        <v>46022</v>
      </c>
      <c r="E29" s="26">
        <v>46022</v>
      </c>
      <c r="F29" s="3" t="s">
        <v>64</v>
      </c>
      <c r="G29" s="3" t="s">
        <v>65</v>
      </c>
      <c r="H29" s="3">
        <v>363090</v>
      </c>
      <c r="I29" s="3" t="s">
        <v>13</v>
      </c>
      <c r="J29" s="52"/>
    </row>
    <row r="30" spans="1:10" x14ac:dyDescent="0.2">
      <c r="A30" s="2">
        <v>6574936</v>
      </c>
      <c r="B30" s="2" t="s">
        <v>9</v>
      </c>
      <c r="C30" s="2" t="s">
        <v>613</v>
      </c>
      <c r="D30" s="25">
        <v>46022</v>
      </c>
      <c r="E30" s="25">
        <v>46022</v>
      </c>
      <c r="F30" s="2" t="s">
        <v>66</v>
      </c>
      <c r="G30" s="2" t="s">
        <v>67</v>
      </c>
      <c r="H30" s="2">
        <v>16757017</v>
      </c>
      <c r="I30" s="2" t="s">
        <v>13</v>
      </c>
      <c r="J30" s="51"/>
    </row>
    <row r="31" spans="1:10" x14ac:dyDescent="0.2">
      <c r="A31" s="2">
        <v>6574937</v>
      </c>
      <c r="B31" s="2" t="s">
        <v>9</v>
      </c>
      <c r="C31" s="2" t="s">
        <v>613</v>
      </c>
      <c r="D31" s="25">
        <v>46022</v>
      </c>
      <c r="E31" s="25">
        <v>46022</v>
      </c>
      <c r="F31" s="2" t="s">
        <v>68</v>
      </c>
      <c r="G31" s="2" t="s">
        <v>69</v>
      </c>
      <c r="H31" s="2">
        <v>3230455</v>
      </c>
      <c r="I31" s="2" t="s">
        <v>13</v>
      </c>
      <c r="J31" s="51"/>
    </row>
    <row r="32" spans="1:10" x14ac:dyDescent="0.2">
      <c r="A32" s="2">
        <v>6574938</v>
      </c>
      <c r="B32" s="2" t="s">
        <v>9</v>
      </c>
      <c r="C32" s="2" t="s">
        <v>613</v>
      </c>
      <c r="D32" s="25">
        <v>46022</v>
      </c>
      <c r="E32" s="25">
        <v>46022</v>
      </c>
      <c r="F32" s="2" t="s">
        <v>70</v>
      </c>
      <c r="G32" s="2" t="s">
        <v>21</v>
      </c>
      <c r="H32" s="2">
        <v>0</v>
      </c>
      <c r="I32" s="2" t="s">
        <v>13</v>
      </c>
      <c r="J32" s="51"/>
    </row>
    <row r="33" spans="1:10" x14ac:dyDescent="0.2">
      <c r="A33" s="2">
        <v>6574939</v>
      </c>
      <c r="B33" s="2" t="s">
        <v>9</v>
      </c>
      <c r="C33" s="2" t="s">
        <v>613</v>
      </c>
      <c r="D33" s="25">
        <v>46022</v>
      </c>
      <c r="E33" s="25">
        <v>46022</v>
      </c>
      <c r="F33" s="2" t="s">
        <v>71</v>
      </c>
      <c r="G33" s="2" t="s">
        <v>25</v>
      </c>
      <c r="H33" s="2">
        <v>0</v>
      </c>
      <c r="I33" s="2" t="s">
        <v>13</v>
      </c>
      <c r="J33" s="51"/>
    </row>
    <row r="34" spans="1:10" x14ac:dyDescent="0.2">
      <c r="A34" s="2">
        <v>6574940</v>
      </c>
      <c r="B34" s="2" t="s">
        <v>9</v>
      </c>
      <c r="C34" s="2" t="s">
        <v>613</v>
      </c>
      <c r="D34" s="25">
        <v>46022</v>
      </c>
      <c r="E34" s="25">
        <v>46022</v>
      </c>
      <c r="F34" s="2" t="s">
        <v>72</v>
      </c>
      <c r="G34" s="2" t="s">
        <v>27</v>
      </c>
      <c r="H34" s="2">
        <v>0</v>
      </c>
      <c r="I34" s="2" t="s">
        <v>13</v>
      </c>
      <c r="J34" s="51"/>
    </row>
    <row r="35" spans="1:10" x14ac:dyDescent="0.2">
      <c r="A35" s="2">
        <v>6574941</v>
      </c>
      <c r="B35" s="2" t="s">
        <v>9</v>
      </c>
      <c r="C35" s="2" t="s">
        <v>613</v>
      </c>
      <c r="D35" s="25">
        <v>46022</v>
      </c>
      <c r="E35" s="25">
        <v>46022</v>
      </c>
      <c r="F35" s="2" t="s">
        <v>73</v>
      </c>
      <c r="G35" s="2" t="s">
        <v>29</v>
      </c>
      <c r="H35" s="2">
        <v>0</v>
      </c>
      <c r="I35" s="2" t="s">
        <v>13</v>
      </c>
      <c r="J35" s="51"/>
    </row>
    <row r="36" spans="1:10" x14ac:dyDescent="0.2">
      <c r="A36" s="2">
        <v>6574942</v>
      </c>
      <c r="B36" s="2" t="s">
        <v>9</v>
      </c>
      <c r="C36" s="2" t="s">
        <v>613</v>
      </c>
      <c r="D36" s="25">
        <v>46022</v>
      </c>
      <c r="E36" s="25">
        <v>46022</v>
      </c>
      <c r="F36" s="2" t="s">
        <v>74</v>
      </c>
      <c r="G36" s="2" t="s">
        <v>31</v>
      </c>
      <c r="H36" s="2">
        <v>0</v>
      </c>
      <c r="I36" s="2" t="s">
        <v>13</v>
      </c>
      <c r="J36" s="51"/>
    </row>
    <row r="37" spans="1:10" x14ac:dyDescent="0.2">
      <c r="A37" s="2">
        <v>6574943</v>
      </c>
      <c r="B37" s="2" t="s">
        <v>9</v>
      </c>
      <c r="C37" s="2" t="s">
        <v>613</v>
      </c>
      <c r="D37" s="25">
        <v>46022</v>
      </c>
      <c r="E37" s="25">
        <v>46022</v>
      </c>
      <c r="F37" s="2" t="s">
        <v>75</v>
      </c>
      <c r="G37" s="2" t="s">
        <v>33</v>
      </c>
      <c r="H37" s="2">
        <v>0</v>
      </c>
      <c r="I37" s="2" t="s">
        <v>13</v>
      </c>
      <c r="J37" s="51"/>
    </row>
    <row r="38" spans="1:10" x14ac:dyDescent="0.2">
      <c r="A38" s="2">
        <v>6574944</v>
      </c>
      <c r="B38" s="2" t="s">
        <v>9</v>
      </c>
      <c r="C38" s="2" t="s">
        <v>613</v>
      </c>
      <c r="D38" s="25">
        <v>46022</v>
      </c>
      <c r="E38" s="25">
        <v>46022</v>
      </c>
      <c r="F38" s="2" t="s">
        <v>76</v>
      </c>
      <c r="G38" s="2" t="s">
        <v>38</v>
      </c>
      <c r="H38" s="2">
        <v>0</v>
      </c>
      <c r="I38" s="2" t="s">
        <v>13</v>
      </c>
      <c r="J38" s="51"/>
    </row>
    <row r="39" spans="1:10" x14ac:dyDescent="0.2">
      <c r="A39" s="2">
        <v>6574945</v>
      </c>
      <c r="B39" s="2" t="s">
        <v>9</v>
      </c>
      <c r="C39" s="2" t="s">
        <v>613</v>
      </c>
      <c r="D39" s="25">
        <v>46022</v>
      </c>
      <c r="E39" s="25">
        <v>46022</v>
      </c>
      <c r="F39" s="2" t="s">
        <v>77</v>
      </c>
      <c r="G39" s="2" t="s">
        <v>35</v>
      </c>
      <c r="H39" s="2">
        <v>0</v>
      </c>
      <c r="I39" s="2" t="s">
        <v>13</v>
      </c>
      <c r="J39" s="51"/>
    </row>
    <row r="40" spans="1:10" x14ac:dyDescent="0.2">
      <c r="A40" s="2">
        <v>6574946</v>
      </c>
      <c r="B40" s="2" t="s">
        <v>9</v>
      </c>
      <c r="C40" s="2" t="s">
        <v>613</v>
      </c>
      <c r="D40" s="32">
        <v>46022</v>
      </c>
      <c r="E40" s="32">
        <v>46022</v>
      </c>
      <c r="F40" s="33" t="s">
        <v>78</v>
      </c>
      <c r="G40" s="33" t="s">
        <v>40</v>
      </c>
      <c r="H40" s="33">
        <v>0</v>
      </c>
      <c r="I40" s="33" t="s">
        <v>13</v>
      </c>
      <c r="J40" s="51"/>
    </row>
    <row r="41" spans="1:10" x14ac:dyDescent="0.2">
      <c r="A41" s="2">
        <v>6574947</v>
      </c>
      <c r="B41" s="2" t="s">
        <v>9</v>
      </c>
      <c r="C41" s="2" t="s">
        <v>613</v>
      </c>
      <c r="D41" s="25">
        <v>46022</v>
      </c>
      <c r="E41" s="25">
        <v>46022</v>
      </c>
      <c r="F41" s="2" t="s">
        <v>79</v>
      </c>
      <c r="G41" s="2" t="s">
        <v>42</v>
      </c>
      <c r="H41" s="2">
        <v>0</v>
      </c>
      <c r="I41" s="2" t="s">
        <v>13</v>
      </c>
      <c r="J41" s="51"/>
    </row>
    <row r="42" spans="1:10" x14ac:dyDescent="0.2">
      <c r="A42" s="2">
        <v>6574948</v>
      </c>
      <c r="B42" s="2" t="s">
        <v>9</v>
      </c>
      <c r="C42" s="2" t="s">
        <v>613</v>
      </c>
      <c r="D42" s="25">
        <v>46022</v>
      </c>
      <c r="E42" s="25">
        <v>46022</v>
      </c>
      <c r="F42" s="2" t="s">
        <v>80</v>
      </c>
      <c r="G42" s="2" t="s">
        <v>81</v>
      </c>
      <c r="H42" s="2">
        <v>2024053</v>
      </c>
      <c r="I42" s="2" t="s">
        <v>13</v>
      </c>
      <c r="J42" s="51"/>
    </row>
    <row r="43" spans="1:10" x14ac:dyDescent="0.2">
      <c r="A43" s="2">
        <v>6574949</v>
      </c>
      <c r="B43" s="2" t="s">
        <v>9</v>
      </c>
      <c r="C43" s="2" t="s">
        <v>613</v>
      </c>
      <c r="D43" s="25">
        <v>46022</v>
      </c>
      <c r="E43" s="25">
        <v>46022</v>
      </c>
      <c r="F43" s="2" t="s">
        <v>82</v>
      </c>
      <c r="G43" s="2" t="s">
        <v>83</v>
      </c>
      <c r="H43" s="2">
        <v>2024053</v>
      </c>
      <c r="I43" s="2" t="s">
        <v>13</v>
      </c>
      <c r="J43" s="51"/>
    </row>
    <row r="44" spans="1:10" x14ac:dyDescent="0.2">
      <c r="A44" s="2">
        <v>6574950</v>
      </c>
      <c r="B44" s="2" t="s">
        <v>9</v>
      </c>
      <c r="C44" s="2" t="s">
        <v>613</v>
      </c>
      <c r="D44" s="25">
        <v>46022</v>
      </c>
      <c r="E44" s="25">
        <v>46022</v>
      </c>
      <c r="F44" s="2" t="s">
        <v>84</v>
      </c>
      <c r="G44" s="2" t="s">
        <v>51</v>
      </c>
      <c r="H44" s="2">
        <v>0</v>
      </c>
      <c r="I44" s="2" t="s">
        <v>13</v>
      </c>
      <c r="J44" s="51"/>
    </row>
    <row r="45" spans="1:10" x14ac:dyDescent="0.2">
      <c r="A45" s="2">
        <v>6574951</v>
      </c>
      <c r="B45" s="2" t="s">
        <v>9</v>
      </c>
      <c r="C45" s="2" t="s">
        <v>613</v>
      </c>
      <c r="D45" s="25">
        <v>46022</v>
      </c>
      <c r="E45" s="25">
        <v>46022</v>
      </c>
      <c r="F45" s="2" t="s">
        <v>85</v>
      </c>
      <c r="G45" s="2" t="s">
        <v>86</v>
      </c>
      <c r="H45" s="2">
        <v>0</v>
      </c>
      <c r="I45" s="2" t="s">
        <v>13</v>
      </c>
      <c r="J45" s="51"/>
    </row>
    <row r="46" spans="1:10" x14ac:dyDescent="0.2">
      <c r="A46" s="2">
        <v>6574952</v>
      </c>
      <c r="B46" s="2" t="s">
        <v>9</v>
      </c>
      <c r="C46" s="2" t="s">
        <v>613</v>
      </c>
      <c r="D46" s="25">
        <v>46022</v>
      </c>
      <c r="E46" s="25">
        <v>46022</v>
      </c>
      <c r="F46" s="2" t="s">
        <v>87</v>
      </c>
      <c r="G46" s="2" t="s">
        <v>88</v>
      </c>
      <c r="H46" s="2">
        <v>0</v>
      </c>
      <c r="I46" s="2" t="s">
        <v>13</v>
      </c>
      <c r="J46" s="51"/>
    </row>
    <row r="47" spans="1:10" x14ac:dyDescent="0.2">
      <c r="A47" s="2">
        <v>6574953</v>
      </c>
      <c r="B47" s="2" t="s">
        <v>9</v>
      </c>
      <c r="C47" s="2" t="s">
        <v>613</v>
      </c>
      <c r="D47" s="25">
        <v>46022</v>
      </c>
      <c r="E47" s="25">
        <v>46022</v>
      </c>
      <c r="F47" s="2" t="s">
        <v>89</v>
      </c>
      <c r="G47" s="2" t="s">
        <v>90</v>
      </c>
      <c r="H47" s="2">
        <v>0</v>
      </c>
      <c r="I47" s="2" t="s">
        <v>13</v>
      </c>
      <c r="J47" s="51"/>
    </row>
    <row r="48" spans="1:10" x14ac:dyDescent="0.2">
      <c r="A48" s="2">
        <v>6574954</v>
      </c>
      <c r="B48" s="2" t="s">
        <v>9</v>
      </c>
      <c r="C48" s="2" t="s">
        <v>613</v>
      </c>
      <c r="D48" s="25">
        <v>46022</v>
      </c>
      <c r="E48" s="25">
        <v>46022</v>
      </c>
      <c r="F48" s="2" t="s">
        <v>91</v>
      </c>
      <c r="G48" s="2" t="s">
        <v>92</v>
      </c>
      <c r="H48" s="2">
        <v>0</v>
      </c>
      <c r="I48" s="2" t="s">
        <v>13</v>
      </c>
      <c r="J48" s="51"/>
    </row>
    <row r="49" spans="1:10" x14ac:dyDescent="0.2">
      <c r="A49" s="2">
        <v>6574955</v>
      </c>
      <c r="B49" s="2" t="s">
        <v>9</v>
      </c>
      <c r="C49" s="2" t="s">
        <v>613</v>
      </c>
      <c r="D49" s="25">
        <v>46022</v>
      </c>
      <c r="E49" s="25">
        <v>46022</v>
      </c>
      <c r="F49" s="2" t="s">
        <v>93</v>
      </c>
      <c r="G49" s="2" t="s">
        <v>94</v>
      </c>
      <c r="H49" s="2">
        <v>1206402</v>
      </c>
      <c r="I49" s="2" t="s">
        <v>13</v>
      </c>
      <c r="J49" s="51"/>
    </row>
    <row r="50" spans="1:10" x14ac:dyDescent="0.2">
      <c r="A50" s="2">
        <v>6574956</v>
      </c>
      <c r="B50" s="2" t="s">
        <v>9</v>
      </c>
      <c r="C50" s="2" t="s">
        <v>613</v>
      </c>
      <c r="D50" s="25">
        <v>46022</v>
      </c>
      <c r="E50" s="25">
        <v>46022</v>
      </c>
      <c r="F50" s="2" t="s">
        <v>95</v>
      </c>
      <c r="G50" s="2" t="s">
        <v>55</v>
      </c>
      <c r="H50" s="2">
        <v>0</v>
      </c>
      <c r="I50" s="2" t="s">
        <v>13</v>
      </c>
      <c r="J50" s="51"/>
    </row>
    <row r="51" spans="1:10" x14ac:dyDescent="0.2">
      <c r="A51" s="2">
        <v>6574957</v>
      </c>
      <c r="B51" s="2" t="s">
        <v>9</v>
      </c>
      <c r="C51" s="2" t="s">
        <v>613</v>
      </c>
      <c r="D51" s="25">
        <v>46022</v>
      </c>
      <c r="E51" s="25">
        <v>46022</v>
      </c>
      <c r="F51" s="2" t="s">
        <v>96</v>
      </c>
      <c r="G51" s="2" t="s">
        <v>57</v>
      </c>
      <c r="H51" s="2">
        <v>0</v>
      </c>
      <c r="I51" s="2" t="s">
        <v>13</v>
      </c>
      <c r="J51" s="51"/>
    </row>
    <row r="52" spans="1:10" x14ac:dyDescent="0.2">
      <c r="A52" s="2">
        <v>6574958</v>
      </c>
      <c r="B52" s="2" t="s">
        <v>9</v>
      </c>
      <c r="C52" s="2" t="s">
        <v>613</v>
      </c>
      <c r="D52" s="25">
        <v>46022</v>
      </c>
      <c r="E52" s="25">
        <v>46022</v>
      </c>
      <c r="F52" s="2" t="s">
        <v>97</v>
      </c>
      <c r="G52" s="2" t="s">
        <v>98</v>
      </c>
      <c r="H52" s="2">
        <v>694120</v>
      </c>
      <c r="I52" s="2" t="s">
        <v>13</v>
      </c>
      <c r="J52" s="51"/>
    </row>
    <row r="53" spans="1:10" x14ac:dyDescent="0.2">
      <c r="A53" s="2">
        <v>6574959</v>
      </c>
      <c r="B53" s="2" t="s">
        <v>9</v>
      </c>
      <c r="C53" s="2" t="s">
        <v>613</v>
      </c>
      <c r="D53" s="25">
        <v>46022</v>
      </c>
      <c r="E53" s="25">
        <v>46022</v>
      </c>
      <c r="F53" s="2" t="s">
        <v>99</v>
      </c>
      <c r="G53" s="2" t="s">
        <v>105</v>
      </c>
      <c r="H53" s="2">
        <v>31330</v>
      </c>
      <c r="I53" s="2" t="s">
        <v>13</v>
      </c>
      <c r="J53" s="51"/>
    </row>
    <row r="54" spans="1:10" x14ac:dyDescent="0.2">
      <c r="A54" s="2">
        <v>6574960</v>
      </c>
      <c r="B54" s="2" t="s">
        <v>9</v>
      </c>
      <c r="C54" s="2" t="s">
        <v>613</v>
      </c>
      <c r="D54" s="25">
        <v>46022</v>
      </c>
      <c r="E54" s="25">
        <v>46022</v>
      </c>
      <c r="F54" s="2" t="s">
        <v>101</v>
      </c>
      <c r="G54" s="2" t="s">
        <v>100</v>
      </c>
      <c r="H54" s="2">
        <v>364897</v>
      </c>
      <c r="I54" s="2" t="s">
        <v>13</v>
      </c>
      <c r="J54" s="51"/>
    </row>
    <row r="55" spans="1:10" x14ac:dyDescent="0.2">
      <c r="A55" s="2">
        <v>6574961</v>
      </c>
      <c r="B55" s="2" t="s">
        <v>9</v>
      </c>
      <c r="C55" s="2" t="s">
        <v>613</v>
      </c>
      <c r="D55" s="25">
        <v>46022</v>
      </c>
      <c r="E55" s="25">
        <v>46022</v>
      </c>
      <c r="F55" s="2" t="s">
        <v>103</v>
      </c>
      <c r="G55" s="2" t="s">
        <v>102</v>
      </c>
      <c r="H55" s="2">
        <v>45985</v>
      </c>
      <c r="I55" s="2" t="s">
        <v>13</v>
      </c>
      <c r="J55" s="51"/>
    </row>
    <row r="56" spans="1:10" x14ac:dyDescent="0.2">
      <c r="A56" s="2">
        <v>6574962</v>
      </c>
      <c r="B56" s="2" t="s">
        <v>9</v>
      </c>
      <c r="C56" s="2" t="s">
        <v>613</v>
      </c>
      <c r="D56" s="25">
        <v>46022</v>
      </c>
      <c r="E56" s="25">
        <v>46022</v>
      </c>
      <c r="F56" s="2" t="s">
        <v>104</v>
      </c>
      <c r="G56" s="2" t="s">
        <v>63</v>
      </c>
      <c r="H56" s="2">
        <v>70070</v>
      </c>
      <c r="I56" s="2" t="s">
        <v>13</v>
      </c>
      <c r="J56" s="51"/>
    </row>
    <row r="57" spans="1:10" x14ac:dyDescent="0.2">
      <c r="A57" s="2">
        <v>6574963</v>
      </c>
      <c r="B57" s="2" t="s">
        <v>9</v>
      </c>
      <c r="C57" s="2" t="s">
        <v>613</v>
      </c>
      <c r="D57" s="25">
        <v>46022</v>
      </c>
      <c r="E57" s="25">
        <v>46022</v>
      </c>
      <c r="F57" s="2" t="s">
        <v>106</v>
      </c>
      <c r="G57" s="2" t="s">
        <v>107</v>
      </c>
      <c r="H57" s="2">
        <v>0</v>
      </c>
      <c r="I57" s="2" t="s">
        <v>13</v>
      </c>
      <c r="J57" s="51"/>
    </row>
    <row r="58" spans="1:10" x14ac:dyDescent="0.2">
      <c r="A58" s="2">
        <v>6574964</v>
      </c>
      <c r="B58" s="2" t="s">
        <v>9</v>
      </c>
      <c r="C58" s="2" t="s">
        <v>613</v>
      </c>
      <c r="D58" s="25">
        <v>46022</v>
      </c>
      <c r="E58" s="25">
        <v>46022</v>
      </c>
      <c r="F58" s="2" t="s">
        <v>108</v>
      </c>
      <c r="G58" s="2" t="s">
        <v>109</v>
      </c>
      <c r="H58" s="2">
        <v>0</v>
      </c>
      <c r="I58" s="2" t="s">
        <v>13</v>
      </c>
      <c r="J58" s="51"/>
    </row>
    <row r="59" spans="1:10" x14ac:dyDescent="0.2">
      <c r="A59" s="2">
        <v>6574965</v>
      </c>
      <c r="B59" s="2" t="s">
        <v>9</v>
      </c>
      <c r="C59" s="2" t="s">
        <v>613</v>
      </c>
      <c r="D59" s="25">
        <v>46022</v>
      </c>
      <c r="E59" s="25">
        <v>46022</v>
      </c>
      <c r="F59" s="2" t="s">
        <v>110</v>
      </c>
      <c r="G59" s="2" t="s">
        <v>111</v>
      </c>
      <c r="H59" s="2">
        <v>0</v>
      </c>
      <c r="I59" s="2" t="s">
        <v>13</v>
      </c>
      <c r="J59" s="51"/>
    </row>
    <row r="60" spans="1:10" x14ac:dyDescent="0.2">
      <c r="A60" s="2">
        <v>6574966</v>
      </c>
      <c r="B60" s="2" t="s">
        <v>9</v>
      </c>
      <c r="C60" s="2" t="s">
        <v>613</v>
      </c>
      <c r="D60" s="25">
        <v>46022</v>
      </c>
      <c r="E60" s="25">
        <v>46022</v>
      </c>
      <c r="F60" s="2" t="s">
        <v>112</v>
      </c>
      <c r="G60" s="2" t="s">
        <v>113</v>
      </c>
      <c r="H60" s="2">
        <v>0</v>
      </c>
      <c r="I60" s="2" t="s">
        <v>13</v>
      </c>
      <c r="J60" s="51"/>
    </row>
    <row r="61" spans="1:10" x14ac:dyDescent="0.2">
      <c r="A61" s="2">
        <v>6574967</v>
      </c>
      <c r="B61" s="2" t="s">
        <v>9</v>
      </c>
      <c r="C61" s="2" t="s">
        <v>613</v>
      </c>
      <c r="D61" s="25">
        <v>46022</v>
      </c>
      <c r="E61" s="25">
        <v>46022</v>
      </c>
      <c r="F61" s="2" t="s">
        <v>114</v>
      </c>
      <c r="G61" s="2" t="s">
        <v>115</v>
      </c>
      <c r="H61" s="2">
        <v>0</v>
      </c>
      <c r="I61" s="2" t="s">
        <v>13</v>
      </c>
      <c r="J61" s="51"/>
    </row>
    <row r="62" spans="1:10" x14ac:dyDescent="0.2">
      <c r="A62" s="2">
        <v>6574968</v>
      </c>
      <c r="B62" s="2" t="s">
        <v>9</v>
      </c>
      <c r="C62" s="2" t="s">
        <v>613</v>
      </c>
      <c r="D62" s="25">
        <v>46022</v>
      </c>
      <c r="E62" s="25">
        <v>46022</v>
      </c>
      <c r="F62" s="2" t="s">
        <v>116</v>
      </c>
      <c r="G62" s="2" t="s">
        <v>117</v>
      </c>
      <c r="H62" s="2">
        <v>0</v>
      </c>
      <c r="I62" s="2" t="s">
        <v>13</v>
      </c>
      <c r="J62" s="51"/>
    </row>
    <row r="63" spans="1:10" x14ac:dyDescent="0.2">
      <c r="A63" s="2">
        <v>6574969</v>
      </c>
      <c r="B63" s="2" t="s">
        <v>9</v>
      </c>
      <c r="C63" s="2" t="s">
        <v>613</v>
      </c>
      <c r="D63" s="25">
        <v>46022</v>
      </c>
      <c r="E63" s="25">
        <v>46022</v>
      </c>
      <c r="F63" s="2" t="s">
        <v>118</v>
      </c>
      <c r="G63" s="2" t="s">
        <v>119</v>
      </c>
      <c r="H63" s="2">
        <v>0</v>
      </c>
      <c r="I63" s="2" t="s">
        <v>13</v>
      </c>
      <c r="J63" s="51"/>
    </row>
    <row r="64" spans="1:10" x14ac:dyDescent="0.2">
      <c r="A64" s="2">
        <v>6574970</v>
      </c>
      <c r="B64" s="2" t="s">
        <v>9</v>
      </c>
      <c r="C64" s="2" t="s">
        <v>613</v>
      </c>
      <c r="D64" s="25">
        <v>46022</v>
      </c>
      <c r="E64" s="25">
        <v>46022</v>
      </c>
      <c r="F64" s="2" t="s">
        <v>120</v>
      </c>
      <c r="G64" s="36" t="s">
        <v>121</v>
      </c>
      <c r="H64" s="2">
        <v>3135865</v>
      </c>
      <c r="I64" s="2" t="s">
        <v>13</v>
      </c>
      <c r="J64" s="51"/>
    </row>
    <row r="65" spans="1:10" x14ac:dyDescent="0.2">
      <c r="A65" s="2">
        <v>6574971</v>
      </c>
      <c r="B65" s="2" t="s">
        <v>9</v>
      </c>
      <c r="C65" s="2" t="s">
        <v>613</v>
      </c>
      <c r="D65" s="25">
        <v>46022</v>
      </c>
      <c r="E65" s="25">
        <v>46022</v>
      </c>
      <c r="F65" s="2" t="s">
        <v>122</v>
      </c>
      <c r="G65" s="2" t="s">
        <v>123</v>
      </c>
      <c r="H65" s="2">
        <v>2469122</v>
      </c>
      <c r="I65" s="2" t="s">
        <v>13</v>
      </c>
      <c r="J65" s="51"/>
    </row>
    <row r="66" spans="1:10" x14ac:dyDescent="0.2">
      <c r="A66" s="2">
        <v>6574972</v>
      </c>
      <c r="B66" s="2" t="s">
        <v>9</v>
      </c>
      <c r="C66" s="2" t="s">
        <v>613</v>
      </c>
      <c r="D66" s="25">
        <v>46022</v>
      </c>
      <c r="E66" s="25">
        <v>46022</v>
      </c>
      <c r="F66" s="2" t="s">
        <v>124</v>
      </c>
      <c r="G66" s="2" t="s">
        <v>125</v>
      </c>
      <c r="H66" s="2">
        <v>666743</v>
      </c>
      <c r="I66" s="2" t="s">
        <v>13</v>
      </c>
      <c r="J66" s="51"/>
    </row>
    <row r="67" spans="1:10" x14ac:dyDescent="0.2">
      <c r="A67" s="2">
        <v>6574973</v>
      </c>
      <c r="B67" s="2" t="s">
        <v>9</v>
      </c>
      <c r="C67" s="2" t="s">
        <v>613</v>
      </c>
      <c r="D67" s="25">
        <v>46022</v>
      </c>
      <c r="E67" s="25">
        <v>46022</v>
      </c>
      <c r="F67" s="2" t="s">
        <v>126</v>
      </c>
      <c r="G67" s="2" t="s">
        <v>127</v>
      </c>
      <c r="H67" s="2">
        <v>0</v>
      </c>
      <c r="I67" s="2" t="s">
        <v>13</v>
      </c>
      <c r="J67" s="51"/>
    </row>
    <row r="68" spans="1:10" x14ac:dyDescent="0.2">
      <c r="A68" s="2">
        <v>6574974</v>
      </c>
      <c r="B68" s="2" t="s">
        <v>9</v>
      </c>
      <c r="C68" s="2" t="s">
        <v>613</v>
      </c>
      <c r="D68" s="25">
        <v>46022</v>
      </c>
      <c r="E68" s="25">
        <v>46022</v>
      </c>
      <c r="F68" s="2" t="s">
        <v>128</v>
      </c>
      <c r="G68" s="2" t="s">
        <v>129</v>
      </c>
      <c r="H68" s="2">
        <v>10390697</v>
      </c>
      <c r="I68" s="2" t="s">
        <v>13</v>
      </c>
      <c r="J68" s="51"/>
    </row>
    <row r="69" spans="1:10" x14ac:dyDescent="0.2">
      <c r="A69" s="2">
        <v>6574975</v>
      </c>
      <c r="B69" s="2" t="s">
        <v>9</v>
      </c>
      <c r="C69" s="2" t="s">
        <v>613</v>
      </c>
      <c r="D69" s="25">
        <v>46022</v>
      </c>
      <c r="E69" s="25">
        <v>46022</v>
      </c>
      <c r="F69" s="2" t="s">
        <v>130</v>
      </c>
      <c r="G69" s="2" t="s">
        <v>131</v>
      </c>
      <c r="H69" s="2">
        <v>10390697</v>
      </c>
      <c r="I69" s="2" t="s">
        <v>13</v>
      </c>
      <c r="J69" s="51"/>
    </row>
    <row r="70" spans="1:10" x14ac:dyDescent="0.2">
      <c r="A70" s="2">
        <v>6574976</v>
      </c>
      <c r="B70" s="2" t="s">
        <v>9</v>
      </c>
      <c r="C70" s="2" t="s">
        <v>613</v>
      </c>
      <c r="D70" s="25">
        <v>46022</v>
      </c>
      <c r="E70" s="25">
        <v>46022</v>
      </c>
      <c r="F70" s="2" t="s">
        <v>132</v>
      </c>
      <c r="G70" s="2" t="s">
        <v>133</v>
      </c>
      <c r="H70" s="2">
        <v>0</v>
      </c>
      <c r="I70" s="2" t="s">
        <v>13</v>
      </c>
      <c r="J70" s="51"/>
    </row>
    <row r="71" spans="1:10" x14ac:dyDescent="0.2">
      <c r="A71" s="2">
        <v>6574977</v>
      </c>
      <c r="B71" s="2" t="s">
        <v>9</v>
      </c>
      <c r="C71" s="2" t="s">
        <v>613</v>
      </c>
      <c r="D71" s="25">
        <v>46022</v>
      </c>
      <c r="E71" s="25">
        <v>46022</v>
      </c>
      <c r="F71" s="2" t="s">
        <v>134</v>
      </c>
      <c r="G71" s="2" t="s">
        <v>135</v>
      </c>
      <c r="H71" s="2">
        <v>0</v>
      </c>
      <c r="I71" s="2" t="s">
        <v>13</v>
      </c>
      <c r="J71" s="51"/>
    </row>
    <row r="72" spans="1:10" x14ac:dyDescent="0.2">
      <c r="A72" s="2">
        <v>6574978</v>
      </c>
      <c r="B72" s="2" t="s">
        <v>9</v>
      </c>
      <c r="C72" s="2" t="s">
        <v>613</v>
      </c>
      <c r="D72" s="25">
        <v>46022</v>
      </c>
      <c r="E72" s="25">
        <v>46022</v>
      </c>
      <c r="F72" s="2" t="s">
        <v>136</v>
      </c>
      <c r="G72" s="2" t="s">
        <v>137</v>
      </c>
      <c r="H72" s="36">
        <v>28971321</v>
      </c>
      <c r="I72" s="2" t="s">
        <v>13</v>
      </c>
      <c r="J72" s="51"/>
    </row>
    <row r="73" spans="1:10" s="3" customFormat="1" x14ac:dyDescent="0.2">
      <c r="A73" s="3">
        <v>6574979</v>
      </c>
      <c r="B73" s="3" t="s">
        <v>9</v>
      </c>
      <c r="C73" s="3" t="s">
        <v>613</v>
      </c>
      <c r="D73" s="26">
        <v>46022</v>
      </c>
      <c r="E73" s="26">
        <v>46022</v>
      </c>
      <c r="F73" s="3" t="s">
        <v>138</v>
      </c>
      <c r="G73" s="3" t="s">
        <v>139</v>
      </c>
      <c r="H73" s="3">
        <v>7383839</v>
      </c>
      <c r="I73" s="3" t="s">
        <v>13</v>
      </c>
      <c r="J73" s="52"/>
    </row>
    <row r="74" spans="1:10" s="3" customFormat="1" x14ac:dyDescent="0.2">
      <c r="A74" s="3">
        <v>6574980</v>
      </c>
      <c r="B74" s="3" t="s">
        <v>9</v>
      </c>
      <c r="C74" s="3" t="s">
        <v>613</v>
      </c>
      <c r="D74" s="26">
        <v>46022</v>
      </c>
      <c r="E74" s="26">
        <v>46022</v>
      </c>
      <c r="F74" s="3" t="s">
        <v>140</v>
      </c>
      <c r="G74" s="3" t="s">
        <v>141</v>
      </c>
      <c r="H74" s="3">
        <v>470756</v>
      </c>
      <c r="I74" s="3" t="s">
        <v>13</v>
      </c>
      <c r="J74" s="52"/>
    </row>
    <row r="75" spans="1:10" s="3" customFormat="1" x14ac:dyDescent="0.2">
      <c r="A75" s="3">
        <v>6574981</v>
      </c>
      <c r="B75" s="3" t="s">
        <v>9</v>
      </c>
      <c r="C75" s="3" t="s">
        <v>613</v>
      </c>
      <c r="D75" s="26">
        <v>46022</v>
      </c>
      <c r="E75" s="26">
        <v>46022</v>
      </c>
      <c r="F75" s="3" t="s">
        <v>142</v>
      </c>
      <c r="G75" s="3" t="s">
        <v>143</v>
      </c>
      <c r="H75" s="3">
        <v>0</v>
      </c>
      <c r="I75" s="3" t="s">
        <v>13</v>
      </c>
      <c r="J75" s="52"/>
    </row>
    <row r="76" spans="1:10" s="3" customFormat="1" x14ac:dyDescent="0.2">
      <c r="A76" s="3">
        <v>6574982</v>
      </c>
      <c r="B76" s="3" t="s">
        <v>9</v>
      </c>
      <c r="C76" s="3" t="s">
        <v>613</v>
      </c>
      <c r="D76" s="26">
        <v>46022</v>
      </c>
      <c r="E76" s="26">
        <v>46022</v>
      </c>
      <c r="F76" s="3" t="s">
        <v>144</v>
      </c>
      <c r="G76" s="3" t="s">
        <v>145</v>
      </c>
      <c r="H76" s="3">
        <v>470756</v>
      </c>
      <c r="I76" s="3" t="s">
        <v>13</v>
      </c>
      <c r="J76" s="52"/>
    </row>
    <row r="77" spans="1:10" s="3" customFormat="1" x14ac:dyDescent="0.2">
      <c r="A77" s="3">
        <v>6574983</v>
      </c>
      <c r="B77" s="3" t="s">
        <v>9</v>
      </c>
      <c r="C77" s="3" t="s">
        <v>613</v>
      </c>
      <c r="D77" s="26">
        <v>46022</v>
      </c>
      <c r="E77" s="26">
        <v>46022</v>
      </c>
      <c r="F77" s="3" t="s">
        <v>146</v>
      </c>
      <c r="G77" s="34" t="s">
        <v>147</v>
      </c>
      <c r="H77" s="3">
        <v>4904577</v>
      </c>
      <c r="I77" s="3" t="s">
        <v>13</v>
      </c>
      <c r="J77" s="52"/>
    </row>
    <row r="78" spans="1:10" s="3" customFormat="1" x14ac:dyDescent="0.2">
      <c r="A78" s="3">
        <v>6574984</v>
      </c>
      <c r="B78" s="3" t="s">
        <v>9</v>
      </c>
      <c r="C78" s="3" t="s">
        <v>613</v>
      </c>
      <c r="D78" s="26">
        <v>46022</v>
      </c>
      <c r="E78" s="26">
        <v>46022</v>
      </c>
      <c r="F78" s="3" t="s">
        <v>148</v>
      </c>
      <c r="G78" s="3" t="s">
        <v>149</v>
      </c>
      <c r="H78" s="3">
        <v>4904577</v>
      </c>
      <c r="I78" s="3" t="s">
        <v>13</v>
      </c>
      <c r="J78" s="52"/>
    </row>
    <row r="79" spans="1:10" s="3" customFormat="1" x14ac:dyDescent="0.2">
      <c r="A79" s="3">
        <v>6574985</v>
      </c>
      <c r="B79" s="3" t="s">
        <v>9</v>
      </c>
      <c r="C79" s="3" t="s">
        <v>613</v>
      </c>
      <c r="D79" s="26">
        <v>46022</v>
      </c>
      <c r="E79" s="26">
        <v>46022</v>
      </c>
      <c r="F79" s="3" t="s">
        <v>597</v>
      </c>
      <c r="G79" s="3" t="s">
        <v>598</v>
      </c>
      <c r="H79" s="3">
        <v>4904577</v>
      </c>
      <c r="I79" s="3" t="s">
        <v>13</v>
      </c>
      <c r="J79" s="52"/>
    </row>
    <row r="80" spans="1:10" s="3" customFormat="1" x14ac:dyDescent="0.2">
      <c r="A80" s="3">
        <v>6574986</v>
      </c>
      <c r="B80" s="3" t="s">
        <v>9</v>
      </c>
      <c r="C80" s="3" t="s">
        <v>613</v>
      </c>
      <c r="D80" s="26">
        <v>46022</v>
      </c>
      <c r="E80" s="26">
        <v>46022</v>
      </c>
      <c r="F80" s="3" t="s">
        <v>617</v>
      </c>
      <c r="G80" s="3" t="s">
        <v>618</v>
      </c>
      <c r="H80" s="3">
        <v>0</v>
      </c>
      <c r="I80" s="3" t="s">
        <v>13</v>
      </c>
      <c r="J80" s="52"/>
    </row>
    <row r="81" spans="1:10" s="3" customFormat="1" x14ac:dyDescent="0.2">
      <c r="A81" s="3">
        <v>6574987</v>
      </c>
      <c r="B81" s="3" t="s">
        <v>9</v>
      </c>
      <c r="C81" s="3" t="s">
        <v>613</v>
      </c>
      <c r="D81" s="26">
        <v>46022</v>
      </c>
      <c r="E81" s="26">
        <v>46022</v>
      </c>
      <c r="F81" s="3" t="s">
        <v>150</v>
      </c>
      <c r="G81" s="3" t="s">
        <v>151</v>
      </c>
      <c r="H81" s="3">
        <v>0</v>
      </c>
      <c r="I81" s="3" t="s">
        <v>13</v>
      </c>
      <c r="J81" s="52"/>
    </row>
    <row r="82" spans="1:10" s="3" customFormat="1" x14ac:dyDescent="0.2">
      <c r="A82" s="3">
        <v>6574988</v>
      </c>
      <c r="B82" s="3" t="s">
        <v>9</v>
      </c>
      <c r="C82" s="3" t="s">
        <v>613</v>
      </c>
      <c r="D82" s="26">
        <v>46022</v>
      </c>
      <c r="E82" s="26">
        <v>46022</v>
      </c>
      <c r="F82" s="3" t="s">
        <v>152</v>
      </c>
      <c r="G82" s="3" t="s">
        <v>153</v>
      </c>
      <c r="H82" s="3">
        <v>708535</v>
      </c>
      <c r="I82" s="3" t="s">
        <v>13</v>
      </c>
      <c r="J82" s="52"/>
    </row>
    <row r="83" spans="1:10" s="3" customFormat="1" x14ac:dyDescent="0.2">
      <c r="A83" s="3">
        <v>6574989</v>
      </c>
      <c r="B83" s="3" t="s">
        <v>9</v>
      </c>
      <c r="C83" s="3" t="s">
        <v>613</v>
      </c>
      <c r="D83" s="26">
        <v>46022</v>
      </c>
      <c r="E83" s="26">
        <v>46022</v>
      </c>
      <c r="F83" s="3" t="s">
        <v>154</v>
      </c>
      <c r="G83" s="3" t="s">
        <v>155</v>
      </c>
      <c r="H83" s="3">
        <v>708535</v>
      </c>
      <c r="I83" s="3" t="s">
        <v>13</v>
      </c>
      <c r="J83" s="52"/>
    </row>
    <row r="84" spans="1:10" s="3" customFormat="1" x14ac:dyDescent="0.2">
      <c r="A84" s="3">
        <v>6574990</v>
      </c>
      <c r="B84" s="3" t="s">
        <v>9</v>
      </c>
      <c r="C84" s="3" t="s">
        <v>613</v>
      </c>
      <c r="D84" s="26">
        <v>46022</v>
      </c>
      <c r="E84" s="26">
        <v>46022</v>
      </c>
      <c r="F84" s="3" t="s">
        <v>156</v>
      </c>
      <c r="G84" s="3" t="s">
        <v>157</v>
      </c>
      <c r="H84" s="3">
        <v>127260</v>
      </c>
      <c r="I84" s="3" t="s">
        <v>13</v>
      </c>
      <c r="J84" s="4"/>
    </row>
    <row r="85" spans="1:10" s="3" customFormat="1" x14ac:dyDescent="0.2">
      <c r="A85" s="3">
        <v>6574991</v>
      </c>
      <c r="B85" s="3" t="s">
        <v>9</v>
      </c>
      <c r="C85" s="3" t="s">
        <v>613</v>
      </c>
      <c r="D85" s="26">
        <v>46022</v>
      </c>
      <c r="E85" s="26">
        <v>46022</v>
      </c>
      <c r="F85" s="3" t="s">
        <v>158</v>
      </c>
      <c r="G85" s="3" t="s">
        <v>619</v>
      </c>
      <c r="H85" s="3">
        <v>581275</v>
      </c>
      <c r="I85" s="3" t="s">
        <v>13</v>
      </c>
      <c r="J85" s="52"/>
    </row>
    <row r="86" spans="1:10" s="3" customFormat="1" x14ac:dyDescent="0.2">
      <c r="A86" s="3">
        <v>6574992</v>
      </c>
      <c r="B86" s="3" t="s">
        <v>9</v>
      </c>
      <c r="C86" s="3" t="s">
        <v>613</v>
      </c>
      <c r="D86" s="26">
        <v>46022</v>
      </c>
      <c r="E86" s="26">
        <v>46022</v>
      </c>
      <c r="F86" s="3" t="s">
        <v>160</v>
      </c>
      <c r="G86" s="3" t="s">
        <v>161</v>
      </c>
      <c r="H86" s="3">
        <v>0</v>
      </c>
      <c r="I86" s="3" t="s">
        <v>13</v>
      </c>
      <c r="J86" s="52"/>
    </row>
    <row r="87" spans="1:10" s="3" customFormat="1" x14ac:dyDescent="0.2">
      <c r="A87" s="3">
        <v>6574993</v>
      </c>
      <c r="B87" s="3" t="s">
        <v>9</v>
      </c>
      <c r="C87" s="3" t="s">
        <v>613</v>
      </c>
      <c r="D87" s="26">
        <v>46022</v>
      </c>
      <c r="E87" s="26">
        <v>46022</v>
      </c>
      <c r="F87" s="3" t="s">
        <v>162</v>
      </c>
      <c r="G87" s="3" t="s">
        <v>163</v>
      </c>
      <c r="H87" s="3">
        <v>0</v>
      </c>
      <c r="I87" s="3" t="s">
        <v>13</v>
      </c>
      <c r="J87" s="52"/>
    </row>
    <row r="88" spans="1:10" s="3" customFormat="1" x14ac:dyDescent="0.2">
      <c r="A88" s="3">
        <v>6574994</v>
      </c>
      <c r="B88" s="3" t="s">
        <v>9</v>
      </c>
      <c r="C88" s="3" t="s">
        <v>613</v>
      </c>
      <c r="D88" s="26">
        <v>46022</v>
      </c>
      <c r="E88" s="26">
        <v>46022</v>
      </c>
      <c r="F88" s="3" t="s">
        <v>164</v>
      </c>
      <c r="G88" s="3" t="s">
        <v>165</v>
      </c>
      <c r="H88" s="3">
        <v>100502</v>
      </c>
      <c r="I88" s="3" t="s">
        <v>13</v>
      </c>
      <c r="J88" s="52"/>
    </row>
    <row r="89" spans="1:10" s="3" customFormat="1" x14ac:dyDescent="0.2">
      <c r="A89" s="3">
        <v>6574995</v>
      </c>
      <c r="B89" s="3" t="s">
        <v>9</v>
      </c>
      <c r="C89" s="3" t="s">
        <v>613</v>
      </c>
      <c r="D89" s="26">
        <v>46022</v>
      </c>
      <c r="E89" s="26">
        <v>46022</v>
      </c>
      <c r="F89" s="3" t="s">
        <v>166</v>
      </c>
      <c r="G89" s="36" t="s">
        <v>165</v>
      </c>
      <c r="H89" s="3">
        <v>100502</v>
      </c>
      <c r="I89" s="3" t="s">
        <v>13</v>
      </c>
      <c r="J89" s="52"/>
    </row>
    <row r="90" spans="1:10" s="3" customFormat="1" x14ac:dyDescent="0.2">
      <c r="A90" s="3">
        <v>6574996</v>
      </c>
      <c r="B90" s="3" t="s">
        <v>9</v>
      </c>
      <c r="C90" s="3" t="s">
        <v>613</v>
      </c>
      <c r="D90" s="26">
        <v>46022</v>
      </c>
      <c r="E90" s="26">
        <v>46022</v>
      </c>
      <c r="F90" s="3" t="s">
        <v>167</v>
      </c>
      <c r="G90" s="3" t="s">
        <v>168</v>
      </c>
      <c r="H90" s="3">
        <v>100502</v>
      </c>
      <c r="I90" s="3" t="s">
        <v>13</v>
      </c>
      <c r="J90" s="52"/>
    </row>
    <row r="91" spans="1:10" s="3" customFormat="1" x14ac:dyDescent="0.2">
      <c r="A91" s="3">
        <v>6574997</v>
      </c>
      <c r="B91" s="3" t="s">
        <v>9</v>
      </c>
      <c r="C91" s="3" t="s">
        <v>613</v>
      </c>
      <c r="D91" s="26">
        <v>46022</v>
      </c>
      <c r="E91" s="26">
        <v>46022</v>
      </c>
      <c r="F91" s="3" t="s">
        <v>169</v>
      </c>
      <c r="G91" s="3" t="s">
        <v>170</v>
      </c>
      <c r="H91" s="3">
        <v>0</v>
      </c>
      <c r="I91" s="3" t="s">
        <v>13</v>
      </c>
      <c r="J91" s="52"/>
    </row>
    <row r="92" spans="1:10" s="3" customFormat="1" x14ac:dyDescent="0.2">
      <c r="A92" s="3">
        <v>6574998</v>
      </c>
      <c r="B92" s="3" t="s">
        <v>9</v>
      </c>
      <c r="C92" s="3" t="s">
        <v>613</v>
      </c>
      <c r="D92" s="26">
        <v>46022</v>
      </c>
      <c r="E92" s="26">
        <v>46022</v>
      </c>
      <c r="F92" s="3" t="s">
        <v>171</v>
      </c>
      <c r="G92" s="36" t="s">
        <v>172</v>
      </c>
      <c r="H92" s="3">
        <v>0</v>
      </c>
      <c r="I92" s="3" t="s">
        <v>13</v>
      </c>
      <c r="J92" s="4"/>
    </row>
    <row r="93" spans="1:10" s="3" customFormat="1" x14ac:dyDescent="0.2">
      <c r="A93" s="3">
        <v>6574999</v>
      </c>
      <c r="B93" s="3" t="s">
        <v>9</v>
      </c>
      <c r="C93" s="3" t="s">
        <v>613</v>
      </c>
      <c r="D93" s="26">
        <v>46022</v>
      </c>
      <c r="E93" s="26">
        <v>46022</v>
      </c>
      <c r="F93" s="3" t="s">
        <v>173</v>
      </c>
      <c r="G93" s="3" t="s">
        <v>174</v>
      </c>
      <c r="H93" s="3">
        <v>0</v>
      </c>
      <c r="I93" s="3" t="s">
        <v>13</v>
      </c>
      <c r="J93" s="52"/>
    </row>
    <row r="94" spans="1:10" s="3" customFormat="1" x14ac:dyDescent="0.2">
      <c r="A94" s="3">
        <v>6575000</v>
      </c>
      <c r="B94" s="3" t="s">
        <v>9</v>
      </c>
      <c r="C94" s="3" t="s">
        <v>613</v>
      </c>
      <c r="D94" s="26">
        <v>46022</v>
      </c>
      <c r="E94" s="26">
        <v>46022</v>
      </c>
      <c r="F94" s="3" t="s">
        <v>175</v>
      </c>
      <c r="G94" s="3" t="s">
        <v>176</v>
      </c>
      <c r="H94" s="3">
        <v>1199469</v>
      </c>
      <c r="I94" s="3" t="s">
        <v>13</v>
      </c>
      <c r="J94" s="52"/>
    </row>
    <row r="95" spans="1:10" s="3" customFormat="1" x14ac:dyDescent="0.2">
      <c r="A95" s="3">
        <v>6575001</v>
      </c>
      <c r="B95" s="3" t="s">
        <v>9</v>
      </c>
      <c r="C95" s="3" t="s">
        <v>613</v>
      </c>
      <c r="D95" s="26">
        <v>46022</v>
      </c>
      <c r="E95" s="26">
        <v>46022</v>
      </c>
      <c r="F95" s="3" t="s">
        <v>177</v>
      </c>
      <c r="G95" s="3" t="s">
        <v>178</v>
      </c>
      <c r="H95" s="3">
        <v>0</v>
      </c>
      <c r="I95" s="3" t="s">
        <v>13</v>
      </c>
      <c r="J95" s="52"/>
    </row>
    <row r="96" spans="1:10" s="3" customFormat="1" x14ac:dyDescent="0.2">
      <c r="A96" s="3">
        <v>6575002</v>
      </c>
      <c r="B96" s="3" t="s">
        <v>9</v>
      </c>
      <c r="C96" s="3" t="s">
        <v>613</v>
      </c>
      <c r="D96" s="26">
        <v>46022</v>
      </c>
      <c r="E96" s="26">
        <v>46022</v>
      </c>
      <c r="F96" s="3" t="s">
        <v>179</v>
      </c>
      <c r="G96" s="3" t="s">
        <v>180</v>
      </c>
      <c r="H96" s="3">
        <v>0</v>
      </c>
      <c r="I96" s="3" t="s">
        <v>13</v>
      </c>
      <c r="J96" s="52"/>
    </row>
    <row r="97" spans="1:10" s="3" customFormat="1" x14ac:dyDescent="0.2">
      <c r="A97" s="3">
        <v>6575003</v>
      </c>
      <c r="B97" s="3" t="s">
        <v>9</v>
      </c>
      <c r="C97" s="3" t="s">
        <v>613</v>
      </c>
      <c r="D97" s="26">
        <v>46022</v>
      </c>
      <c r="E97" s="26">
        <v>46022</v>
      </c>
      <c r="F97" s="3" t="s">
        <v>181</v>
      </c>
      <c r="G97" s="3" t="s">
        <v>182</v>
      </c>
      <c r="H97" s="3">
        <v>0</v>
      </c>
      <c r="I97" s="3" t="s">
        <v>13</v>
      </c>
      <c r="J97" s="52"/>
    </row>
    <row r="98" spans="1:10" s="3" customFormat="1" x14ac:dyDescent="0.2">
      <c r="A98" s="3">
        <v>6575004</v>
      </c>
      <c r="B98" s="3" t="s">
        <v>9</v>
      </c>
      <c r="C98" s="3" t="s">
        <v>613</v>
      </c>
      <c r="D98" s="26">
        <v>46022</v>
      </c>
      <c r="E98" s="26">
        <v>46022</v>
      </c>
      <c r="F98" s="3" t="s">
        <v>183</v>
      </c>
      <c r="G98" s="3" t="s">
        <v>184</v>
      </c>
      <c r="H98" s="3">
        <v>0</v>
      </c>
      <c r="I98" s="3" t="s">
        <v>13</v>
      </c>
      <c r="J98" s="52"/>
    </row>
    <row r="99" spans="1:10" s="3" customFormat="1" x14ac:dyDescent="0.2">
      <c r="A99" s="3">
        <v>6575005</v>
      </c>
      <c r="B99" s="3" t="s">
        <v>9</v>
      </c>
      <c r="C99" s="3" t="s">
        <v>613</v>
      </c>
      <c r="D99" s="26">
        <v>46022</v>
      </c>
      <c r="E99" s="26">
        <v>46022</v>
      </c>
      <c r="F99" s="3" t="s">
        <v>185</v>
      </c>
      <c r="G99" s="3" t="s">
        <v>59</v>
      </c>
      <c r="H99" s="3">
        <v>1199469</v>
      </c>
      <c r="I99" s="3" t="s">
        <v>13</v>
      </c>
      <c r="J99" s="52"/>
    </row>
    <row r="100" spans="1:10" s="3" customFormat="1" x14ac:dyDescent="0.2">
      <c r="A100" s="3">
        <v>6575006</v>
      </c>
      <c r="B100" s="3" t="s">
        <v>9</v>
      </c>
      <c r="C100" s="3" t="s">
        <v>613</v>
      </c>
      <c r="D100" s="26">
        <v>46022</v>
      </c>
      <c r="E100" s="26">
        <v>46022</v>
      </c>
      <c r="F100" s="3" t="s">
        <v>186</v>
      </c>
      <c r="G100" s="3" t="s">
        <v>187</v>
      </c>
      <c r="H100" s="3">
        <v>0</v>
      </c>
      <c r="I100" s="3" t="s">
        <v>13</v>
      </c>
      <c r="J100" s="52"/>
    </row>
    <row r="101" spans="1:10" s="3" customFormat="1" x14ac:dyDescent="0.2">
      <c r="A101" s="3">
        <v>6575007</v>
      </c>
      <c r="B101" s="3" t="s">
        <v>9</v>
      </c>
      <c r="C101" s="3" t="s">
        <v>613</v>
      </c>
      <c r="D101" s="26">
        <v>46022</v>
      </c>
      <c r="E101" s="26">
        <v>46022</v>
      </c>
      <c r="F101" s="3" t="s">
        <v>188</v>
      </c>
      <c r="G101" s="3" t="s">
        <v>189</v>
      </c>
      <c r="H101" s="3">
        <v>0</v>
      </c>
      <c r="I101" s="3" t="s">
        <v>13</v>
      </c>
      <c r="J101" s="52"/>
    </row>
    <row r="102" spans="1:10" s="3" customFormat="1" x14ac:dyDescent="0.2">
      <c r="A102" s="3">
        <v>6575008</v>
      </c>
      <c r="B102" s="3" t="s">
        <v>9</v>
      </c>
      <c r="C102" s="3" t="s">
        <v>613</v>
      </c>
      <c r="D102" s="26">
        <v>46022</v>
      </c>
      <c r="E102" s="26">
        <v>46022</v>
      </c>
      <c r="F102" s="3" t="s">
        <v>190</v>
      </c>
      <c r="G102" s="3" t="s">
        <v>191</v>
      </c>
      <c r="H102" s="3">
        <v>0</v>
      </c>
      <c r="I102" s="3" t="s">
        <v>13</v>
      </c>
      <c r="J102" s="52"/>
    </row>
    <row r="103" spans="1:10" s="3" customFormat="1" x14ac:dyDescent="0.2">
      <c r="A103" s="3">
        <v>6575009</v>
      </c>
      <c r="B103" s="3" t="s">
        <v>9</v>
      </c>
      <c r="C103" s="3" t="s">
        <v>613</v>
      </c>
      <c r="D103" s="26">
        <v>46022</v>
      </c>
      <c r="E103" s="26">
        <v>46022</v>
      </c>
      <c r="F103" s="3" t="s">
        <v>192</v>
      </c>
      <c r="G103" s="3" t="s">
        <v>193</v>
      </c>
      <c r="H103" s="3">
        <v>324245</v>
      </c>
      <c r="I103" s="3" t="s">
        <v>13</v>
      </c>
      <c r="J103" s="52"/>
    </row>
    <row r="104" spans="1:10" s="3" customFormat="1" x14ac:dyDescent="0.2">
      <c r="A104" s="3">
        <v>6575010</v>
      </c>
      <c r="B104" s="3" t="s">
        <v>9</v>
      </c>
      <c r="C104" s="3" t="s">
        <v>613</v>
      </c>
      <c r="D104" s="26">
        <v>46022</v>
      </c>
      <c r="E104" s="26">
        <v>46022</v>
      </c>
      <c r="F104" s="3" t="s">
        <v>194</v>
      </c>
      <c r="G104" s="3" t="s">
        <v>620</v>
      </c>
      <c r="H104" s="3">
        <v>192427</v>
      </c>
      <c r="I104" s="3" t="s">
        <v>13</v>
      </c>
      <c r="J104" s="52"/>
    </row>
    <row r="105" spans="1:10" s="3" customFormat="1" x14ac:dyDescent="0.2">
      <c r="A105" s="3">
        <v>6575011</v>
      </c>
      <c r="B105" s="3" t="s">
        <v>9</v>
      </c>
      <c r="C105" s="3" t="s">
        <v>613</v>
      </c>
      <c r="D105" s="26">
        <v>46022</v>
      </c>
      <c r="E105" s="26">
        <v>46022</v>
      </c>
      <c r="F105" s="3" t="s">
        <v>196</v>
      </c>
      <c r="G105" s="3" t="s">
        <v>621</v>
      </c>
      <c r="H105" s="3">
        <v>682797</v>
      </c>
      <c r="I105" s="3" t="s">
        <v>13</v>
      </c>
      <c r="J105" s="52"/>
    </row>
    <row r="106" spans="1:10" s="3" customFormat="1" x14ac:dyDescent="0.2">
      <c r="A106" s="3">
        <v>6575012</v>
      </c>
      <c r="B106" s="3" t="s">
        <v>9</v>
      </c>
      <c r="C106" s="3" t="s">
        <v>613</v>
      </c>
      <c r="D106" s="26">
        <v>46022</v>
      </c>
      <c r="E106" s="26">
        <v>46022</v>
      </c>
      <c r="F106" s="3" t="s">
        <v>622</v>
      </c>
      <c r="G106" s="3" t="s">
        <v>620</v>
      </c>
      <c r="H106" s="3">
        <v>0</v>
      </c>
      <c r="I106" s="3" t="s">
        <v>13</v>
      </c>
      <c r="J106" s="52"/>
    </row>
    <row r="107" spans="1:10" s="3" customFormat="1" x14ac:dyDescent="0.2">
      <c r="A107" s="3">
        <v>6575013</v>
      </c>
      <c r="B107" s="3" t="s">
        <v>9</v>
      </c>
      <c r="C107" s="3" t="s">
        <v>613</v>
      </c>
      <c r="D107" s="26">
        <v>46022</v>
      </c>
      <c r="E107" s="26">
        <v>46022</v>
      </c>
      <c r="F107" s="3" t="s">
        <v>198</v>
      </c>
      <c r="G107" s="3" t="s">
        <v>199</v>
      </c>
      <c r="H107" s="3">
        <v>0</v>
      </c>
      <c r="I107" s="3" t="s">
        <v>13</v>
      </c>
      <c r="J107" s="52"/>
    </row>
    <row r="108" spans="1:10" s="3" customFormat="1" x14ac:dyDescent="0.2">
      <c r="A108" s="3">
        <v>6575014</v>
      </c>
      <c r="B108" s="3" t="s">
        <v>9</v>
      </c>
      <c r="C108" s="3" t="s">
        <v>613</v>
      </c>
      <c r="D108" s="26">
        <v>46022</v>
      </c>
      <c r="E108" s="26">
        <v>46022</v>
      </c>
      <c r="F108" s="3" t="s">
        <v>200</v>
      </c>
      <c r="G108" s="3" t="s">
        <v>201</v>
      </c>
      <c r="H108" s="3">
        <v>0</v>
      </c>
      <c r="I108" s="3" t="s">
        <v>13</v>
      </c>
      <c r="J108" s="52"/>
    </row>
    <row r="109" spans="1:10" s="3" customFormat="1" x14ac:dyDescent="0.2">
      <c r="A109" s="3">
        <v>6575015</v>
      </c>
      <c r="B109" s="3" t="s">
        <v>9</v>
      </c>
      <c r="C109" s="3" t="s">
        <v>613</v>
      </c>
      <c r="D109" s="26">
        <v>46022</v>
      </c>
      <c r="E109" s="26">
        <v>46022</v>
      </c>
      <c r="F109" s="3" t="s">
        <v>202</v>
      </c>
      <c r="G109" s="3" t="s">
        <v>203</v>
      </c>
      <c r="H109" s="3">
        <v>0</v>
      </c>
      <c r="I109" s="3" t="s">
        <v>13</v>
      </c>
      <c r="J109" s="52"/>
    </row>
    <row r="110" spans="1:10" s="3" customFormat="1" x14ac:dyDescent="0.2">
      <c r="A110" s="3">
        <v>6575016</v>
      </c>
      <c r="B110" s="3" t="s">
        <v>9</v>
      </c>
      <c r="C110" s="3" t="s">
        <v>613</v>
      </c>
      <c r="D110" s="26">
        <v>46022</v>
      </c>
      <c r="E110" s="26">
        <v>46022</v>
      </c>
      <c r="F110" s="3" t="s">
        <v>204</v>
      </c>
      <c r="G110" s="3" t="s">
        <v>205</v>
      </c>
      <c r="H110" s="3">
        <v>0</v>
      </c>
      <c r="I110" s="3" t="s">
        <v>13</v>
      </c>
      <c r="J110" s="52"/>
    </row>
    <row r="111" spans="1:10" s="3" customFormat="1" x14ac:dyDescent="0.2">
      <c r="A111" s="3">
        <v>6575017</v>
      </c>
      <c r="B111" s="3" t="s">
        <v>9</v>
      </c>
      <c r="C111" s="3" t="s">
        <v>613</v>
      </c>
      <c r="D111" s="26">
        <v>46022</v>
      </c>
      <c r="E111" s="26">
        <v>46022</v>
      </c>
      <c r="F111" s="3" t="s">
        <v>206</v>
      </c>
      <c r="G111" s="3" t="s">
        <v>207</v>
      </c>
      <c r="H111" s="3">
        <v>0</v>
      </c>
      <c r="I111" s="3" t="s">
        <v>13</v>
      </c>
      <c r="J111" s="52"/>
    </row>
    <row r="112" spans="1:10" s="3" customFormat="1" x14ac:dyDescent="0.2">
      <c r="A112" s="3">
        <v>6575018</v>
      </c>
      <c r="B112" s="3" t="s">
        <v>9</v>
      </c>
      <c r="C112" s="3" t="s">
        <v>613</v>
      </c>
      <c r="D112" s="26">
        <v>46022</v>
      </c>
      <c r="E112" s="26">
        <v>46022</v>
      </c>
      <c r="F112" s="3" t="s">
        <v>208</v>
      </c>
      <c r="G112" s="3" t="s">
        <v>209</v>
      </c>
      <c r="H112" s="3">
        <v>0</v>
      </c>
      <c r="I112" s="3" t="s">
        <v>13</v>
      </c>
      <c r="J112" s="52"/>
    </row>
    <row r="113" spans="1:10" s="3" customFormat="1" x14ac:dyDescent="0.2">
      <c r="A113" s="3">
        <v>6575019</v>
      </c>
      <c r="B113" s="3" t="s">
        <v>9</v>
      </c>
      <c r="C113" s="3" t="s">
        <v>613</v>
      </c>
      <c r="D113" s="26">
        <v>46022</v>
      </c>
      <c r="E113" s="26">
        <v>46022</v>
      </c>
      <c r="F113" s="3" t="s">
        <v>210</v>
      </c>
      <c r="G113" s="3" t="s">
        <v>211</v>
      </c>
      <c r="H113" s="3">
        <v>0</v>
      </c>
      <c r="I113" s="3" t="s">
        <v>13</v>
      </c>
      <c r="J113" s="52"/>
    </row>
    <row r="114" spans="1:10" s="3" customFormat="1" x14ac:dyDescent="0.2">
      <c r="A114" s="3">
        <v>6575020</v>
      </c>
      <c r="B114" s="3" t="s">
        <v>9</v>
      </c>
      <c r="C114" s="3" t="s">
        <v>613</v>
      </c>
      <c r="D114" s="26">
        <v>46022</v>
      </c>
      <c r="E114" s="26">
        <v>46022</v>
      </c>
      <c r="F114" s="3" t="s">
        <v>212</v>
      </c>
      <c r="G114" s="3" t="s">
        <v>213</v>
      </c>
      <c r="H114" s="3">
        <v>0</v>
      </c>
      <c r="I114" s="3" t="s">
        <v>13</v>
      </c>
      <c r="J114" s="52"/>
    </row>
    <row r="115" spans="1:10" s="3" customFormat="1" x14ac:dyDescent="0.2">
      <c r="A115" s="3">
        <v>6575021</v>
      </c>
      <c r="B115" s="3" t="s">
        <v>9</v>
      </c>
      <c r="C115" s="3" t="s">
        <v>613</v>
      </c>
      <c r="D115" s="26">
        <v>46022</v>
      </c>
      <c r="E115" s="26">
        <v>46022</v>
      </c>
      <c r="F115" s="3" t="s">
        <v>214</v>
      </c>
      <c r="G115" s="3" t="s">
        <v>215</v>
      </c>
      <c r="H115" s="3">
        <v>0</v>
      </c>
      <c r="I115" s="3" t="s">
        <v>13</v>
      </c>
      <c r="J115" s="52"/>
    </row>
    <row r="116" spans="1:10" s="3" customFormat="1" x14ac:dyDescent="0.2">
      <c r="A116" s="3">
        <v>6575022</v>
      </c>
      <c r="B116" s="3" t="s">
        <v>9</v>
      </c>
      <c r="C116" s="3" t="s">
        <v>613</v>
      </c>
      <c r="D116" s="26">
        <v>46022</v>
      </c>
      <c r="E116" s="26">
        <v>46022</v>
      </c>
      <c r="F116" s="3" t="s">
        <v>216</v>
      </c>
      <c r="G116" s="3" t="s">
        <v>217</v>
      </c>
      <c r="H116" s="3">
        <v>0</v>
      </c>
      <c r="I116" s="3" t="s">
        <v>13</v>
      </c>
      <c r="J116" s="52"/>
    </row>
    <row r="117" spans="1:10" s="3" customFormat="1" x14ac:dyDescent="0.2">
      <c r="A117" s="3">
        <v>6575023</v>
      </c>
      <c r="B117" s="3" t="s">
        <v>9</v>
      </c>
      <c r="C117" s="3" t="s">
        <v>613</v>
      </c>
      <c r="D117" s="26">
        <v>46022</v>
      </c>
      <c r="E117" s="26">
        <v>46022</v>
      </c>
      <c r="F117" s="3" t="s">
        <v>218</v>
      </c>
      <c r="G117" s="3" t="s">
        <v>219</v>
      </c>
      <c r="H117" s="3">
        <v>0</v>
      </c>
      <c r="I117" s="3" t="s">
        <v>13</v>
      </c>
      <c r="J117" s="52"/>
    </row>
    <row r="118" spans="1:10" s="3" customFormat="1" x14ac:dyDescent="0.2">
      <c r="A118" s="3">
        <v>6575024</v>
      </c>
      <c r="B118" s="3" t="s">
        <v>9</v>
      </c>
      <c r="C118" s="3" t="s">
        <v>613</v>
      </c>
      <c r="D118" s="26">
        <v>46022</v>
      </c>
      <c r="E118" s="26">
        <v>46022</v>
      </c>
      <c r="F118" s="3" t="s">
        <v>220</v>
      </c>
      <c r="G118" s="3" t="s">
        <v>221</v>
      </c>
      <c r="H118" s="3">
        <v>0</v>
      </c>
      <c r="I118" s="3" t="s">
        <v>13</v>
      </c>
      <c r="J118" s="52"/>
    </row>
    <row r="119" spans="1:10" s="3" customFormat="1" x14ac:dyDescent="0.2">
      <c r="A119" s="3">
        <v>6575025</v>
      </c>
      <c r="B119" s="3" t="s">
        <v>9</v>
      </c>
      <c r="C119" s="3" t="s">
        <v>613</v>
      </c>
      <c r="D119" s="26">
        <v>46022</v>
      </c>
      <c r="E119" s="26">
        <v>46022</v>
      </c>
      <c r="F119" s="3" t="s">
        <v>222</v>
      </c>
      <c r="G119" s="3" t="s">
        <v>223</v>
      </c>
      <c r="H119" s="3">
        <v>0</v>
      </c>
      <c r="I119" s="3" t="s">
        <v>13</v>
      </c>
      <c r="J119" s="52"/>
    </row>
    <row r="120" spans="1:10" s="3" customFormat="1" x14ac:dyDescent="0.2">
      <c r="A120" s="3">
        <v>6575026</v>
      </c>
      <c r="B120" s="3" t="s">
        <v>9</v>
      </c>
      <c r="C120" s="3" t="s">
        <v>613</v>
      </c>
      <c r="D120" s="26">
        <v>46022</v>
      </c>
      <c r="E120" s="26">
        <v>46022</v>
      </c>
      <c r="F120" s="3" t="s">
        <v>224</v>
      </c>
      <c r="G120" s="3" t="s">
        <v>225</v>
      </c>
      <c r="H120" s="3">
        <v>8610772</v>
      </c>
      <c r="I120" s="3" t="s">
        <v>13</v>
      </c>
      <c r="J120" s="52"/>
    </row>
    <row r="121" spans="1:10" x14ac:dyDescent="0.2">
      <c r="A121" s="2">
        <v>6575027</v>
      </c>
      <c r="B121" s="2" t="s">
        <v>9</v>
      </c>
      <c r="C121" s="2" t="s">
        <v>613</v>
      </c>
      <c r="D121" s="25">
        <v>46022</v>
      </c>
      <c r="E121" s="25">
        <v>46022</v>
      </c>
      <c r="F121" s="2" t="s">
        <v>226</v>
      </c>
      <c r="G121" s="2" t="s">
        <v>165</v>
      </c>
      <c r="H121" s="2">
        <v>6074890</v>
      </c>
      <c r="I121" s="2" t="s">
        <v>13</v>
      </c>
      <c r="J121" s="51"/>
    </row>
    <row r="122" spans="1:10" x14ac:dyDescent="0.2">
      <c r="A122" s="2">
        <v>6575028</v>
      </c>
      <c r="B122" s="2" t="s">
        <v>9</v>
      </c>
      <c r="C122" s="2" t="s">
        <v>613</v>
      </c>
      <c r="D122" s="25">
        <v>46022</v>
      </c>
      <c r="E122" s="25">
        <v>46022</v>
      </c>
      <c r="F122" s="2" t="s">
        <v>227</v>
      </c>
      <c r="G122" s="2" t="s">
        <v>165</v>
      </c>
      <c r="H122" s="2">
        <v>6074890</v>
      </c>
      <c r="I122" s="2" t="s">
        <v>13</v>
      </c>
      <c r="J122" s="51"/>
    </row>
    <row r="123" spans="1:10" x14ac:dyDescent="0.2">
      <c r="A123" s="2">
        <v>6575029</v>
      </c>
      <c r="B123" s="2" t="s">
        <v>9</v>
      </c>
      <c r="C123" s="2" t="s">
        <v>613</v>
      </c>
      <c r="D123" s="25">
        <v>46022</v>
      </c>
      <c r="E123" s="25">
        <v>46022</v>
      </c>
      <c r="F123" s="2" t="s">
        <v>228</v>
      </c>
      <c r="G123" s="2" t="s">
        <v>168</v>
      </c>
      <c r="H123" s="2">
        <v>0</v>
      </c>
      <c r="I123" s="2" t="s">
        <v>13</v>
      </c>
      <c r="J123" s="51"/>
    </row>
    <row r="124" spans="1:10" x14ac:dyDescent="0.2">
      <c r="A124" s="2">
        <v>6575030</v>
      </c>
      <c r="B124" s="2" t="s">
        <v>9</v>
      </c>
      <c r="C124" s="2" t="s">
        <v>613</v>
      </c>
      <c r="D124" s="25">
        <v>46022</v>
      </c>
      <c r="E124" s="25">
        <v>46022</v>
      </c>
      <c r="F124" s="2" t="s">
        <v>229</v>
      </c>
      <c r="G124" s="2" t="s">
        <v>170</v>
      </c>
      <c r="H124" s="2">
        <v>0</v>
      </c>
      <c r="I124" s="2" t="s">
        <v>13</v>
      </c>
      <c r="J124" s="51"/>
    </row>
    <row r="125" spans="1:10" x14ac:dyDescent="0.2">
      <c r="A125" s="2">
        <v>6575031</v>
      </c>
      <c r="B125" s="2" t="s">
        <v>9</v>
      </c>
      <c r="C125" s="2" t="s">
        <v>613</v>
      </c>
      <c r="D125" s="25">
        <v>46022</v>
      </c>
      <c r="E125" s="25">
        <v>46022</v>
      </c>
      <c r="F125" s="2" t="s">
        <v>230</v>
      </c>
      <c r="G125" s="2" t="s">
        <v>172</v>
      </c>
      <c r="H125" s="2">
        <v>0</v>
      </c>
      <c r="I125" s="2" t="s">
        <v>13</v>
      </c>
      <c r="J125" s="51"/>
    </row>
    <row r="126" spans="1:10" x14ac:dyDescent="0.2">
      <c r="A126" s="2">
        <v>6575032</v>
      </c>
      <c r="B126" s="2" t="s">
        <v>9</v>
      </c>
      <c r="C126" s="2" t="s">
        <v>613</v>
      </c>
      <c r="D126" s="25">
        <v>46022</v>
      </c>
      <c r="E126" s="25">
        <v>46022</v>
      </c>
      <c r="F126" s="2" t="s">
        <v>231</v>
      </c>
      <c r="G126" s="2" t="s">
        <v>174</v>
      </c>
      <c r="H126" s="2">
        <v>0</v>
      </c>
      <c r="I126" s="2" t="s">
        <v>13</v>
      </c>
      <c r="J126" s="51"/>
    </row>
    <row r="127" spans="1:10" x14ac:dyDescent="0.2">
      <c r="A127" s="2">
        <v>6575033</v>
      </c>
      <c r="B127" s="2" t="s">
        <v>9</v>
      </c>
      <c r="C127" s="2" t="s">
        <v>613</v>
      </c>
      <c r="D127" s="25">
        <v>46022</v>
      </c>
      <c r="E127" s="25">
        <v>46022</v>
      </c>
      <c r="F127" s="2" t="s">
        <v>232</v>
      </c>
      <c r="G127" s="2" t="s">
        <v>176</v>
      </c>
      <c r="H127" s="2">
        <v>1283576</v>
      </c>
      <c r="I127" s="2" t="s">
        <v>13</v>
      </c>
      <c r="J127" s="51"/>
    </row>
    <row r="128" spans="1:10" x14ac:dyDescent="0.2">
      <c r="A128" s="2">
        <v>6575034</v>
      </c>
      <c r="B128" s="2" t="s">
        <v>9</v>
      </c>
      <c r="C128" s="2" t="s">
        <v>613</v>
      </c>
      <c r="D128" s="25">
        <v>46022</v>
      </c>
      <c r="E128" s="25">
        <v>46022</v>
      </c>
      <c r="F128" s="2" t="s">
        <v>233</v>
      </c>
      <c r="G128" s="2" t="s">
        <v>178</v>
      </c>
      <c r="H128" s="2">
        <v>0</v>
      </c>
      <c r="I128" s="2" t="s">
        <v>13</v>
      </c>
      <c r="J128" s="51"/>
    </row>
    <row r="129" spans="1:10" x14ac:dyDescent="0.2">
      <c r="A129" s="2">
        <v>6575035</v>
      </c>
      <c r="B129" s="2" t="s">
        <v>9</v>
      </c>
      <c r="C129" s="2" t="s">
        <v>613</v>
      </c>
      <c r="D129" s="25">
        <v>46022</v>
      </c>
      <c r="E129" s="25">
        <v>46022</v>
      </c>
      <c r="F129" s="2" t="s">
        <v>234</v>
      </c>
      <c r="G129" s="2" t="s">
        <v>180</v>
      </c>
      <c r="H129" s="2">
        <v>0</v>
      </c>
      <c r="I129" s="2" t="s">
        <v>13</v>
      </c>
      <c r="J129" s="51"/>
    </row>
    <row r="130" spans="1:10" x14ac:dyDescent="0.2">
      <c r="A130" s="2">
        <v>6575036</v>
      </c>
      <c r="B130" s="2" t="s">
        <v>9</v>
      </c>
      <c r="C130" s="2" t="s">
        <v>613</v>
      </c>
      <c r="D130" s="25">
        <v>46022</v>
      </c>
      <c r="E130" s="25">
        <v>46022</v>
      </c>
      <c r="F130" s="2" t="s">
        <v>235</v>
      </c>
      <c r="G130" s="2" t="s">
        <v>182</v>
      </c>
      <c r="H130" s="2">
        <v>0</v>
      </c>
      <c r="I130" s="2" t="s">
        <v>13</v>
      </c>
      <c r="J130" s="51"/>
    </row>
    <row r="131" spans="1:10" x14ac:dyDescent="0.2">
      <c r="A131" s="2">
        <v>6575037</v>
      </c>
      <c r="B131" s="2" t="s">
        <v>9</v>
      </c>
      <c r="C131" s="2" t="s">
        <v>613</v>
      </c>
      <c r="D131" s="25">
        <v>46022</v>
      </c>
      <c r="E131" s="25">
        <v>46022</v>
      </c>
      <c r="F131" s="2" t="s">
        <v>236</v>
      </c>
      <c r="G131" s="2" t="s">
        <v>184</v>
      </c>
      <c r="H131" s="2">
        <v>0</v>
      </c>
      <c r="I131" s="2" t="s">
        <v>13</v>
      </c>
      <c r="J131" s="51"/>
    </row>
    <row r="132" spans="1:10" x14ac:dyDescent="0.2">
      <c r="A132" s="2">
        <v>6575038</v>
      </c>
      <c r="B132" s="2" t="s">
        <v>9</v>
      </c>
      <c r="C132" s="2" t="s">
        <v>613</v>
      </c>
      <c r="D132" s="25">
        <v>46022</v>
      </c>
      <c r="E132" s="25">
        <v>46022</v>
      </c>
      <c r="F132" s="2" t="s">
        <v>237</v>
      </c>
      <c r="G132" s="2" t="s">
        <v>59</v>
      </c>
      <c r="H132" s="2">
        <v>1283576</v>
      </c>
      <c r="I132" s="2" t="s">
        <v>13</v>
      </c>
      <c r="J132" s="51"/>
    </row>
    <row r="133" spans="1:10" x14ac:dyDescent="0.2">
      <c r="A133" s="2">
        <v>6575039</v>
      </c>
      <c r="B133" s="2" t="s">
        <v>9</v>
      </c>
      <c r="C133" s="2" t="s">
        <v>613</v>
      </c>
      <c r="D133" s="25">
        <v>46022</v>
      </c>
      <c r="E133" s="25">
        <v>46022</v>
      </c>
      <c r="F133" s="2" t="s">
        <v>238</v>
      </c>
      <c r="G133" s="2" t="s">
        <v>191</v>
      </c>
      <c r="H133" s="2">
        <v>0</v>
      </c>
      <c r="I133" s="2" t="s">
        <v>13</v>
      </c>
      <c r="J133" s="51"/>
    </row>
    <row r="134" spans="1:10" x14ac:dyDescent="0.2">
      <c r="A134" s="2">
        <v>6575040</v>
      </c>
      <c r="B134" s="2" t="s">
        <v>9</v>
      </c>
      <c r="C134" s="2" t="s">
        <v>613</v>
      </c>
      <c r="D134" s="25">
        <v>46022</v>
      </c>
      <c r="E134" s="25">
        <v>46022</v>
      </c>
      <c r="F134" s="2" t="s">
        <v>239</v>
      </c>
      <c r="G134" s="2" t="s">
        <v>240</v>
      </c>
      <c r="H134" s="2">
        <v>0</v>
      </c>
      <c r="I134" s="2" t="s">
        <v>13</v>
      </c>
      <c r="J134" s="51"/>
    </row>
    <row r="135" spans="1:10" x14ac:dyDescent="0.2">
      <c r="A135" s="2">
        <v>6575041</v>
      </c>
      <c r="B135" s="2" t="s">
        <v>9</v>
      </c>
      <c r="C135" s="2" t="s">
        <v>613</v>
      </c>
      <c r="D135" s="25">
        <v>46022</v>
      </c>
      <c r="E135" s="25">
        <v>46022</v>
      </c>
      <c r="F135" s="2" t="s">
        <v>241</v>
      </c>
      <c r="G135" s="2" t="s">
        <v>159</v>
      </c>
      <c r="H135" s="2">
        <v>158685</v>
      </c>
      <c r="I135" s="2" t="s">
        <v>13</v>
      </c>
      <c r="J135" s="51"/>
    </row>
    <row r="136" spans="1:10" x14ac:dyDescent="0.2">
      <c r="A136" s="2">
        <v>6575042</v>
      </c>
      <c r="B136" s="2" t="s">
        <v>9</v>
      </c>
      <c r="C136" s="2" t="s">
        <v>613</v>
      </c>
      <c r="D136" s="25">
        <v>46022</v>
      </c>
      <c r="E136" s="25">
        <v>46022</v>
      </c>
      <c r="F136" s="2" t="s">
        <v>242</v>
      </c>
      <c r="G136" s="2" t="s">
        <v>620</v>
      </c>
      <c r="H136" s="2">
        <v>401465</v>
      </c>
      <c r="I136" s="2" t="s">
        <v>13</v>
      </c>
      <c r="J136" s="51"/>
    </row>
    <row r="137" spans="1:10" x14ac:dyDescent="0.2">
      <c r="A137" s="2">
        <v>6575043</v>
      </c>
      <c r="B137" s="2" t="s">
        <v>9</v>
      </c>
      <c r="C137" s="2" t="s">
        <v>613</v>
      </c>
      <c r="D137" s="25">
        <v>46022</v>
      </c>
      <c r="E137" s="25">
        <v>46022</v>
      </c>
      <c r="F137" s="2" t="s">
        <v>243</v>
      </c>
      <c r="G137" s="2" t="s">
        <v>141</v>
      </c>
      <c r="H137" s="2">
        <v>59997</v>
      </c>
      <c r="I137" s="2" t="s">
        <v>13</v>
      </c>
      <c r="J137" s="51"/>
    </row>
    <row r="138" spans="1:10" x14ac:dyDescent="0.2">
      <c r="A138" s="2">
        <v>6575044</v>
      </c>
      <c r="B138" s="2" t="s">
        <v>9</v>
      </c>
      <c r="C138" s="2" t="s">
        <v>613</v>
      </c>
      <c r="D138" s="25">
        <v>46022</v>
      </c>
      <c r="E138" s="25">
        <v>46022</v>
      </c>
      <c r="F138" s="2" t="s">
        <v>245</v>
      </c>
      <c r="G138" s="2" t="s">
        <v>157</v>
      </c>
      <c r="H138" s="2">
        <v>104627</v>
      </c>
      <c r="I138" s="2" t="s">
        <v>13</v>
      </c>
      <c r="J138" s="51"/>
    </row>
    <row r="139" spans="1:10" x14ac:dyDescent="0.2">
      <c r="A139" s="2">
        <v>6575045</v>
      </c>
      <c r="B139" s="2" t="s">
        <v>9</v>
      </c>
      <c r="C139" s="2" t="s">
        <v>613</v>
      </c>
      <c r="D139" s="25">
        <v>46022</v>
      </c>
      <c r="E139" s="25">
        <v>46022</v>
      </c>
      <c r="F139" s="2" t="s">
        <v>599</v>
      </c>
      <c r="G139" s="2" t="s">
        <v>600</v>
      </c>
      <c r="H139" s="2">
        <v>558802</v>
      </c>
      <c r="I139" s="2" t="s">
        <v>13</v>
      </c>
      <c r="J139" s="51"/>
    </row>
    <row r="140" spans="1:10" x14ac:dyDescent="0.2">
      <c r="A140" s="2">
        <v>6575046</v>
      </c>
      <c r="B140" s="2" t="s">
        <v>9</v>
      </c>
      <c r="C140" s="2" t="s">
        <v>613</v>
      </c>
      <c r="D140" s="25">
        <v>46022</v>
      </c>
      <c r="E140" s="25">
        <v>46022</v>
      </c>
      <c r="F140" s="2" t="s">
        <v>246</v>
      </c>
      <c r="G140" s="2" t="s">
        <v>81</v>
      </c>
      <c r="H140" s="2">
        <v>0</v>
      </c>
      <c r="I140" s="2" t="s">
        <v>13</v>
      </c>
      <c r="J140" s="51"/>
    </row>
    <row r="141" spans="1:10" x14ac:dyDescent="0.2">
      <c r="A141" s="2">
        <v>6575047</v>
      </c>
      <c r="B141" s="2" t="s">
        <v>9</v>
      </c>
      <c r="C141" s="2" t="s">
        <v>613</v>
      </c>
      <c r="D141" s="25">
        <v>46022</v>
      </c>
      <c r="E141" s="25">
        <v>46022</v>
      </c>
      <c r="F141" s="2" t="s">
        <v>247</v>
      </c>
      <c r="G141" s="2" t="s">
        <v>83</v>
      </c>
      <c r="H141" s="2">
        <v>0</v>
      </c>
      <c r="I141" s="2" t="s">
        <v>13</v>
      </c>
      <c r="J141" s="51"/>
    </row>
    <row r="142" spans="1:10" x14ac:dyDescent="0.2">
      <c r="A142" s="2">
        <v>6575048</v>
      </c>
      <c r="B142" s="2" t="s">
        <v>9</v>
      </c>
      <c r="C142" s="2" t="s">
        <v>613</v>
      </c>
      <c r="D142" s="25">
        <v>46022</v>
      </c>
      <c r="E142" s="25">
        <v>46022</v>
      </c>
      <c r="F142" s="2" t="s">
        <v>248</v>
      </c>
      <c r="G142" s="2" t="s">
        <v>199</v>
      </c>
      <c r="H142" s="2">
        <v>1252306</v>
      </c>
      <c r="I142" s="2" t="s">
        <v>13</v>
      </c>
      <c r="J142" s="51"/>
    </row>
    <row r="143" spans="1:10" x14ac:dyDescent="0.2">
      <c r="A143" s="2">
        <v>6575049</v>
      </c>
      <c r="B143" s="2" t="s">
        <v>9</v>
      </c>
      <c r="C143" s="2" t="s">
        <v>613</v>
      </c>
      <c r="D143" s="25">
        <v>46022</v>
      </c>
      <c r="E143" s="25">
        <v>46022</v>
      </c>
      <c r="F143" s="2" t="s">
        <v>249</v>
      </c>
      <c r="G143" s="2" t="s">
        <v>201</v>
      </c>
      <c r="H143" s="2">
        <v>890181</v>
      </c>
      <c r="I143" s="2" t="s">
        <v>13</v>
      </c>
      <c r="J143" s="51"/>
    </row>
    <row r="144" spans="1:10" x14ac:dyDescent="0.2">
      <c r="A144" s="2">
        <v>6575050</v>
      </c>
      <c r="B144" s="2" t="s">
        <v>9</v>
      </c>
      <c r="C144" s="2" t="s">
        <v>613</v>
      </c>
      <c r="D144" s="25">
        <v>46022</v>
      </c>
      <c r="E144" s="25">
        <v>46022</v>
      </c>
      <c r="F144" s="2" t="s">
        <v>250</v>
      </c>
      <c r="G144" s="2" t="s">
        <v>203</v>
      </c>
      <c r="H144" s="2">
        <v>0</v>
      </c>
      <c r="I144" s="2" t="s">
        <v>13</v>
      </c>
      <c r="J144" s="51"/>
    </row>
    <row r="145" spans="1:10" x14ac:dyDescent="0.2">
      <c r="A145" s="2">
        <v>6575051</v>
      </c>
      <c r="B145" s="2" t="s">
        <v>9</v>
      </c>
      <c r="C145" s="2" t="s">
        <v>613</v>
      </c>
      <c r="D145" s="25">
        <v>46022</v>
      </c>
      <c r="E145" s="25">
        <v>46022</v>
      </c>
      <c r="F145" s="2" t="s">
        <v>251</v>
      </c>
      <c r="G145" s="2" t="s">
        <v>205</v>
      </c>
      <c r="H145" s="2">
        <v>0</v>
      </c>
      <c r="I145" s="2" t="s">
        <v>13</v>
      </c>
      <c r="J145" s="51"/>
    </row>
    <row r="146" spans="1:10" x14ac:dyDescent="0.2">
      <c r="A146" s="2">
        <v>6575052</v>
      </c>
      <c r="B146" s="2" t="s">
        <v>9</v>
      </c>
      <c r="C146" s="2" t="s">
        <v>613</v>
      </c>
      <c r="D146" s="25">
        <v>46022</v>
      </c>
      <c r="E146" s="25">
        <v>46022</v>
      </c>
      <c r="F146" s="2" t="s">
        <v>252</v>
      </c>
      <c r="G146" s="2" t="s">
        <v>207</v>
      </c>
      <c r="H146" s="2">
        <v>0</v>
      </c>
      <c r="I146" s="2" t="s">
        <v>13</v>
      </c>
      <c r="J146" s="51"/>
    </row>
    <row r="147" spans="1:10" x14ac:dyDescent="0.2">
      <c r="A147" s="2">
        <v>6575053</v>
      </c>
      <c r="B147" s="2" t="s">
        <v>9</v>
      </c>
      <c r="C147" s="2" t="s">
        <v>613</v>
      </c>
      <c r="D147" s="25">
        <v>46022</v>
      </c>
      <c r="E147" s="25">
        <v>46022</v>
      </c>
      <c r="F147" s="2" t="s">
        <v>253</v>
      </c>
      <c r="G147" s="2" t="s">
        <v>209</v>
      </c>
      <c r="H147" s="2">
        <v>0</v>
      </c>
      <c r="I147" s="2" t="s">
        <v>13</v>
      </c>
      <c r="J147" s="51"/>
    </row>
    <row r="148" spans="1:10" x14ac:dyDescent="0.2">
      <c r="A148" s="2">
        <v>6575054</v>
      </c>
      <c r="B148" s="2" t="s">
        <v>9</v>
      </c>
      <c r="C148" s="2" t="s">
        <v>613</v>
      </c>
      <c r="D148" s="25">
        <v>46022</v>
      </c>
      <c r="E148" s="25">
        <v>46022</v>
      </c>
      <c r="F148" s="2" t="s">
        <v>254</v>
      </c>
      <c r="G148" s="2" t="s">
        <v>211</v>
      </c>
      <c r="H148" s="2">
        <v>362125</v>
      </c>
      <c r="I148" s="2" t="s">
        <v>13</v>
      </c>
      <c r="J148" s="51"/>
    </row>
    <row r="149" spans="1:10" x14ac:dyDescent="0.2">
      <c r="A149" s="2">
        <v>6575055</v>
      </c>
      <c r="B149" s="2" t="s">
        <v>9</v>
      </c>
      <c r="C149" s="2" t="s">
        <v>613</v>
      </c>
      <c r="D149" s="25">
        <v>46022</v>
      </c>
      <c r="E149" s="25">
        <v>46022</v>
      </c>
      <c r="F149" s="2" t="s">
        <v>255</v>
      </c>
      <c r="G149" s="2" t="s">
        <v>213</v>
      </c>
      <c r="H149" s="2">
        <v>0</v>
      </c>
      <c r="I149" s="2" t="s">
        <v>13</v>
      </c>
      <c r="J149" s="51"/>
    </row>
    <row r="150" spans="1:10" x14ac:dyDescent="0.2">
      <c r="A150" s="2">
        <v>6575056</v>
      </c>
      <c r="B150" s="2" t="s">
        <v>9</v>
      </c>
      <c r="C150" s="2" t="s">
        <v>613</v>
      </c>
      <c r="D150" s="25">
        <v>46022</v>
      </c>
      <c r="E150" s="25">
        <v>46022</v>
      </c>
      <c r="F150" s="2" t="s">
        <v>256</v>
      </c>
      <c r="G150" s="2" t="s">
        <v>215</v>
      </c>
      <c r="H150" s="2">
        <v>0</v>
      </c>
      <c r="I150" s="2" t="s">
        <v>13</v>
      </c>
      <c r="J150" s="51"/>
    </row>
    <row r="151" spans="1:10" x14ac:dyDescent="0.2">
      <c r="A151" s="2">
        <v>6575057</v>
      </c>
      <c r="B151" s="2" t="s">
        <v>9</v>
      </c>
      <c r="C151" s="2" t="s">
        <v>613</v>
      </c>
      <c r="D151" s="25">
        <v>46022</v>
      </c>
      <c r="E151" s="25">
        <v>46022</v>
      </c>
      <c r="F151" s="2" t="s">
        <v>257</v>
      </c>
      <c r="G151" s="2" t="s">
        <v>217</v>
      </c>
      <c r="H151" s="2">
        <v>0</v>
      </c>
      <c r="I151" s="2" t="s">
        <v>13</v>
      </c>
      <c r="J151" s="51"/>
    </row>
    <row r="152" spans="1:10" x14ac:dyDescent="0.2">
      <c r="A152" s="2">
        <v>6575058</v>
      </c>
      <c r="B152" s="2" t="s">
        <v>9</v>
      </c>
      <c r="C152" s="2" t="s">
        <v>613</v>
      </c>
      <c r="D152" s="25">
        <v>46022</v>
      </c>
      <c r="E152" s="25">
        <v>46022</v>
      </c>
      <c r="F152" s="2" t="s">
        <v>258</v>
      </c>
      <c r="G152" s="2" t="s">
        <v>211</v>
      </c>
      <c r="H152" s="2">
        <v>282683</v>
      </c>
      <c r="I152" s="2" t="s">
        <v>13</v>
      </c>
      <c r="J152" s="51"/>
    </row>
    <row r="153" spans="1:10" x14ac:dyDescent="0.2">
      <c r="A153" s="2">
        <v>6575059</v>
      </c>
      <c r="B153" s="2" t="s">
        <v>9</v>
      </c>
      <c r="C153" s="2" t="s">
        <v>613</v>
      </c>
      <c r="D153" s="25">
        <v>46022</v>
      </c>
      <c r="E153" s="25">
        <v>46022</v>
      </c>
      <c r="F153" s="2" t="s">
        <v>259</v>
      </c>
      <c r="G153" s="2" t="s">
        <v>193</v>
      </c>
      <c r="H153" s="2">
        <v>79442</v>
      </c>
      <c r="I153" s="2" t="s">
        <v>13</v>
      </c>
      <c r="J153" s="51"/>
    </row>
    <row r="154" spans="1:10" x14ac:dyDescent="0.2">
      <c r="A154" s="2">
        <v>6575060</v>
      </c>
      <c r="B154" s="2" t="s">
        <v>9</v>
      </c>
      <c r="C154" s="2" t="s">
        <v>613</v>
      </c>
      <c r="D154" s="25">
        <v>46022</v>
      </c>
      <c r="E154" s="25">
        <v>46022</v>
      </c>
      <c r="F154" s="2" t="s">
        <v>260</v>
      </c>
      <c r="G154" s="2" t="s">
        <v>219</v>
      </c>
      <c r="H154" s="2">
        <v>0</v>
      </c>
      <c r="I154" s="2" t="s">
        <v>13</v>
      </c>
      <c r="J154" s="51"/>
    </row>
    <row r="155" spans="1:10" x14ac:dyDescent="0.2">
      <c r="A155" s="2">
        <v>6575061</v>
      </c>
      <c r="B155" s="2" t="s">
        <v>9</v>
      </c>
      <c r="C155" s="2" t="s">
        <v>613</v>
      </c>
      <c r="D155" s="25">
        <v>46022</v>
      </c>
      <c r="E155" s="25">
        <v>46022</v>
      </c>
      <c r="F155" s="2" t="s">
        <v>261</v>
      </c>
      <c r="G155" s="2" t="s">
        <v>221</v>
      </c>
      <c r="H155" s="2">
        <v>0</v>
      </c>
      <c r="I155" s="2" t="s">
        <v>13</v>
      </c>
      <c r="J155" s="51"/>
    </row>
    <row r="156" spans="1:10" x14ac:dyDescent="0.2">
      <c r="A156" s="2">
        <v>6575062</v>
      </c>
      <c r="B156" s="2" t="s">
        <v>9</v>
      </c>
      <c r="C156" s="2" t="s">
        <v>613</v>
      </c>
      <c r="D156" s="25">
        <v>46022</v>
      </c>
      <c r="E156" s="25">
        <v>46022</v>
      </c>
      <c r="F156" s="2" t="s">
        <v>262</v>
      </c>
      <c r="G156" s="2" t="s">
        <v>223</v>
      </c>
      <c r="H156" s="2">
        <v>0</v>
      </c>
      <c r="I156" s="2" t="s">
        <v>13</v>
      </c>
      <c r="J156" s="51"/>
    </row>
    <row r="157" spans="1:10" x14ac:dyDescent="0.2">
      <c r="A157" s="2">
        <v>6575063</v>
      </c>
      <c r="B157" s="2" t="s">
        <v>9</v>
      </c>
      <c r="C157" s="2" t="s">
        <v>613</v>
      </c>
      <c r="D157" s="25">
        <v>46022</v>
      </c>
      <c r="E157" s="25">
        <v>46022</v>
      </c>
      <c r="F157" s="2" t="s">
        <v>263</v>
      </c>
      <c r="G157" s="2" t="s">
        <v>264</v>
      </c>
      <c r="H157" s="2">
        <v>0</v>
      </c>
      <c r="I157" s="2" t="s">
        <v>13</v>
      </c>
      <c r="J157" s="51"/>
    </row>
    <row r="158" spans="1:10" x14ac:dyDescent="0.2">
      <c r="A158" s="2">
        <v>6575064</v>
      </c>
      <c r="B158" s="2" t="s">
        <v>9</v>
      </c>
      <c r="C158" s="2" t="s">
        <v>613</v>
      </c>
      <c r="D158" s="25">
        <v>46022</v>
      </c>
      <c r="E158" s="25">
        <v>46022</v>
      </c>
      <c r="F158" s="2" t="s">
        <v>265</v>
      </c>
      <c r="G158" s="2" t="s">
        <v>266</v>
      </c>
      <c r="H158" s="2">
        <v>0</v>
      </c>
      <c r="I158" s="2" t="s">
        <v>13</v>
      </c>
      <c r="J158" s="51"/>
    </row>
    <row r="159" spans="1:10" x14ac:dyDescent="0.2">
      <c r="A159" s="2">
        <v>6575065</v>
      </c>
      <c r="B159" s="2" t="s">
        <v>9</v>
      </c>
      <c r="C159" s="2" t="s">
        <v>613</v>
      </c>
      <c r="D159" s="25">
        <v>46022</v>
      </c>
      <c r="E159" s="25">
        <v>46022</v>
      </c>
      <c r="F159" s="2" t="s">
        <v>267</v>
      </c>
      <c r="G159" s="2" t="s">
        <v>268</v>
      </c>
      <c r="H159" s="2">
        <v>0</v>
      </c>
      <c r="I159" s="2" t="s">
        <v>13</v>
      </c>
      <c r="J159" s="51"/>
    </row>
    <row r="160" spans="1:10" x14ac:dyDescent="0.2">
      <c r="A160" s="2">
        <v>6575066</v>
      </c>
      <c r="B160" s="2" t="s">
        <v>9</v>
      </c>
      <c r="C160" s="2" t="s">
        <v>613</v>
      </c>
      <c r="D160" s="25">
        <v>46022</v>
      </c>
      <c r="E160" s="25">
        <v>46022</v>
      </c>
      <c r="F160" s="2" t="s">
        <v>269</v>
      </c>
      <c r="G160" s="2" t="s">
        <v>270</v>
      </c>
      <c r="H160" s="2">
        <v>0</v>
      </c>
      <c r="I160" s="2" t="s">
        <v>13</v>
      </c>
      <c r="J160" s="51"/>
    </row>
    <row r="161" spans="1:10" x14ac:dyDescent="0.2">
      <c r="A161" s="2">
        <v>6575067</v>
      </c>
      <c r="B161" s="2" t="s">
        <v>9</v>
      </c>
      <c r="C161" s="2" t="s">
        <v>613</v>
      </c>
      <c r="D161" s="25">
        <v>46022</v>
      </c>
      <c r="E161" s="25">
        <v>46022</v>
      </c>
      <c r="F161" s="2" t="s">
        <v>271</v>
      </c>
      <c r="G161" s="36" t="s">
        <v>272</v>
      </c>
      <c r="H161" s="2">
        <v>12976710</v>
      </c>
      <c r="I161" s="2" t="s">
        <v>13</v>
      </c>
      <c r="J161" s="51"/>
    </row>
    <row r="162" spans="1:10" x14ac:dyDescent="0.2">
      <c r="A162" s="2">
        <v>6575068</v>
      </c>
      <c r="B162" s="2" t="s">
        <v>9</v>
      </c>
      <c r="C162" s="2" t="s">
        <v>613</v>
      </c>
      <c r="D162" s="25">
        <v>46022</v>
      </c>
      <c r="E162" s="25">
        <v>46022</v>
      </c>
      <c r="F162" s="2" t="s">
        <v>273</v>
      </c>
      <c r="G162" s="2" t="s">
        <v>274</v>
      </c>
      <c r="H162" s="2">
        <v>6000000</v>
      </c>
      <c r="I162" s="2" t="s">
        <v>13</v>
      </c>
      <c r="J162" s="51"/>
    </row>
    <row r="163" spans="1:10" x14ac:dyDescent="0.2">
      <c r="A163" s="2">
        <v>6575069</v>
      </c>
      <c r="B163" s="2" t="s">
        <v>9</v>
      </c>
      <c r="C163" s="2" t="s">
        <v>613</v>
      </c>
      <c r="D163" s="25">
        <v>46022</v>
      </c>
      <c r="E163" s="25">
        <v>46022</v>
      </c>
      <c r="F163" s="2" t="s">
        <v>275</v>
      </c>
      <c r="G163" s="2" t="s">
        <v>276</v>
      </c>
      <c r="H163" s="2">
        <v>2183525</v>
      </c>
      <c r="I163" s="2" t="s">
        <v>13</v>
      </c>
      <c r="J163" s="51"/>
    </row>
    <row r="164" spans="1:10" x14ac:dyDescent="0.2">
      <c r="A164" s="2">
        <v>6575070</v>
      </c>
      <c r="B164" s="2" t="s">
        <v>9</v>
      </c>
      <c r="C164" s="2" t="s">
        <v>613</v>
      </c>
      <c r="D164" s="25">
        <v>46022</v>
      </c>
      <c r="E164" s="25">
        <v>46022</v>
      </c>
      <c r="F164" s="2" t="s">
        <v>277</v>
      </c>
      <c r="G164" s="2" t="s">
        <v>278</v>
      </c>
      <c r="H164" s="2">
        <v>0</v>
      </c>
      <c r="I164" s="2" t="s">
        <v>13</v>
      </c>
      <c r="J164" s="51"/>
    </row>
    <row r="165" spans="1:10" x14ac:dyDescent="0.2">
      <c r="A165" s="2">
        <v>6575071</v>
      </c>
      <c r="B165" s="2" t="s">
        <v>9</v>
      </c>
      <c r="C165" s="2" t="s">
        <v>613</v>
      </c>
      <c r="D165" s="25">
        <v>46022</v>
      </c>
      <c r="E165" s="25">
        <v>46022</v>
      </c>
      <c r="F165" s="2" t="s">
        <v>279</v>
      </c>
      <c r="G165" s="2" t="s">
        <v>280</v>
      </c>
      <c r="H165" s="2">
        <v>0</v>
      </c>
      <c r="I165" s="2" t="s">
        <v>13</v>
      </c>
      <c r="J165" s="51"/>
    </row>
    <row r="166" spans="1:10" x14ac:dyDescent="0.2">
      <c r="A166" s="2">
        <v>6575072</v>
      </c>
      <c r="B166" s="2" t="s">
        <v>9</v>
      </c>
      <c r="C166" s="2" t="s">
        <v>613</v>
      </c>
      <c r="D166" s="25">
        <v>46022</v>
      </c>
      <c r="E166" s="25">
        <v>46022</v>
      </c>
      <c r="F166" s="2" t="s">
        <v>281</v>
      </c>
      <c r="G166" s="2" t="s">
        <v>282</v>
      </c>
      <c r="H166" s="2">
        <v>0</v>
      </c>
      <c r="I166" s="2" t="s">
        <v>13</v>
      </c>
      <c r="J166" s="51"/>
    </row>
    <row r="167" spans="1:10" x14ac:dyDescent="0.2">
      <c r="A167" s="2">
        <v>6575073</v>
      </c>
      <c r="B167" s="2" t="s">
        <v>9</v>
      </c>
      <c r="C167" s="2" t="s">
        <v>613</v>
      </c>
      <c r="D167" s="25">
        <v>46022</v>
      </c>
      <c r="E167" s="25">
        <v>46022</v>
      </c>
      <c r="F167" s="2" t="s">
        <v>283</v>
      </c>
      <c r="G167" s="2" t="s">
        <v>284</v>
      </c>
      <c r="H167" s="2">
        <v>0</v>
      </c>
      <c r="I167" s="2" t="s">
        <v>13</v>
      </c>
      <c r="J167" s="51"/>
    </row>
    <row r="168" spans="1:10" x14ac:dyDescent="0.2">
      <c r="A168" s="2">
        <v>6575074</v>
      </c>
      <c r="B168" s="2" t="s">
        <v>9</v>
      </c>
      <c r="C168" s="2" t="s">
        <v>613</v>
      </c>
      <c r="D168" s="25">
        <v>46022</v>
      </c>
      <c r="E168" s="25">
        <v>46022</v>
      </c>
      <c r="F168" s="2" t="s">
        <v>285</v>
      </c>
      <c r="G168" s="2" t="s">
        <v>286</v>
      </c>
      <c r="H168" s="2">
        <v>0</v>
      </c>
      <c r="I168" s="2" t="s">
        <v>13</v>
      </c>
      <c r="J168" s="51"/>
    </row>
    <row r="169" spans="1:10" x14ac:dyDescent="0.2">
      <c r="A169" s="2">
        <v>6575075</v>
      </c>
      <c r="B169" s="2" t="s">
        <v>9</v>
      </c>
      <c r="C169" s="2" t="s">
        <v>613</v>
      </c>
      <c r="D169" s="25">
        <v>46022</v>
      </c>
      <c r="E169" s="25">
        <v>46022</v>
      </c>
      <c r="F169" s="2" t="s">
        <v>287</v>
      </c>
      <c r="G169" s="2" t="s">
        <v>240</v>
      </c>
      <c r="H169" s="2">
        <v>0</v>
      </c>
      <c r="I169" s="2" t="s">
        <v>13</v>
      </c>
      <c r="J169" s="51"/>
    </row>
    <row r="170" spans="1:10" x14ac:dyDescent="0.2">
      <c r="A170" s="2">
        <v>6575076</v>
      </c>
      <c r="B170" s="2" t="s">
        <v>9</v>
      </c>
      <c r="C170" s="2" t="s">
        <v>613</v>
      </c>
      <c r="D170" s="25">
        <v>46022</v>
      </c>
      <c r="E170" s="25">
        <v>46022</v>
      </c>
      <c r="F170" s="2" t="s">
        <v>288</v>
      </c>
      <c r="G170" s="2" t="s">
        <v>289</v>
      </c>
      <c r="H170" s="2">
        <v>2183525</v>
      </c>
      <c r="I170" s="2" t="s">
        <v>13</v>
      </c>
      <c r="J170" s="51"/>
    </row>
    <row r="171" spans="1:10" x14ac:dyDescent="0.2">
      <c r="A171" s="2">
        <v>6575077</v>
      </c>
      <c r="B171" s="2" t="s">
        <v>9</v>
      </c>
      <c r="C171" s="2" t="s">
        <v>613</v>
      </c>
      <c r="D171" s="25">
        <v>46022</v>
      </c>
      <c r="E171" s="25">
        <v>46022</v>
      </c>
      <c r="F171" s="2" t="s">
        <v>290</v>
      </c>
      <c r="G171" s="2" t="s">
        <v>291</v>
      </c>
      <c r="H171" s="2">
        <v>0</v>
      </c>
      <c r="I171" s="2" t="s">
        <v>13</v>
      </c>
      <c r="J171" s="51"/>
    </row>
    <row r="172" spans="1:10" x14ac:dyDescent="0.2">
      <c r="A172" s="2">
        <v>6575078</v>
      </c>
      <c r="B172" s="2" t="s">
        <v>9</v>
      </c>
      <c r="C172" s="2" t="s">
        <v>613</v>
      </c>
      <c r="D172" s="25">
        <v>46022</v>
      </c>
      <c r="E172" s="25">
        <v>46022</v>
      </c>
      <c r="F172" s="2" t="s">
        <v>292</v>
      </c>
      <c r="G172" s="2" t="s">
        <v>293</v>
      </c>
      <c r="H172" s="2">
        <v>0</v>
      </c>
      <c r="I172" s="2" t="s">
        <v>13</v>
      </c>
      <c r="J172" s="51"/>
    </row>
    <row r="173" spans="1:10" x14ac:dyDescent="0.2">
      <c r="A173" s="2">
        <v>6575079</v>
      </c>
      <c r="B173" s="2" t="s">
        <v>9</v>
      </c>
      <c r="C173" s="2" t="s">
        <v>613</v>
      </c>
      <c r="D173" s="25">
        <v>46022</v>
      </c>
      <c r="E173" s="25">
        <v>46022</v>
      </c>
      <c r="F173" s="2" t="s">
        <v>294</v>
      </c>
      <c r="G173" s="2" t="s">
        <v>295</v>
      </c>
      <c r="H173" s="2">
        <v>3904663</v>
      </c>
      <c r="I173" s="2" t="s">
        <v>13</v>
      </c>
      <c r="J173" s="51"/>
    </row>
    <row r="174" spans="1:10" x14ac:dyDescent="0.2">
      <c r="A174" s="2">
        <v>6575080</v>
      </c>
      <c r="B174" s="2" t="s">
        <v>9</v>
      </c>
      <c r="C174" s="2" t="s">
        <v>613</v>
      </c>
      <c r="D174" s="25">
        <v>46022</v>
      </c>
      <c r="E174" s="25">
        <v>46022</v>
      </c>
      <c r="F174" s="2" t="s">
        <v>296</v>
      </c>
      <c r="G174" s="2" t="s">
        <v>297</v>
      </c>
      <c r="H174" s="2">
        <v>0</v>
      </c>
      <c r="I174" s="2" t="s">
        <v>13</v>
      </c>
      <c r="J174" s="51"/>
    </row>
    <row r="175" spans="1:10" x14ac:dyDescent="0.2">
      <c r="A175" s="2">
        <v>6575081</v>
      </c>
      <c r="B175" s="2" t="s">
        <v>9</v>
      </c>
      <c r="C175" s="2" t="s">
        <v>613</v>
      </c>
      <c r="D175" s="25">
        <v>46022</v>
      </c>
      <c r="E175" s="25">
        <v>46022</v>
      </c>
      <c r="F175" s="2" t="s">
        <v>298</v>
      </c>
      <c r="G175" s="2" t="s">
        <v>299</v>
      </c>
      <c r="H175" s="2">
        <v>0</v>
      </c>
      <c r="I175" s="2" t="s">
        <v>13</v>
      </c>
      <c r="J175" s="51"/>
    </row>
    <row r="176" spans="1:10" x14ac:dyDescent="0.2">
      <c r="A176" s="2">
        <v>6575082</v>
      </c>
      <c r="B176" s="2" t="s">
        <v>9</v>
      </c>
      <c r="C176" s="2" t="s">
        <v>613</v>
      </c>
      <c r="D176" s="25">
        <v>46022</v>
      </c>
      <c r="E176" s="25">
        <v>46022</v>
      </c>
      <c r="F176" s="2" t="s">
        <v>300</v>
      </c>
      <c r="G176" s="2" t="s">
        <v>301</v>
      </c>
      <c r="H176" s="2">
        <v>0</v>
      </c>
      <c r="I176" s="2" t="s">
        <v>13</v>
      </c>
      <c r="J176" s="51"/>
    </row>
    <row r="177" spans="1:10" x14ac:dyDescent="0.2">
      <c r="A177" s="2">
        <v>6575083</v>
      </c>
      <c r="B177" s="2" t="s">
        <v>9</v>
      </c>
      <c r="C177" s="2" t="s">
        <v>613</v>
      </c>
      <c r="D177" s="25">
        <v>46022</v>
      </c>
      <c r="E177" s="25">
        <v>46022</v>
      </c>
      <c r="F177" s="2" t="s">
        <v>302</v>
      </c>
      <c r="G177" s="2" t="s">
        <v>303</v>
      </c>
      <c r="H177" s="2">
        <v>0</v>
      </c>
      <c r="I177" s="2" t="s">
        <v>13</v>
      </c>
      <c r="J177" s="51"/>
    </row>
    <row r="178" spans="1:10" x14ac:dyDescent="0.2">
      <c r="A178" s="2">
        <v>6575084</v>
      </c>
      <c r="B178" s="2" t="s">
        <v>9</v>
      </c>
      <c r="C178" s="2" t="s">
        <v>613</v>
      </c>
      <c r="D178" s="25">
        <v>46022</v>
      </c>
      <c r="E178" s="25">
        <v>46022</v>
      </c>
      <c r="F178" s="2" t="s">
        <v>304</v>
      </c>
      <c r="G178" s="2" t="s">
        <v>305</v>
      </c>
      <c r="H178" s="2">
        <v>3910680</v>
      </c>
      <c r="I178" s="2" t="s">
        <v>13</v>
      </c>
      <c r="J178" s="51"/>
    </row>
    <row r="179" spans="1:10" x14ac:dyDescent="0.2">
      <c r="A179" s="2">
        <v>6575085</v>
      </c>
      <c r="B179" s="2" t="s">
        <v>9</v>
      </c>
      <c r="C179" s="2" t="s">
        <v>613</v>
      </c>
      <c r="D179" s="25">
        <v>46022</v>
      </c>
      <c r="E179" s="25">
        <v>46022</v>
      </c>
      <c r="F179" s="2" t="s">
        <v>306</v>
      </c>
      <c r="G179" s="2" t="s">
        <v>307</v>
      </c>
      <c r="H179" s="2">
        <v>0</v>
      </c>
      <c r="I179" s="2" t="s">
        <v>13</v>
      </c>
      <c r="J179" s="51"/>
    </row>
    <row r="180" spans="1:10" x14ac:dyDescent="0.2">
      <c r="A180" s="2">
        <v>6575086</v>
      </c>
      <c r="B180" s="2" t="s">
        <v>9</v>
      </c>
      <c r="C180" s="2" t="s">
        <v>613</v>
      </c>
      <c r="D180" s="25">
        <v>46022</v>
      </c>
      <c r="E180" s="25">
        <v>46022</v>
      </c>
      <c r="F180" s="2" t="s">
        <v>308</v>
      </c>
      <c r="G180" s="2" t="s">
        <v>309</v>
      </c>
      <c r="H180" s="2">
        <v>0</v>
      </c>
      <c r="I180" s="2" t="s">
        <v>13</v>
      </c>
      <c r="J180" s="51"/>
    </row>
    <row r="181" spans="1:10" x14ac:dyDescent="0.2">
      <c r="A181" s="2">
        <v>6575087</v>
      </c>
      <c r="B181" s="2" t="s">
        <v>9</v>
      </c>
      <c r="C181" s="2" t="s">
        <v>613</v>
      </c>
      <c r="D181" s="25">
        <v>46022</v>
      </c>
      <c r="E181" s="25">
        <v>46022</v>
      </c>
      <c r="F181" s="2" t="s">
        <v>310</v>
      </c>
      <c r="G181" s="2" t="s">
        <v>311</v>
      </c>
      <c r="H181" s="2">
        <v>0</v>
      </c>
      <c r="I181" s="2" t="s">
        <v>13</v>
      </c>
      <c r="J181" s="51"/>
    </row>
    <row r="182" spans="1:10" x14ac:dyDescent="0.2">
      <c r="A182" s="2">
        <v>6575088</v>
      </c>
      <c r="B182" s="2" t="s">
        <v>9</v>
      </c>
      <c r="C182" s="2" t="s">
        <v>613</v>
      </c>
      <c r="D182" s="25">
        <v>46022</v>
      </c>
      <c r="E182" s="25">
        <v>46022</v>
      </c>
      <c r="F182" s="2" t="s">
        <v>312</v>
      </c>
      <c r="G182" s="2" t="s">
        <v>286</v>
      </c>
      <c r="H182" s="2">
        <v>-6017</v>
      </c>
      <c r="I182" s="2" t="s">
        <v>13</v>
      </c>
      <c r="J182" s="51"/>
    </row>
    <row r="183" spans="1:10" x14ac:dyDescent="0.2">
      <c r="A183" s="2">
        <v>6575089</v>
      </c>
      <c r="B183" s="2" t="s">
        <v>9</v>
      </c>
      <c r="C183" s="2" t="s">
        <v>613</v>
      </c>
      <c r="D183" s="25">
        <v>46022</v>
      </c>
      <c r="E183" s="25">
        <v>46022</v>
      </c>
      <c r="F183" s="2" t="s">
        <v>313</v>
      </c>
      <c r="G183" s="2" t="s">
        <v>291</v>
      </c>
      <c r="H183" s="2">
        <v>0</v>
      </c>
      <c r="I183" s="2" t="s">
        <v>13</v>
      </c>
      <c r="J183" s="51"/>
    </row>
    <row r="184" spans="1:10" x14ac:dyDescent="0.2">
      <c r="A184" s="2">
        <v>6575090</v>
      </c>
      <c r="B184" s="2" t="s">
        <v>9</v>
      </c>
      <c r="C184" s="2" t="s">
        <v>613</v>
      </c>
      <c r="D184" s="25">
        <v>46022</v>
      </c>
      <c r="E184" s="25">
        <v>46022</v>
      </c>
      <c r="F184" s="2" t="s">
        <v>315</v>
      </c>
      <c r="G184" s="2" t="s">
        <v>316</v>
      </c>
      <c r="H184" s="2">
        <v>0</v>
      </c>
      <c r="I184" s="2" t="s">
        <v>13</v>
      </c>
      <c r="J184" s="51"/>
    </row>
    <row r="185" spans="1:10" x14ac:dyDescent="0.2">
      <c r="A185" s="2">
        <v>6575091</v>
      </c>
      <c r="B185" s="2" t="s">
        <v>9</v>
      </c>
      <c r="C185" s="2" t="s">
        <v>613</v>
      </c>
      <c r="D185" s="25">
        <v>46022</v>
      </c>
      <c r="E185" s="25">
        <v>46022</v>
      </c>
      <c r="F185" s="2" t="s">
        <v>317</v>
      </c>
      <c r="G185" s="2" t="s">
        <v>318</v>
      </c>
      <c r="H185" s="2">
        <v>888522</v>
      </c>
      <c r="I185" s="2" t="s">
        <v>13</v>
      </c>
      <c r="J185" s="51"/>
    </row>
    <row r="186" spans="1:10" x14ac:dyDescent="0.2">
      <c r="A186" s="2">
        <v>6575092</v>
      </c>
      <c r="B186" s="2" t="s">
        <v>9</v>
      </c>
      <c r="C186" s="2" t="s">
        <v>613</v>
      </c>
      <c r="D186" s="25">
        <v>46022</v>
      </c>
      <c r="E186" s="25">
        <v>46022</v>
      </c>
      <c r="F186" s="2" t="s">
        <v>319</v>
      </c>
      <c r="G186" s="2" t="s">
        <v>320</v>
      </c>
      <c r="H186" s="2">
        <v>0</v>
      </c>
      <c r="I186" s="2" t="s">
        <v>13</v>
      </c>
      <c r="J186" s="51"/>
    </row>
    <row r="187" spans="1:10" x14ac:dyDescent="0.2">
      <c r="A187" s="2">
        <v>6575093</v>
      </c>
      <c r="B187" s="2" t="s">
        <v>9</v>
      </c>
      <c r="C187" s="2" t="s">
        <v>613</v>
      </c>
      <c r="D187" s="25">
        <v>46022</v>
      </c>
      <c r="E187" s="25">
        <v>46022</v>
      </c>
      <c r="F187" s="2" t="s">
        <v>321</v>
      </c>
      <c r="G187" s="2" t="s">
        <v>322</v>
      </c>
      <c r="H187" s="2">
        <v>0</v>
      </c>
      <c r="I187" s="2" t="s">
        <v>13</v>
      </c>
      <c r="J187" s="51"/>
    </row>
    <row r="188" spans="1:10" x14ac:dyDescent="0.2">
      <c r="A188" s="2">
        <v>6575094</v>
      </c>
      <c r="B188" s="2" t="s">
        <v>9</v>
      </c>
      <c r="C188" s="2" t="s">
        <v>613</v>
      </c>
      <c r="D188" s="25">
        <v>46022</v>
      </c>
      <c r="E188" s="25">
        <v>46022</v>
      </c>
      <c r="F188" s="2" t="s">
        <v>323</v>
      </c>
      <c r="G188" s="2" t="s">
        <v>324</v>
      </c>
      <c r="H188" s="2">
        <v>0</v>
      </c>
      <c r="I188" s="2" t="s">
        <v>13</v>
      </c>
      <c r="J188" s="51" t="s">
        <v>755</v>
      </c>
    </row>
    <row r="189" spans="1:10" s="48" customFormat="1" ht="17" customHeight="1" x14ac:dyDescent="0.2">
      <c r="A189" s="48">
        <v>6575095</v>
      </c>
      <c r="B189" s="48" t="s">
        <v>9</v>
      </c>
      <c r="C189" s="48" t="s">
        <v>613</v>
      </c>
      <c r="D189" s="49">
        <v>45658</v>
      </c>
      <c r="E189" s="49">
        <v>46022</v>
      </c>
      <c r="F189" s="48" t="s">
        <v>325</v>
      </c>
      <c r="G189" s="50" t="s">
        <v>326</v>
      </c>
      <c r="H189" s="48">
        <v>21823488</v>
      </c>
      <c r="I189" s="48" t="s">
        <v>13</v>
      </c>
      <c r="J189" s="52"/>
    </row>
    <row r="190" spans="1:10" s="48" customFormat="1" x14ac:dyDescent="0.2">
      <c r="A190" s="48">
        <v>6575096</v>
      </c>
      <c r="B190" s="48" t="s">
        <v>9</v>
      </c>
      <c r="C190" s="48" t="s">
        <v>613</v>
      </c>
      <c r="D190" s="49">
        <v>45658</v>
      </c>
      <c r="E190" s="49">
        <v>46022</v>
      </c>
      <c r="F190" s="48" t="s">
        <v>327</v>
      </c>
      <c r="G190" s="48" t="s">
        <v>328</v>
      </c>
      <c r="H190" s="48">
        <v>-7287168</v>
      </c>
      <c r="I190" s="48" t="s">
        <v>13</v>
      </c>
      <c r="J190" s="52" t="s">
        <v>757</v>
      </c>
    </row>
    <row r="191" spans="1:10" s="48" customFormat="1" x14ac:dyDescent="0.2">
      <c r="A191" s="48">
        <v>6575097</v>
      </c>
      <c r="B191" s="48" t="s">
        <v>9</v>
      </c>
      <c r="C191" s="48" t="s">
        <v>613</v>
      </c>
      <c r="D191" s="49">
        <v>45658</v>
      </c>
      <c r="E191" s="49">
        <v>46022</v>
      </c>
      <c r="F191" s="48" t="s">
        <v>329</v>
      </c>
      <c r="G191" s="50" t="s">
        <v>330</v>
      </c>
      <c r="H191" s="48">
        <v>14536320</v>
      </c>
      <c r="I191" s="48" t="s">
        <v>13</v>
      </c>
      <c r="J191" s="52"/>
    </row>
    <row r="192" spans="1:10" s="48" customFormat="1" x14ac:dyDescent="0.2">
      <c r="A192" s="48">
        <v>6575098</v>
      </c>
      <c r="B192" s="48" t="s">
        <v>9</v>
      </c>
      <c r="C192" s="48" t="s">
        <v>613</v>
      </c>
      <c r="D192" s="49">
        <v>45658</v>
      </c>
      <c r="E192" s="49">
        <v>46022</v>
      </c>
      <c r="F192" s="48" t="s">
        <v>331</v>
      </c>
      <c r="G192" s="48" t="s">
        <v>332</v>
      </c>
      <c r="H192" s="48">
        <v>-13120352</v>
      </c>
      <c r="I192" s="48" t="s">
        <v>13</v>
      </c>
      <c r="J192" s="52"/>
    </row>
    <row r="193" spans="1:10" s="48" customFormat="1" x14ac:dyDescent="0.2">
      <c r="A193" s="48">
        <v>6575099</v>
      </c>
      <c r="B193" s="48" t="s">
        <v>9</v>
      </c>
      <c r="C193" s="48" t="s">
        <v>613</v>
      </c>
      <c r="D193" s="49">
        <v>45658</v>
      </c>
      <c r="E193" s="49">
        <v>46022</v>
      </c>
      <c r="F193" s="48" t="s">
        <v>333</v>
      </c>
      <c r="G193" s="48" t="s">
        <v>334</v>
      </c>
      <c r="H193" s="48">
        <v>-8612735</v>
      </c>
      <c r="I193" s="48" t="s">
        <v>13</v>
      </c>
      <c r="J193" s="52" t="s">
        <v>758</v>
      </c>
    </row>
    <row r="194" spans="1:10" s="48" customFormat="1" x14ac:dyDescent="0.2">
      <c r="A194" s="48">
        <v>6575100</v>
      </c>
      <c r="B194" s="48" t="s">
        <v>9</v>
      </c>
      <c r="C194" s="48" t="s">
        <v>613</v>
      </c>
      <c r="D194" s="49">
        <v>45658</v>
      </c>
      <c r="E194" s="49">
        <v>46022</v>
      </c>
      <c r="F194" s="48" t="s">
        <v>335</v>
      </c>
      <c r="G194" s="48" t="s">
        <v>336</v>
      </c>
      <c r="H194" s="48">
        <v>-3096489</v>
      </c>
      <c r="I194" s="48" t="s">
        <v>13</v>
      </c>
      <c r="J194" s="52"/>
    </row>
    <row r="195" spans="1:10" s="48" customFormat="1" x14ac:dyDescent="0.2">
      <c r="A195" s="48">
        <v>6575101</v>
      </c>
      <c r="B195" s="48" t="s">
        <v>9</v>
      </c>
      <c r="C195" s="48" t="s">
        <v>613</v>
      </c>
      <c r="D195" s="49">
        <v>45658</v>
      </c>
      <c r="E195" s="49">
        <v>46022</v>
      </c>
      <c r="F195" s="48" t="s">
        <v>342</v>
      </c>
      <c r="G195" s="48" t="s">
        <v>343</v>
      </c>
      <c r="H195" s="48">
        <v>-544698</v>
      </c>
      <c r="I195" s="48" t="s">
        <v>13</v>
      </c>
      <c r="J195" s="52"/>
    </row>
    <row r="196" spans="1:10" s="48" customFormat="1" x14ac:dyDescent="0.2">
      <c r="A196" s="48">
        <v>6575102</v>
      </c>
      <c r="B196" s="48" t="s">
        <v>9</v>
      </c>
      <c r="C196" s="48" t="s">
        <v>613</v>
      </c>
      <c r="D196" s="49">
        <v>45658</v>
      </c>
      <c r="E196" s="49">
        <v>46022</v>
      </c>
      <c r="F196" s="48" t="s">
        <v>344</v>
      </c>
      <c r="G196" s="48" t="s">
        <v>345</v>
      </c>
      <c r="H196" s="48">
        <v>0</v>
      </c>
      <c r="I196" s="48" t="s">
        <v>13</v>
      </c>
      <c r="J196" s="52" t="s">
        <v>759</v>
      </c>
    </row>
    <row r="197" spans="1:10" s="48" customFormat="1" x14ac:dyDescent="0.2">
      <c r="A197" s="48">
        <v>6575103</v>
      </c>
      <c r="B197" s="48" t="s">
        <v>9</v>
      </c>
      <c r="C197" s="48" t="s">
        <v>613</v>
      </c>
      <c r="D197" s="49">
        <v>45658</v>
      </c>
      <c r="E197" s="49">
        <v>46022</v>
      </c>
      <c r="F197" s="48" t="s">
        <v>346</v>
      </c>
      <c r="G197" s="48" t="s">
        <v>347</v>
      </c>
      <c r="H197" s="48">
        <v>-866430</v>
      </c>
      <c r="I197" s="48" t="s">
        <v>13</v>
      </c>
      <c r="J197" s="52">
        <f>H191-(-H192)</f>
        <v>1415968</v>
      </c>
    </row>
    <row r="198" spans="1:10" s="48" customFormat="1" x14ac:dyDescent="0.2">
      <c r="A198" s="48">
        <v>6575104</v>
      </c>
      <c r="B198" s="48" t="s">
        <v>9</v>
      </c>
      <c r="C198" s="48" t="s">
        <v>613</v>
      </c>
      <c r="D198" s="49">
        <v>45658</v>
      </c>
      <c r="E198" s="49">
        <v>46022</v>
      </c>
      <c r="F198" s="48" t="s">
        <v>348</v>
      </c>
      <c r="G198" s="48" t="s">
        <v>349</v>
      </c>
      <c r="H198" s="48">
        <v>0</v>
      </c>
      <c r="I198" s="48" t="s">
        <v>13</v>
      </c>
      <c r="J198" s="52"/>
    </row>
    <row r="199" spans="1:10" s="48" customFormat="1" x14ac:dyDescent="0.2">
      <c r="A199" s="48">
        <v>6575105</v>
      </c>
      <c r="B199" s="48" t="s">
        <v>9</v>
      </c>
      <c r="C199" s="48" t="s">
        <v>613</v>
      </c>
      <c r="D199" s="49">
        <v>45658</v>
      </c>
      <c r="E199" s="49">
        <v>46022</v>
      </c>
      <c r="F199" s="48" t="s">
        <v>350</v>
      </c>
      <c r="G199" s="48" t="s">
        <v>351</v>
      </c>
      <c r="H199" s="48">
        <v>1415968</v>
      </c>
      <c r="I199" s="48" t="s">
        <v>13</v>
      </c>
      <c r="J199" s="52"/>
    </row>
    <row r="200" spans="1:10" s="48" customFormat="1" x14ac:dyDescent="0.2">
      <c r="A200" s="48">
        <v>6575106</v>
      </c>
      <c r="B200" s="48" t="s">
        <v>9</v>
      </c>
      <c r="C200" s="48" t="s">
        <v>613</v>
      </c>
      <c r="D200" s="49">
        <v>45658</v>
      </c>
      <c r="E200" s="49">
        <v>46022</v>
      </c>
      <c r="F200" s="48" t="s">
        <v>352</v>
      </c>
      <c r="G200" s="48" t="s">
        <v>353</v>
      </c>
      <c r="H200" s="48">
        <v>-866918</v>
      </c>
      <c r="I200" s="48" t="s">
        <v>13</v>
      </c>
      <c r="J200" s="4" t="s">
        <v>760</v>
      </c>
    </row>
    <row r="201" spans="1:10" s="48" customFormat="1" x14ac:dyDescent="0.2">
      <c r="A201" s="48">
        <v>6575107</v>
      </c>
      <c r="B201" s="48" t="s">
        <v>9</v>
      </c>
      <c r="C201" s="48" t="s">
        <v>613</v>
      </c>
      <c r="D201" s="49">
        <v>45658</v>
      </c>
      <c r="E201" s="49">
        <v>46022</v>
      </c>
      <c r="F201" s="48" t="s">
        <v>354</v>
      </c>
      <c r="G201" s="48" t="s">
        <v>355</v>
      </c>
      <c r="H201" s="48">
        <v>0</v>
      </c>
      <c r="I201" s="48" t="s">
        <v>13</v>
      </c>
      <c r="J201" s="52">
        <f>J197+H223</f>
        <v>2229900</v>
      </c>
    </row>
    <row r="202" spans="1:10" s="48" customFormat="1" x14ac:dyDescent="0.2">
      <c r="A202" s="48">
        <v>6575108</v>
      </c>
      <c r="B202" s="48" t="s">
        <v>9</v>
      </c>
      <c r="C202" s="48" t="s">
        <v>613</v>
      </c>
      <c r="D202" s="49">
        <v>45658</v>
      </c>
      <c r="E202" s="49">
        <v>46022</v>
      </c>
      <c r="F202" s="48" t="s">
        <v>358</v>
      </c>
      <c r="G202" s="48" t="s">
        <v>359</v>
      </c>
      <c r="H202" s="48">
        <v>-866918</v>
      </c>
      <c r="I202" s="48" t="s">
        <v>13</v>
      </c>
      <c r="J202" s="52"/>
    </row>
    <row r="203" spans="1:10" s="48" customFormat="1" x14ac:dyDescent="0.2">
      <c r="A203" s="48">
        <v>6575109</v>
      </c>
      <c r="B203" s="48" t="s">
        <v>9</v>
      </c>
      <c r="C203" s="48" t="s">
        <v>613</v>
      </c>
      <c r="D203" s="49">
        <v>45658</v>
      </c>
      <c r="E203" s="49">
        <v>46022</v>
      </c>
      <c r="F203" s="48" t="s">
        <v>360</v>
      </c>
      <c r="G203" s="48" t="s">
        <v>601</v>
      </c>
      <c r="H203" s="48">
        <v>-866918</v>
      </c>
      <c r="I203" s="48" t="s">
        <v>13</v>
      </c>
      <c r="J203" s="52"/>
    </row>
    <row r="204" spans="1:10" s="48" customFormat="1" x14ac:dyDescent="0.2">
      <c r="A204" s="48">
        <v>6575110</v>
      </c>
      <c r="B204" s="48" t="s">
        <v>9</v>
      </c>
      <c r="C204" s="48" t="s">
        <v>613</v>
      </c>
      <c r="D204" s="49">
        <v>45658</v>
      </c>
      <c r="E204" s="49">
        <v>46022</v>
      </c>
      <c r="F204" s="48" t="s">
        <v>361</v>
      </c>
      <c r="G204" s="50" t="s">
        <v>362</v>
      </c>
      <c r="H204" s="48">
        <v>549050</v>
      </c>
      <c r="I204" s="48" t="s">
        <v>13</v>
      </c>
      <c r="J204" s="4" t="s">
        <v>761</v>
      </c>
    </row>
    <row r="205" spans="1:10" s="48" customFormat="1" x14ac:dyDescent="0.2">
      <c r="A205" s="48">
        <v>6575111</v>
      </c>
      <c r="B205" s="48" t="s">
        <v>9</v>
      </c>
      <c r="C205" s="48" t="s">
        <v>613</v>
      </c>
      <c r="D205" s="49">
        <v>45658</v>
      </c>
      <c r="E205" s="49">
        <v>46022</v>
      </c>
      <c r="F205" s="48" t="s">
        <v>363</v>
      </c>
      <c r="G205" s="48" t="s">
        <v>364</v>
      </c>
      <c r="H205" s="48">
        <v>-20070</v>
      </c>
      <c r="I205" s="48" t="s">
        <v>13</v>
      </c>
      <c r="J205" s="52">
        <f>J197-H206</f>
        <v>1415968</v>
      </c>
    </row>
    <row r="206" spans="1:10" s="48" customFormat="1" x14ac:dyDescent="0.2">
      <c r="A206" s="48">
        <v>6575112</v>
      </c>
      <c r="B206" s="48" t="s">
        <v>9</v>
      </c>
      <c r="C206" s="48" t="s">
        <v>613</v>
      </c>
      <c r="D206" s="49">
        <v>45658</v>
      </c>
      <c r="E206" s="49">
        <v>46022</v>
      </c>
      <c r="F206" s="48" t="s">
        <v>365</v>
      </c>
      <c r="G206" s="48" t="s">
        <v>366</v>
      </c>
      <c r="H206" s="48">
        <v>0</v>
      </c>
      <c r="I206" s="48" t="s">
        <v>13</v>
      </c>
      <c r="J206" s="52"/>
    </row>
    <row r="207" spans="1:10" s="48" customFormat="1" x14ac:dyDescent="0.2">
      <c r="A207" s="48">
        <v>6575113</v>
      </c>
      <c r="B207" s="48" t="s">
        <v>9</v>
      </c>
      <c r="C207" s="48" t="s">
        <v>613</v>
      </c>
      <c r="D207" s="49">
        <v>45658</v>
      </c>
      <c r="E207" s="49">
        <v>46022</v>
      </c>
      <c r="F207" s="48" t="s">
        <v>367</v>
      </c>
      <c r="G207" s="48" t="s">
        <v>368</v>
      </c>
      <c r="H207" s="48">
        <v>0</v>
      </c>
      <c r="I207" s="48" t="s">
        <v>13</v>
      </c>
      <c r="J207" s="52"/>
    </row>
    <row r="208" spans="1:10" s="48" customFormat="1" x14ac:dyDescent="0.2">
      <c r="A208" s="48">
        <v>6575114</v>
      </c>
      <c r="B208" s="48" t="s">
        <v>9</v>
      </c>
      <c r="C208" s="48" t="s">
        <v>613</v>
      </c>
      <c r="D208" s="49">
        <v>45658</v>
      </c>
      <c r="E208" s="49">
        <v>46022</v>
      </c>
      <c r="F208" s="48" t="s">
        <v>369</v>
      </c>
      <c r="G208" s="50" t="s">
        <v>370</v>
      </c>
      <c r="H208" s="48">
        <v>528980</v>
      </c>
      <c r="I208" s="48" t="s">
        <v>13</v>
      </c>
      <c r="J208" s="4"/>
    </row>
    <row r="209" spans="1:10" s="48" customFormat="1" x14ac:dyDescent="0.2">
      <c r="A209" s="48">
        <v>6575115</v>
      </c>
      <c r="B209" s="48" t="s">
        <v>9</v>
      </c>
      <c r="C209" s="48" t="s">
        <v>613</v>
      </c>
      <c r="D209" s="49">
        <v>45658</v>
      </c>
      <c r="E209" s="49">
        <v>46022</v>
      </c>
      <c r="F209" s="48" t="s">
        <v>371</v>
      </c>
      <c r="G209" s="50" t="s">
        <v>372</v>
      </c>
      <c r="H209" s="48">
        <v>-2314218</v>
      </c>
      <c r="I209" s="48" t="s">
        <v>13</v>
      </c>
      <c r="J209" s="53"/>
    </row>
    <row r="210" spans="1:10" s="48" customFormat="1" x14ac:dyDescent="0.2">
      <c r="A210" s="48">
        <v>6575116</v>
      </c>
      <c r="B210" s="48" t="s">
        <v>9</v>
      </c>
      <c r="C210" s="48" t="s">
        <v>613</v>
      </c>
      <c r="D210" s="49">
        <v>45658</v>
      </c>
      <c r="E210" s="49">
        <v>46022</v>
      </c>
      <c r="F210" s="48" t="s">
        <v>373</v>
      </c>
      <c r="G210" s="48" t="s">
        <v>374</v>
      </c>
      <c r="H210" s="48">
        <v>-2314218</v>
      </c>
      <c r="I210" s="48" t="s">
        <v>13</v>
      </c>
      <c r="J210" s="53"/>
    </row>
    <row r="211" spans="1:10" s="48" customFormat="1" x14ac:dyDescent="0.2">
      <c r="A211" s="48">
        <v>6575117</v>
      </c>
      <c r="B211" s="48" t="s">
        <v>9</v>
      </c>
      <c r="C211" s="48" t="s">
        <v>613</v>
      </c>
      <c r="D211" s="49">
        <v>45658</v>
      </c>
      <c r="E211" s="49">
        <v>46022</v>
      </c>
      <c r="F211" s="48" t="s">
        <v>375</v>
      </c>
      <c r="G211" s="48" t="s">
        <v>376</v>
      </c>
      <c r="H211" s="48">
        <v>0</v>
      </c>
      <c r="I211" s="48" t="s">
        <v>13</v>
      </c>
      <c r="J211" s="53"/>
    </row>
    <row r="212" spans="1:10" s="48" customFormat="1" x14ac:dyDescent="0.2">
      <c r="A212" s="48">
        <v>6575118</v>
      </c>
      <c r="B212" s="48" t="s">
        <v>9</v>
      </c>
      <c r="C212" s="48" t="s">
        <v>613</v>
      </c>
      <c r="D212" s="49">
        <v>45658</v>
      </c>
      <c r="E212" s="49">
        <v>46022</v>
      </c>
      <c r="F212" s="48" t="s">
        <v>377</v>
      </c>
      <c r="G212" s="50" t="s">
        <v>378</v>
      </c>
      <c r="H212" s="48">
        <v>-1785238</v>
      </c>
      <c r="I212" s="48" t="s">
        <v>13</v>
      </c>
      <c r="J212" s="53"/>
    </row>
    <row r="213" spans="1:10" s="48" customFormat="1" x14ac:dyDescent="0.2">
      <c r="A213" s="48">
        <v>6575119</v>
      </c>
      <c r="B213" s="48" t="s">
        <v>9</v>
      </c>
      <c r="C213" s="48" t="s">
        <v>613</v>
      </c>
      <c r="D213" s="49">
        <v>45658</v>
      </c>
      <c r="E213" s="49">
        <v>46022</v>
      </c>
      <c r="F213" s="48" t="s">
        <v>379</v>
      </c>
      <c r="G213" s="48" t="s">
        <v>380</v>
      </c>
      <c r="H213" s="48">
        <v>-1785238</v>
      </c>
      <c r="I213" s="48" t="s">
        <v>13</v>
      </c>
      <c r="J213" s="53"/>
    </row>
    <row r="214" spans="1:10" s="48" customFormat="1" x14ac:dyDescent="0.2">
      <c r="A214" s="48">
        <v>6575120</v>
      </c>
      <c r="B214" s="48" t="s">
        <v>9</v>
      </c>
      <c r="C214" s="48" t="s">
        <v>613</v>
      </c>
      <c r="D214" s="49">
        <v>45658</v>
      </c>
      <c r="E214" s="49">
        <v>46022</v>
      </c>
      <c r="F214" s="48" t="s">
        <v>381</v>
      </c>
      <c r="G214" s="48" t="s">
        <v>382</v>
      </c>
      <c r="H214" s="48">
        <v>0</v>
      </c>
      <c r="I214" s="48" t="s">
        <v>13</v>
      </c>
      <c r="J214" s="53"/>
    </row>
    <row r="215" spans="1:10" s="48" customFormat="1" x14ac:dyDescent="0.2">
      <c r="A215" s="48">
        <v>6575121</v>
      </c>
      <c r="B215" s="48" t="s">
        <v>9</v>
      </c>
      <c r="C215" s="48" t="s">
        <v>613</v>
      </c>
      <c r="D215" s="49">
        <v>45658</v>
      </c>
      <c r="E215" s="49">
        <v>46022</v>
      </c>
      <c r="F215" s="48" t="s">
        <v>383</v>
      </c>
      <c r="G215" s="48" t="s">
        <v>384</v>
      </c>
      <c r="H215" s="48">
        <v>0</v>
      </c>
      <c r="I215" s="48" t="s">
        <v>13</v>
      </c>
      <c r="J215" s="53"/>
    </row>
    <row r="216" spans="1:10" s="48" customFormat="1" x14ac:dyDescent="0.2">
      <c r="A216" s="48">
        <v>6575122</v>
      </c>
      <c r="B216" s="48" t="s">
        <v>9</v>
      </c>
      <c r="C216" s="48" t="s">
        <v>613</v>
      </c>
      <c r="D216" s="49">
        <v>45658</v>
      </c>
      <c r="E216" s="49">
        <v>46022</v>
      </c>
      <c r="F216" s="48" t="s">
        <v>385</v>
      </c>
      <c r="G216" s="48" t="s">
        <v>386</v>
      </c>
      <c r="H216" s="48">
        <v>0</v>
      </c>
      <c r="I216" s="48" t="s">
        <v>13</v>
      </c>
      <c r="J216" s="53"/>
    </row>
    <row r="217" spans="1:10" s="48" customFormat="1" x14ac:dyDescent="0.2">
      <c r="A217" s="48">
        <v>6575123</v>
      </c>
      <c r="B217" s="48" t="s">
        <v>9</v>
      </c>
      <c r="C217" s="48" t="s">
        <v>613</v>
      </c>
      <c r="D217" s="49">
        <v>45658</v>
      </c>
      <c r="E217" s="49">
        <v>46022</v>
      </c>
      <c r="F217" s="48" t="s">
        <v>387</v>
      </c>
      <c r="G217" s="48" t="s">
        <v>388</v>
      </c>
      <c r="H217" s="48">
        <v>0</v>
      </c>
      <c r="I217" s="48" t="s">
        <v>13</v>
      </c>
      <c r="J217" s="53"/>
    </row>
    <row r="218" spans="1:10" s="48" customFormat="1" x14ac:dyDescent="0.2">
      <c r="A218" s="48">
        <v>6575124</v>
      </c>
      <c r="B218" s="48" t="s">
        <v>9</v>
      </c>
      <c r="C218" s="48" t="s">
        <v>613</v>
      </c>
      <c r="D218" s="49">
        <v>45658</v>
      </c>
      <c r="E218" s="49">
        <v>46022</v>
      </c>
      <c r="F218" s="48" t="s">
        <v>389</v>
      </c>
      <c r="G218" s="48" t="s">
        <v>390</v>
      </c>
      <c r="H218" s="48">
        <v>0</v>
      </c>
      <c r="I218" s="48" t="s">
        <v>13</v>
      </c>
      <c r="J218" s="53"/>
    </row>
    <row r="219" spans="1:10" s="48" customFormat="1" x14ac:dyDescent="0.2">
      <c r="A219" s="48">
        <v>6575125</v>
      </c>
      <c r="B219" s="48" t="s">
        <v>9</v>
      </c>
      <c r="C219" s="48" t="s">
        <v>613</v>
      </c>
      <c r="D219" s="49">
        <v>45658</v>
      </c>
      <c r="E219" s="49">
        <v>46022</v>
      </c>
      <c r="F219" s="48" t="s">
        <v>391</v>
      </c>
      <c r="G219" s="48" t="s">
        <v>388</v>
      </c>
      <c r="H219" s="48">
        <v>0</v>
      </c>
      <c r="I219" s="48" t="s">
        <v>13</v>
      </c>
      <c r="J219" s="53"/>
    </row>
    <row r="220" spans="1:10" x14ac:dyDescent="0.2">
      <c r="A220" s="2">
        <v>6575126</v>
      </c>
      <c r="B220" s="2" t="s">
        <v>9</v>
      </c>
      <c r="C220" s="2" t="s">
        <v>613</v>
      </c>
      <c r="D220" s="25">
        <v>45658</v>
      </c>
      <c r="E220" s="25">
        <v>46022</v>
      </c>
      <c r="F220" s="2" t="s">
        <v>392</v>
      </c>
      <c r="G220" s="2" t="s">
        <v>393</v>
      </c>
      <c r="H220" s="2">
        <v>-114984</v>
      </c>
      <c r="I220" s="2" t="s">
        <v>13</v>
      </c>
      <c r="J220" s="51"/>
    </row>
    <row r="221" spans="1:10" x14ac:dyDescent="0.2">
      <c r="A221" s="2">
        <v>6575127</v>
      </c>
      <c r="B221" s="2" t="s">
        <v>9</v>
      </c>
      <c r="C221" s="2" t="s">
        <v>613</v>
      </c>
      <c r="D221" s="25">
        <v>45658</v>
      </c>
      <c r="E221" s="25">
        <v>46022</v>
      </c>
      <c r="F221" s="2" t="s">
        <v>394</v>
      </c>
      <c r="G221" s="2" t="s">
        <v>395</v>
      </c>
      <c r="H221" s="2">
        <v>1063866</v>
      </c>
      <c r="I221" s="2" t="s">
        <v>13</v>
      </c>
      <c r="J221" s="51"/>
    </row>
    <row r="222" spans="1:10" x14ac:dyDescent="0.2">
      <c r="A222" s="2">
        <v>6575128</v>
      </c>
      <c r="B222" s="2" t="s">
        <v>9</v>
      </c>
      <c r="C222" s="2" t="s">
        <v>613</v>
      </c>
      <c r="D222" s="25">
        <v>45658</v>
      </c>
      <c r="E222" s="25">
        <v>46022</v>
      </c>
      <c r="F222" s="2" t="s">
        <v>396</v>
      </c>
      <c r="G222" s="2" t="s">
        <v>422</v>
      </c>
      <c r="H222" s="2">
        <v>-1785238</v>
      </c>
      <c r="I222" s="2" t="s">
        <v>13</v>
      </c>
      <c r="J222" s="51"/>
    </row>
    <row r="223" spans="1:10" x14ac:dyDescent="0.2">
      <c r="A223" s="2">
        <v>6575129</v>
      </c>
      <c r="B223" s="2" t="s">
        <v>9</v>
      </c>
      <c r="C223" s="2" t="s">
        <v>613</v>
      </c>
      <c r="D223" s="25">
        <v>45658</v>
      </c>
      <c r="E223" s="25">
        <v>46022</v>
      </c>
      <c r="F223" s="2" t="s">
        <v>398</v>
      </c>
      <c r="G223" s="2" t="s">
        <v>397</v>
      </c>
      <c r="H223" s="2">
        <v>813932</v>
      </c>
      <c r="I223" s="2" t="s">
        <v>13</v>
      </c>
      <c r="J223" s="51"/>
    </row>
    <row r="224" spans="1:10" x14ac:dyDescent="0.2">
      <c r="A224" s="2">
        <v>6575130</v>
      </c>
      <c r="B224" s="2" t="s">
        <v>9</v>
      </c>
      <c r="C224" s="2" t="s">
        <v>613</v>
      </c>
      <c r="D224" s="25">
        <v>45658</v>
      </c>
      <c r="E224" s="25">
        <v>46022</v>
      </c>
      <c r="F224" s="2" t="s">
        <v>400</v>
      </c>
      <c r="G224" s="2" t="s">
        <v>623</v>
      </c>
      <c r="H224" s="2">
        <v>126585</v>
      </c>
      <c r="I224" s="2" t="s">
        <v>13</v>
      </c>
      <c r="J224" s="51"/>
    </row>
    <row r="225" spans="1:10" x14ac:dyDescent="0.2">
      <c r="A225" s="2">
        <v>6575131</v>
      </c>
      <c r="B225" s="2" t="s">
        <v>9</v>
      </c>
      <c r="C225" s="2" t="s">
        <v>613</v>
      </c>
      <c r="D225" s="25">
        <v>45658</v>
      </c>
      <c r="E225" s="25">
        <v>46022</v>
      </c>
      <c r="F225" s="2" t="s">
        <v>402</v>
      </c>
      <c r="G225" s="2" t="s">
        <v>624</v>
      </c>
      <c r="H225" s="2">
        <v>152010</v>
      </c>
      <c r="I225" s="2" t="s">
        <v>13</v>
      </c>
      <c r="J225" s="51"/>
    </row>
    <row r="226" spans="1:10" x14ac:dyDescent="0.2">
      <c r="A226" s="2">
        <v>6575132</v>
      </c>
      <c r="B226" s="2" t="s">
        <v>9</v>
      </c>
      <c r="C226" s="2" t="s">
        <v>613</v>
      </c>
      <c r="D226" s="25">
        <v>45658</v>
      </c>
      <c r="E226" s="25">
        <v>46022</v>
      </c>
      <c r="F226" s="2" t="s">
        <v>404</v>
      </c>
      <c r="G226" s="2" t="s">
        <v>403</v>
      </c>
      <c r="H226" s="2">
        <v>-47234</v>
      </c>
      <c r="I226" s="2" t="s">
        <v>13</v>
      </c>
      <c r="J226" s="51"/>
    </row>
    <row r="227" spans="1:10" x14ac:dyDescent="0.2">
      <c r="A227" s="2">
        <v>6575133</v>
      </c>
      <c r="B227" s="2" t="s">
        <v>9</v>
      </c>
      <c r="C227" s="2" t="s">
        <v>613</v>
      </c>
      <c r="D227" s="25">
        <v>45658</v>
      </c>
      <c r="E227" s="25">
        <v>46022</v>
      </c>
      <c r="F227" s="2" t="s">
        <v>405</v>
      </c>
      <c r="G227" s="2" t="s">
        <v>107</v>
      </c>
      <c r="H227" s="2">
        <v>20070</v>
      </c>
      <c r="I227" s="2" t="s">
        <v>13</v>
      </c>
      <c r="J227" s="51"/>
    </row>
    <row r="228" spans="1:10" x14ac:dyDescent="0.2">
      <c r="A228" s="2">
        <v>6575134</v>
      </c>
      <c r="B228" s="2" t="s">
        <v>9</v>
      </c>
      <c r="C228" s="2" t="s">
        <v>613</v>
      </c>
      <c r="D228" s="25">
        <v>45658</v>
      </c>
      <c r="E228" s="25">
        <v>46022</v>
      </c>
      <c r="F228" s="2" t="s">
        <v>407</v>
      </c>
      <c r="G228" s="2" t="s">
        <v>406</v>
      </c>
      <c r="H228" s="2">
        <v>40139</v>
      </c>
      <c r="I228" s="2" t="s">
        <v>13</v>
      </c>
      <c r="J228" s="51"/>
    </row>
    <row r="229" spans="1:10" x14ac:dyDescent="0.2">
      <c r="A229" s="2">
        <v>6575135</v>
      </c>
      <c r="B229" s="2" t="s">
        <v>9</v>
      </c>
      <c r="C229" s="2" t="s">
        <v>613</v>
      </c>
      <c r="D229" s="25">
        <v>45658</v>
      </c>
      <c r="E229" s="25">
        <v>46022</v>
      </c>
      <c r="F229" s="2" t="s">
        <v>409</v>
      </c>
      <c r="G229" s="2" t="s">
        <v>625</v>
      </c>
      <c r="H229" s="2">
        <v>456104</v>
      </c>
      <c r="I229" s="2" t="s">
        <v>13</v>
      </c>
      <c r="J229" s="51"/>
    </row>
    <row r="230" spans="1:10" x14ac:dyDescent="0.2">
      <c r="A230" s="2">
        <v>6575136</v>
      </c>
      <c r="B230" s="2" t="s">
        <v>9</v>
      </c>
      <c r="C230" s="2" t="s">
        <v>613</v>
      </c>
      <c r="D230" s="25">
        <v>45658</v>
      </c>
      <c r="E230" s="25">
        <v>46022</v>
      </c>
      <c r="F230" s="2" t="s">
        <v>411</v>
      </c>
      <c r="G230" s="2" t="s">
        <v>626</v>
      </c>
      <c r="H230" s="2">
        <v>66964</v>
      </c>
      <c r="I230" s="2" t="s">
        <v>13</v>
      </c>
      <c r="J230" s="51"/>
    </row>
    <row r="231" spans="1:10" x14ac:dyDescent="0.2">
      <c r="A231" s="2">
        <v>6575137</v>
      </c>
      <c r="B231" s="2" t="s">
        <v>9</v>
      </c>
      <c r="C231" s="2" t="s">
        <v>613</v>
      </c>
      <c r="D231" s="25">
        <v>45658</v>
      </c>
      <c r="E231" s="25">
        <v>46022</v>
      </c>
      <c r="F231" s="2" t="s">
        <v>413</v>
      </c>
      <c r="G231" s="2" t="s">
        <v>627</v>
      </c>
      <c r="H231" s="2">
        <v>-72237</v>
      </c>
      <c r="I231" s="2" t="s">
        <v>13</v>
      </c>
      <c r="J231" s="51"/>
    </row>
    <row r="232" spans="1:10" x14ac:dyDescent="0.2">
      <c r="A232" s="2">
        <v>6575138</v>
      </c>
      <c r="B232" s="2" t="s">
        <v>9</v>
      </c>
      <c r="C232" s="2" t="s">
        <v>613</v>
      </c>
      <c r="D232" s="25">
        <v>45658</v>
      </c>
      <c r="E232" s="25">
        <v>46022</v>
      </c>
      <c r="F232" s="2" t="s">
        <v>415</v>
      </c>
      <c r="G232" s="2" t="s">
        <v>628</v>
      </c>
      <c r="H232" s="2">
        <v>544698</v>
      </c>
      <c r="I232" s="2" t="s">
        <v>13</v>
      </c>
      <c r="J232" s="51"/>
    </row>
    <row r="233" spans="1:10" x14ac:dyDescent="0.2">
      <c r="A233" s="2">
        <v>6575139</v>
      </c>
      <c r="B233" s="2" t="s">
        <v>9</v>
      </c>
      <c r="C233" s="2" t="s">
        <v>613</v>
      </c>
      <c r="D233" s="25">
        <v>45658</v>
      </c>
      <c r="E233" s="25">
        <v>46022</v>
      </c>
      <c r="F233" s="2" t="s">
        <v>417</v>
      </c>
      <c r="G233" s="2" t="s">
        <v>629</v>
      </c>
      <c r="H233" s="2">
        <v>249060</v>
      </c>
      <c r="I233" s="2" t="s">
        <v>13</v>
      </c>
      <c r="J233" s="51"/>
    </row>
    <row r="234" spans="1:10" x14ac:dyDescent="0.2">
      <c r="A234" s="2">
        <v>6575140</v>
      </c>
      <c r="B234" s="2" t="s">
        <v>9</v>
      </c>
      <c r="C234" s="2" t="s">
        <v>613</v>
      </c>
      <c r="D234" s="25">
        <v>45658</v>
      </c>
      <c r="E234" s="25">
        <v>46022</v>
      </c>
      <c r="F234" s="2" t="s">
        <v>419</v>
      </c>
      <c r="G234" s="2" t="s">
        <v>630</v>
      </c>
      <c r="H234" s="2">
        <v>69014</v>
      </c>
      <c r="I234" s="2" t="s">
        <v>13</v>
      </c>
      <c r="J234" s="51"/>
    </row>
    <row r="235" spans="1:10" x14ac:dyDescent="0.2">
      <c r="A235" s="2">
        <v>6575141</v>
      </c>
      <c r="B235" s="2" t="s">
        <v>9</v>
      </c>
      <c r="C235" s="2" t="s">
        <v>613</v>
      </c>
      <c r="D235" s="25">
        <v>45658</v>
      </c>
      <c r="E235" s="25">
        <v>46022</v>
      </c>
      <c r="F235" s="2" t="s">
        <v>421</v>
      </c>
      <c r="G235" s="2" t="s">
        <v>603</v>
      </c>
      <c r="H235" s="2">
        <v>86485</v>
      </c>
      <c r="I235" s="2" t="s">
        <v>13</v>
      </c>
      <c r="J235" s="51"/>
    </row>
    <row r="236" spans="1:10" x14ac:dyDescent="0.2">
      <c r="A236" s="2">
        <v>6575142</v>
      </c>
      <c r="B236" s="2" t="s">
        <v>9</v>
      </c>
      <c r="C236" s="2" t="s">
        <v>613</v>
      </c>
      <c r="D236" s="25">
        <v>45658</v>
      </c>
      <c r="E236" s="25">
        <v>46022</v>
      </c>
      <c r="F236" s="2" t="s">
        <v>423</v>
      </c>
      <c r="G236" s="2" t="s">
        <v>631</v>
      </c>
      <c r="H236" s="2">
        <v>-173563</v>
      </c>
      <c r="I236" s="2" t="s">
        <v>13</v>
      </c>
      <c r="J236" s="51"/>
    </row>
    <row r="237" spans="1:10" x14ac:dyDescent="0.2">
      <c r="A237" s="2">
        <v>6575143</v>
      </c>
      <c r="B237" s="2" t="s">
        <v>9</v>
      </c>
      <c r="C237" s="2" t="s">
        <v>613</v>
      </c>
      <c r="D237" s="25">
        <v>45658</v>
      </c>
      <c r="E237" s="25">
        <v>46022</v>
      </c>
      <c r="F237" s="2" t="s">
        <v>425</v>
      </c>
      <c r="G237" s="2" t="s">
        <v>632</v>
      </c>
      <c r="H237" s="2">
        <v>29369</v>
      </c>
      <c r="I237" s="2" t="s">
        <v>13</v>
      </c>
      <c r="J237" s="51"/>
    </row>
    <row r="238" spans="1:10" x14ac:dyDescent="0.2">
      <c r="A238" s="2">
        <v>6575144</v>
      </c>
      <c r="B238" s="2" t="s">
        <v>9</v>
      </c>
      <c r="C238" s="2" t="s">
        <v>613</v>
      </c>
      <c r="D238" s="25">
        <v>45658</v>
      </c>
      <c r="E238" s="25">
        <v>46022</v>
      </c>
      <c r="F238" s="2" t="s">
        <v>427</v>
      </c>
      <c r="G238" s="2" t="s">
        <v>633</v>
      </c>
      <c r="H238" s="2">
        <v>434062</v>
      </c>
      <c r="I238" s="2" t="s">
        <v>13</v>
      </c>
      <c r="J238" s="51"/>
    </row>
    <row r="239" spans="1:10" x14ac:dyDescent="0.2">
      <c r="A239" s="2">
        <v>6575145</v>
      </c>
      <c r="B239" s="2" t="s">
        <v>9</v>
      </c>
      <c r="C239" s="2" t="s">
        <v>613</v>
      </c>
      <c r="D239" s="25">
        <v>45658</v>
      </c>
      <c r="E239" s="25">
        <v>46022</v>
      </c>
      <c r="F239" s="2" t="s">
        <v>429</v>
      </c>
      <c r="G239" s="2" t="s">
        <v>634</v>
      </c>
      <c r="H239" s="2">
        <v>109495</v>
      </c>
      <c r="I239" s="2" t="s">
        <v>13</v>
      </c>
      <c r="J239" s="51"/>
    </row>
    <row r="240" spans="1:10" x14ac:dyDescent="0.2">
      <c r="A240" s="2">
        <v>6575146</v>
      </c>
      <c r="B240" s="2" t="s">
        <v>9</v>
      </c>
      <c r="C240" s="2" t="s">
        <v>613</v>
      </c>
      <c r="D240" s="25">
        <v>45658</v>
      </c>
      <c r="E240" s="25">
        <v>46022</v>
      </c>
      <c r="F240" s="2" t="s">
        <v>431</v>
      </c>
      <c r="G240" s="2" t="s">
        <v>426</v>
      </c>
      <c r="H240" s="2">
        <v>17814</v>
      </c>
      <c r="I240" s="2" t="s">
        <v>13</v>
      </c>
      <c r="J240" s="51"/>
    </row>
    <row r="241" spans="1:10" x14ac:dyDescent="0.2">
      <c r="A241" s="2">
        <v>6575147</v>
      </c>
      <c r="B241" s="2" t="s">
        <v>9</v>
      </c>
      <c r="C241" s="2" t="s">
        <v>613</v>
      </c>
      <c r="D241" s="25">
        <v>45658</v>
      </c>
      <c r="E241" s="25">
        <v>46022</v>
      </c>
      <c r="F241" s="2" t="s">
        <v>433</v>
      </c>
      <c r="G241" s="2" t="s">
        <v>635</v>
      </c>
      <c r="H241" s="2">
        <v>-73663</v>
      </c>
      <c r="I241" s="2" t="s">
        <v>13</v>
      </c>
      <c r="J241" s="51"/>
    </row>
    <row r="242" spans="1:10" x14ac:dyDescent="0.2">
      <c r="A242" s="2">
        <v>6575148</v>
      </c>
      <c r="B242" s="2" t="s">
        <v>9</v>
      </c>
      <c r="C242" s="2" t="s">
        <v>613</v>
      </c>
      <c r="D242" s="25">
        <v>45658</v>
      </c>
      <c r="E242" s="25">
        <v>46022</v>
      </c>
      <c r="F242" s="2" t="s">
        <v>435</v>
      </c>
      <c r="G242" s="2" t="s">
        <v>436</v>
      </c>
      <c r="H242" s="2">
        <v>-2475797</v>
      </c>
      <c r="I242" s="2" t="s">
        <v>13</v>
      </c>
      <c r="J242" s="51"/>
    </row>
    <row r="243" spans="1:10" x14ac:dyDescent="0.2">
      <c r="A243" s="2">
        <v>6575149</v>
      </c>
      <c r="B243" s="2" t="s">
        <v>9</v>
      </c>
      <c r="C243" s="2" t="s">
        <v>613</v>
      </c>
      <c r="D243" s="25">
        <v>45658</v>
      </c>
      <c r="E243" s="25">
        <v>46022</v>
      </c>
      <c r="F243" s="2" t="s">
        <v>437</v>
      </c>
      <c r="G243" s="2" t="s">
        <v>438</v>
      </c>
      <c r="H243" s="2">
        <v>-1536605</v>
      </c>
      <c r="I243" s="2" t="s">
        <v>13</v>
      </c>
      <c r="J243" s="51"/>
    </row>
    <row r="244" spans="1:10" x14ac:dyDescent="0.2">
      <c r="A244" s="2">
        <v>6575150</v>
      </c>
      <c r="B244" s="2" t="s">
        <v>9</v>
      </c>
      <c r="C244" s="2" t="s">
        <v>613</v>
      </c>
      <c r="D244" s="25">
        <v>45658</v>
      </c>
      <c r="E244" s="25">
        <v>46022</v>
      </c>
      <c r="F244" s="2" t="s">
        <v>439</v>
      </c>
      <c r="G244" s="2" t="s">
        <v>636</v>
      </c>
      <c r="H244" s="2">
        <v>-840558</v>
      </c>
      <c r="I244" s="2" t="s">
        <v>13</v>
      </c>
      <c r="J244" s="51"/>
    </row>
    <row r="245" spans="1:10" x14ac:dyDescent="0.2">
      <c r="A245" s="2">
        <v>6575151</v>
      </c>
      <c r="B245" s="2" t="s">
        <v>9</v>
      </c>
      <c r="C245" s="2" t="s">
        <v>613</v>
      </c>
      <c r="D245" s="25">
        <v>45658</v>
      </c>
      <c r="E245" s="25">
        <v>46022</v>
      </c>
      <c r="F245" s="2" t="s">
        <v>441</v>
      </c>
      <c r="G245" s="2" t="s">
        <v>637</v>
      </c>
      <c r="H245" s="2">
        <v>20960</v>
      </c>
      <c r="I245" s="2" t="s">
        <v>13</v>
      </c>
      <c r="J245" s="51"/>
    </row>
    <row r="246" spans="1:10" x14ac:dyDescent="0.2">
      <c r="A246" s="2">
        <v>6575152</v>
      </c>
      <c r="B246" s="2" t="s">
        <v>9</v>
      </c>
      <c r="C246" s="2" t="s">
        <v>613</v>
      </c>
      <c r="D246" s="25">
        <v>45658</v>
      </c>
      <c r="E246" s="25">
        <v>46022</v>
      </c>
      <c r="F246" s="2" t="s">
        <v>443</v>
      </c>
      <c r="G246" s="2" t="s">
        <v>638</v>
      </c>
      <c r="H246" s="2">
        <v>19894</v>
      </c>
      <c r="I246" s="2" t="s">
        <v>13</v>
      </c>
      <c r="J246" s="51"/>
    </row>
    <row r="247" spans="1:10" x14ac:dyDescent="0.2">
      <c r="A247" s="2">
        <v>6575153</v>
      </c>
      <c r="B247" s="2" t="s">
        <v>9</v>
      </c>
      <c r="C247" s="2" t="s">
        <v>613</v>
      </c>
      <c r="D247" s="25">
        <v>45658</v>
      </c>
      <c r="E247" s="25">
        <v>46022</v>
      </c>
      <c r="F247" s="2" t="s">
        <v>445</v>
      </c>
      <c r="G247" s="2" t="s">
        <v>639</v>
      </c>
      <c r="H247" s="2">
        <v>0</v>
      </c>
      <c r="I247" s="2" t="s">
        <v>13</v>
      </c>
      <c r="J247" s="51"/>
    </row>
    <row r="248" spans="1:10" x14ac:dyDescent="0.2">
      <c r="A248" s="2">
        <v>6575154</v>
      </c>
      <c r="B248" s="2" t="s">
        <v>9</v>
      </c>
      <c r="C248" s="2" t="s">
        <v>613</v>
      </c>
      <c r="D248" s="25">
        <v>45658</v>
      </c>
      <c r="E248" s="25">
        <v>46022</v>
      </c>
      <c r="F248" s="2" t="s">
        <v>447</v>
      </c>
      <c r="G248" s="2" t="s">
        <v>640</v>
      </c>
      <c r="H248" s="2">
        <v>0</v>
      </c>
      <c r="I248" s="2" t="s">
        <v>13</v>
      </c>
      <c r="J248" s="51"/>
    </row>
    <row r="249" spans="1:10" x14ac:dyDescent="0.2">
      <c r="A249" s="2">
        <v>6575155</v>
      </c>
      <c r="B249" s="2" t="s">
        <v>9</v>
      </c>
      <c r="C249" s="2" t="s">
        <v>613</v>
      </c>
      <c r="D249" s="25">
        <v>45658</v>
      </c>
      <c r="E249" s="25">
        <v>46022</v>
      </c>
      <c r="F249" s="2" t="s">
        <v>449</v>
      </c>
      <c r="G249" s="2" t="s">
        <v>446</v>
      </c>
      <c r="H249" s="2">
        <v>309015</v>
      </c>
      <c r="I249" s="2" t="s">
        <v>13</v>
      </c>
      <c r="J249" s="51"/>
    </row>
    <row r="250" spans="1:10" x14ac:dyDescent="0.2">
      <c r="A250" s="2">
        <v>6575156</v>
      </c>
      <c r="B250" s="2" t="s">
        <v>9</v>
      </c>
      <c r="C250" s="2" t="s">
        <v>613</v>
      </c>
      <c r="D250" s="25">
        <v>45658</v>
      </c>
      <c r="E250" s="25">
        <v>46022</v>
      </c>
      <c r="F250" s="2" t="s">
        <v>451</v>
      </c>
      <c r="G250" s="2" t="s">
        <v>641</v>
      </c>
      <c r="H250" s="2">
        <v>-331838</v>
      </c>
      <c r="I250" s="2" t="s">
        <v>13</v>
      </c>
      <c r="J250" s="51"/>
    </row>
    <row r="251" spans="1:10" x14ac:dyDescent="0.2">
      <c r="A251" s="2">
        <v>6575157</v>
      </c>
      <c r="B251" s="2" t="s">
        <v>9</v>
      </c>
      <c r="C251" s="2" t="s">
        <v>613</v>
      </c>
      <c r="D251" s="25">
        <v>45658</v>
      </c>
      <c r="E251" s="25">
        <v>46022</v>
      </c>
      <c r="F251" s="2" t="s">
        <v>642</v>
      </c>
      <c r="G251" s="2" t="s">
        <v>643</v>
      </c>
      <c r="H251" s="2">
        <v>-4835</v>
      </c>
      <c r="I251" s="2" t="s">
        <v>13</v>
      </c>
      <c r="J251" s="51"/>
    </row>
    <row r="252" spans="1:10" x14ac:dyDescent="0.2">
      <c r="A252" s="2">
        <v>6575158</v>
      </c>
      <c r="B252" s="2" t="s">
        <v>9</v>
      </c>
      <c r="C252" s="2" t="s">
        <v>613</v>
      </c>
      <c r="D252" s="25">
        <v>45658</v>
      </c>
      <c r="E252" s="25">
        <v>46022</v>
      </c>
      <c r="F252" s="2" t="s">
        <v>644</v>
      </c>
      <c r="G252" s="2" t="s">
        <v>645</v>
      </c>
      <c r="H252" s="2">
        <v>0</v>
      </c>
      <c r="I252" s="2" t="s">
        <v>13</v>
      </c>
      <c r="J252" s="51"/>
    </row>
    <row r="253" spans="1:10" x14ac:dyDescent="0.2">
      <c r="A253" s="2">
        <v>6575159</v>
      </c>
      <c r="B253" s="2" t="s">
        <v>9</v>
      </c>
      <c r="C253" s="2" t="s">
        <v>613</v>
      </c>
      <c r="D253" s="25">
        <v>45658</v>
      </c>
      <c r="E253" s="25">
        <v>46022</v>
      </c>
      <c r="F253" s="2" t="s">
        <v>646</v>
      </c>
      <c r="G253" s="2" t="s">
        <v>647</v>
      </c>
      <c r="H253" s="2">
        <v>-111830</v>
      </c>
      <c r="I253" s="2" t="s">
        <v>13</v>
      </c>
      <c r="J253" s="51"/>
    </row>
    <row r="254" spans="1:10" x14ac:dyDescent="0.2">
      <c r="A254" s="2">
        <v>6575160</v>
      </c>
      <c r="B254" s="2" t="s">
        <v>9</v>
      </c>
      <c r="C254" s="2" t="s">
        <v>613</v>
      </c>
      <c r="D254" s="25">
        <v>45658</v>
      </c>
      <c r="E254" s="25">
        <v>46022</v>
      </c>
      <c r="F254" s="2" t="s">
        <v>648</v>
      </c>
      <c r="G254" s="2" t="s">
        <v>649</v>
      </c>
      <c r="H254" s="2">
        <v>0</v>
      </c>
      <c r="I254" s="2" t="s">
        <v>13</v>
      </c>
      <c r="J254" s="51"/>
    </row>
    <row r="255" spans="1:10" x14ac:dyDescent="0.2">
      <c r="A255" s="2">
        <v>6575161</v>
      </c>
      <c r="B255" s="2" t="s">
        <v>9</v>
      </c>
      <c r="C255" s="2" t="s">
        <v>613</v>
      </c>
      <c r="D255" s="25">
        <v>45658</v>
      </c>
      <c r="E255" s="25">
        <v>46022</v>
      </c>
      <c r="F255" s="2" t="s">
        <v>650</v>
      </c>
      <c r="G255" s="2" t="s">
        <v>651</v>
      </c>
      <c r="H255" s="2">
        <v>0</v>
      </c>
      <c r="I255" s="2" t="s">
        <v>13</v>
      </c>
      <c r="J255" s="51"/>
    </row>
    <row r="256" spans="1:10" x14ac:dyDescent="0.2">
      <c r="A256" s="2">
        <v>6575162</v>
      </c>
      <c r="B256" s="2" t="s">
        <v>9</v>
      </c>
      <c r="C256" s="2" t="s">
        <v>613</v>
      </c>
      <c r="D256" s="25">
        <v>45658</v>
      </c>
      <c r="E256" s="25">
        <v>46022</v>
      </c>
      <c r="F256" s="2" t="s">
        <v>453</v>
      </c>
      <c r="G256" s="2" t="s">
        <v>59</v>
      </c>
      <c r="H256" s="2">
        <v>1296947</v>
      </c>
      <c r="I256" s="2" t="s">
        <v>13</v>
      </c>
      <c r="J256" s="51"/>
    </row>
    <row r="257" spans="1:10" x14ac:dyDescent="0.2">
      <c r="A257" s="2">
        <v>6575163</v>
      </c>
      <c r="B257" s="2" t="s">
        <v>9</v>
      </c>
      <c r="C257" s="2" t="s">
        <v>613</v>
      </c>
      <c r="D257" s="25">
        <v>45658</v>
      </c>
      <c r="E257" s="25">
        <v>46022</v>
      </c>
      <c r="F257" s="2" t="s">
        <v>454</v>
      </c>
      <c r="G257" s="2" t="s">
        <v>455</v>
      </c>
      <c r="H257" s="2">
        <v>-189271</v>
      </c>
      <c r="I257" s="2" t="s">
        <v>13</v>
      </c>
      <c r="J257" s="51"/>
    </row>
    <row r="258" spans="1:10" x14ac:dyDescent="0.2">
      <c r="A258" s="2">
        <v>6575164</v>
      </c>
      <c r="B258" s="2" t="s">
        <v>9</v>
      </c>
      <c r="C258" s="2" t="s">
        <v>613</v>
      </c>
      <c r="D258" s="25">
        <v>45658</v>
      </c>
      <c r="E258" s="25">
        <v>46022</v>
      </c>
      <c r="F258" s="2" t="s">
        <v>456</v>
      </c>
      <c r="G258" s="2" t="s">
        <v>652</v>
      </c>
      <c r="H258" s="2">
        <v>-55143</v>
      </c>
      <c r="I258" s="2" t="s">
        <v>13</v>
      </c>
      <c r="J258" s="51"/>
    </row>
    <row r="259" spans="1:10" x14ac:dyDescent="0.2">
      <c r="A259" s="2">
        <v>6575165</v>
      </c>
      <c r="B259" s="2" t="s">
        <v>9</v>
      </c>
      <c r="C259" s="2" t="s">
        <v>613</v>
      </c>
      <c r="D259" s="25">
        <v>45658</v>
      </c>
      <c r="E259" s="25">
        <v>46022</v>
      </c>
      <c r="F259" s="2" t="s">
        <v>458</v>
      </c>
      <c r="G259" s="2" t="s">
        <v>461</v>
      </c>
      <c r="H259" s="2">
        <v>-409594</v>
      </c>
      <c r="I259" s="2" t="s">
        <v>13</v>
      </c>
      <c r="J259" s="51"/>
    </row>
    <row r="260" spans="1:10" x14ac:dyDescent="0.2">
      <c r="A260" s="2">
        <v>6575166</v>
      </c>
      <c r="B260" s="2" t="s">
        <v>9</v>
      </c>
      <c r="C260" s="2" t="s">
        <v>613</v>
      </c>
      <c r="D260" s="25">
        <v>45658</v>
      </c>
      <c r="E260" s="25">
        <v>46022</v>
      </c>
      <c r="F260" s="2" t="s">
        <v>460</v>
      </c>
      <c r="G260" s="2" t="s">
        <v>653</v>
      </c>
      <c r="H260" s="2">
        <v>-105438</v>
      </c>
      <c r="I260" s="2" t="s">
        <v>13</v>
      </c>
      <c r="J260" s="51"/>
    </row>
    <row r="261" spans="1:10" x14ac:dyDescent="0.2">
      <c r="A261" s="2">
        <v>6575167</v>
      </c>
      <c r="B261" s="2" t="s">
        <v>9</v>
      </c>
      <c r="C261" s="2" t="s">
        <v>613</v>
      </c>
      <c r="D261" s="25">
        <v>45658</v>
      </c>
      <c r="E261" s="25">
        <v>46022</v>
      </c>
      <c r="F261" s="2" t="s">
        <v>462</v>
      </c>
      <c r="G261" s="2" t="s">
        <v>463</v>
      </c>
      <c r="H261" s="2">
        <v>-161575</v>
      </c>
      <c r="I261" s="2" t="s">
        <v>13</v>
      </c>
      <c r="J261" s="51"/>
    </row>
    <row r="262" spans="1:10" x14ac:dyDescent="0.2">
      <c r="A262" s="2">
        <v>6575168</v>
      </c>
      <c r="B262" s="2" t="s">
        <v>9</v>
      </c>
      <c r="C262" s="2" t="s">
        <v>613</v>
      </c>
      <c r="D262" s="25">
        <v>45658</v>
      </c>
      <c r="E262" s="25">
        <v>46022</v>
      </c>
      <c r="F262" s="2" t="s">
        <v>464</v>
      </c>
      <c r="G262" s="2" t="s">
        <v>654</v>
      </c>
      <c r="H262" s="2">
        <v>-108009</v>
      </c>
      <c r="I262" s="2" t="s">
        <v>13</v>
      </c>
      <c r="J262" s="51"/>
    </row>
    <row r="263" spans="1:10" x14ac:dyDescent="0.2">
      <c r="A263" s="2">
        <v>6575169</v>
      </c>
      <c r="B263" s="2" t="s">
        <v>9</v>
      </c>
      <c r="C263" s="2" t="s">
        <v>613</v>
      </c>
      <c r="D263" s="25">
        <v>45658</v>
      </c>
      <c r="E263" s="25">
        <v>46022</v>
      </c>
      <c r="F263" s="2" t="s">
        <v>466</v>
      </c>
      <c r="G263" s="2" t="s">
        <v>467</v>
      </c>
      <c r="H263" s="2">
        <v>2325977</v>
      </c>
      <c r="I263" s="2" t="s">
        <v>13</v>
      </c>
      <c r="J263" s="51"/>
    </row>
    <row r="264" spans="1:10" x14ac:dyDescent="0.2">
      <c r="A264" s="2">
        <v>6575170</v>
      </c>
      <c r="B264" s="2" t="s">
        <v>9</v>
      </c>
      <c r="C264" s="2" t="s">
        <v>613</v>
      </c>
      <c r="D264" s="25">
        <v>45658</v>
      </c>
      <c r="E264" s="25">
        <v>46022</v>
      </c>
      <c r="F264" s="2" t="s">
        <v>604</v>
      </c>
      <c r="G264" s="2" t="s">
        <v>607</v>
      </c>
      <c r="H264" s="2">
        <v>0</v>
      </c>
      <c r="I264" s="2" t="s">
        <v>13</v>
      </c>
      <c r="J264" s="51"/>
    </row>
    <row r="265" spans="1:10" x14ac:dyDescent="0.2">
      <c r="A265" s="2">
        <v>6575171</v>
      </c>
      <c r="B265" s="2" t="s">
        <v>9</v>
      </c>
      <c r="C265" s="2" t="s">
        <v>613</v>
      </c>
      <c r="D265" s="25">
        <v>45658</v>
      </c>
      <c r="E265" s="25">
        <v>46022</v>
      </c>
      <c r="F265" s="2" t="s">
        <v>605</v>
      </c>
      <c r="G265" s="2" t="s">
        <v>655</v>
      </c>
      <c r="H265" s="2">
        <v>0</v>
      </c>
      <c r="I265" s="2" t="s">
        <v>13</v>
      </c>
      <c r="J265" s="51"/>
    </row>
    <row r="266" spans="1:10" x14ac:dyDescent="0.2">
      <c r="A266" s="2">
        <v>6575172</v>
      </c>
      <c r="B266" s="2" t="s">
        <v>9</v>
      </c>
      <c r="C266" s="2" t="s">
        <v>613</v>
      </c>
      <c r="D266" s="25">
        <v>45658</v>
      </c>
      <c r="E266" s="25">
        <v>46022</v>
      </c>
      <c r="F266" s="2" t="s">
        <v>468</v>
      </c>
      <c r="G266" s="2" t="s">
        <v>469</v>
      </c>
      <c r="H266" s="2">
        <v>285241</v>
      </c>
      <c r="I266" s="2" t="s">
        <v>13</v>
      </c>
      <c r="J266" s="51"/>
    </row>
    <row r="267" spans="1:10" x14ac:dyDescent="0.2">
      <c r="A267" s="2">
        <v>6575173</v>
      </c>
      <c r="B267" s="2" t="s">
        <v>9</v>
      </c>
      <c r="C267" s="2" t="s">
        <v>613</v>
      </c>
      <c r="D267" s="25">
        <v>45658</v>
      </c>
      <c r="E267" s="25">
        <v>46022</v>
      </c>
      <c r="F267" s="2" t="s">
        <v>470</v>
      </c>
      <c r="G267" s="2" t="s">
        <v>471</v>
      </c>
      <c r="H267" s="2">
        <v>-379474</v>
      </c>
      <c r="I267" s="2" t="s">
        <v>13</v>
      </c>
      <c r="J267" s="51"/>
    </row>
    <row r="268" spans="1:10" x14ac:dyDescent="0.2">
      <c r="A268" s="2">
        <v>6575174</v>
      </c>
      <c r="B268" s="2" t="s">
        <v>9</v>
      </c>
      <c r="C268" s="2" t="s">
        <v>613</v>
      </c>
      <c r="D268" s="25">
        <v>45658</v>
      </c>
      <c r="E268" s="25">
        <v>46022</v>
      </c>
      <c r="F268" s="2" t="s">
        <v>472</v>
      </c>
      <c r="G268" s="2" t="s">
        <v>475</v>
      </c>
      <c r="H268" s="2">
        <v>49500</v>
      </c>
      <c r="I268" s="2" t="s">
        <v>13</v>
      </c>
      <c r="J268" s="51"/>
    </row>
    <row r="269" spans="1:10" x14ac:dyDescent="0.2">
      <c r="A269" s="2">
        <v>6575175</v>
      </c>
      <c r="B269" s="2" t="s">
        <v>9</v>
      </c>
      <c r="C269" s="2" t="s">
        <v>613</v>
      </c>
      <c r="D269" s="25">
        <v>45658</v>
      </c>
      <c r="E269" s="25">
        <v>46022</v>
      </c>
      <c r="F269" s="2" t="s">
        <v>474</v>
      </c>
      <c r="G269" s="2" t="s">
        <v>656</v>
      </c>
      <c r="H269" s="2">
        <v>103247</v>
      </c>
      <c r="I269" s="2" t="s">
        <v>13</v>
      </c>
      <c r="J269" s="51"/>
    </row>
    <row r="270" spans="1:10" x14ac:dyDescent="0.2">
      <c r="A270" s="2">
        <v>6575176</v>
      </c>
      <c r="B270" s="2" t="s">
        <v>9</v>
      </c>
      <c r="C270" s="2" t="s">
        <v>613</v>
      </c>
      <c r="D270" s="25">
        <v>45658</v>
      </c>
      <c r="E270" s="25">
        <v>46022</v>
      </c>
      <c r="F270" s="2" t="s">
        <v>476</v>
      </c>
      <c r="G270" s="2" t="s">
        <v>477</v>
      </c>
      <c r="H270" s="2">
        <v>-23157315</v>
      </c>
      <c r="I270" s="2" t="s">
        <v>13</v>
      </c>
      <c r="J270" s="51"/>
    </row>
    <row r="271" spans="1:10" x14ac:dyDescent="0.2">
      <c r="A271" s="2">
        <v>6575177</v>
      </c>
      <c r="B271" s="2" t="s">
        <v>9</v>
      </c>
      <c r="C271" s="2" t="s">
        <v>613</v>
      </c>
      <c r="D271" s="25">
        <v>45658</v>
      </c>
      <c r="E271" s="25">
        <v>46022</v>
      </c>
      <c r="F271" s="2" t="s">
        <v>478</v>
      </c>
      <c r="G271" s="2" t="s">
        <v>479</v>
      </c>
      <c r="H271" s="2">
        <v>23472961</v>
      </c>
      <c r="I271" s="2" t="s">
        <v>13</v>
      </c>
      <c r="J271" s="51"/>
    </row>
    <row r="272" spans="1:10" x14ac:dyDescent="0.2">
      <c r="A272" s="2">
        <v>6575178</v>
      </c>
      <c r="B272" s="2" t="s">
        <v>9</v>
      </c>
      <c r="C272" s="2" t="s">
        <v>613</v>
      </c>
      <c r="D272" s="25">
        <v>45658</v>
      </c>
      <c r="E272" s="25">
        <v>46022</v>
      </c>
      <c r="F272" s="2" t="s">
        <v>480</v>
      </c>
      <c r="G272" s="2" t="s">
        <v>487</v>
      </c>
      <c r="H272" s="2">
        <v>75688</v>
      </c>
      <c r="I272" s="2" t="s">
        <v>13</v>
      </c>
      <c r="J272" s="51"/>
    </row>
    <row r="273" spans="1:10" x14ac:dyDescent="0.2">
      <c r="A273" s="2">
        <v>6575179</v>
      </c>
      <c r="B273" s="2" t="s">
        <v>9</v>
      </c>
      <c r="C273" s="2" t="s">
        <v>613</v>
      </c>
      <c r="D273" s="25">
        <v>45658</v>
      </c>
      <c r="E273" s="25">
        <v>46022</v>
      </c>
      <c r="F273" s="2" t="s">
        <v>482</v>
      </c>
      <c r="G273" s="2" t="s">
        <v>657</v>
      </c>
      <c r="H273" s="2">
        <v>0</v>
      </c>
      <c r="I273" s="2" t="s">
        <v>13</v>
      </c>
      <c r="J273" s="51"/>
    </row>
    <row r="274" spans="1:10" x14ac:dyDescent="0.2">
      <c r="A274" s="2">
        <v>6575180</v>
      </c>
      <c r="B274" s="2" t="s">
        <v>9</v>
      </c>
      <c r="C274" s="2" t="s">
        <v>613</v>
      </c>
      <c r="D274" s="25">
        <v>45658</v>
      </c>
      <c r="E274" s="25">
        <v>46022</v>
      </c>
      <c r="F274" s="2" t="s">
        <v>484</v>
      </c>
      <c r="G274" s="2" t="s">
        <v>483</v>
      </c>
      <c r="H274" s="2">
        <v>0</v>
      </c>
      <c r="I274" s="2" t="s">
        <v>13</v>
      </c>
      <c r="J274" s="51"/>
    </row>
    <row r="275" spans="1:10" x14ac:dyDescent="0.2">
      <c r="A275" s="2">
        <v>6575181</v>
      </c>
      <c r="B275" s="2" t="s">
        <v>9</v>
      </c>
      <c r="C275" s="2" t="s">
        <v>613</v>
      </c>
      <c r="D275" s="25">
        <v>45658</v>
      </c>
      <c r="E275" s="25">
        <v>46022</v>
      </c>
      <c r="F275" s="2" t="s">
        <v>486</v>
      </c>
      <c r="G275" s="2" t="s">
        <v>489</v>
      </c>
      <c r="H275" s="2">
        <v>120634</v>
      </c>
      <c r="I275" s="2" t="s">
        <v>13</v>
      </c>
      <c r="J275" s="51"/>
    </row>
    <row r="276" spans="1:10" x14ac:dyDescent="0.2">
      <c r="A276" s="2">
        <v>6575182</v>
      </c>
      <c r="B276" s="2" t="s">
        <v>9</v>
      </c>
      <c r="C276" s="2" t="s">
        <v>613</v>
      </c>
      <c r="D276" s="25">
        <v>45658</v>
      </c>
      <c r="E276" s="25">
        <v>46022</v>
      </c>
      <c r="F276" s="2" t="s">
        <v>490</v>
      </c>
      <c r="G276" s="2" t="s">
        <v>491</v>
      </c>
      <c r="H276" s="2">
        <v>-385672</v>
      </c>
      <c r="I276" s="2" t="s">
        <v>13</v>
      </c>
      <c r="J276" s="51"/>
    </row>
    <row r="277" spans="1:10" x14ac:dyDescent="0.2">
      <c r="A277" s="2">
        <v>6575183</v>
      </c>
      <c r="B277" s="2" t="s">
        <v>9</v>
      </c>
      <c r="C277" s="2" t="s">
        <v>613</v>
      </c>
      <c r="D277" s="25">
        <v>45658</v>
      </c>
      <c r="E277" s="25">
        <v>46022</v>
      </c>
      <c r="F277" s="2" t="s">
        <v>492</v>
      </c>
      <c r="G277" s="2" t="s">
        <v>658</v>
      </c>
      <c r="H277" s="2">
        <v>-218781</v>
      </c>
      <c r="I277" s="2" t="s">
        <v>13</v>
      </c>
      <c r="J277" s="51"/>
    </row>
    <row r="278" spans="1:10" x14ac:dyDescent="0.2">
      <c r="A278" s="2">
        <v>6575184</v>
      </c>
      <c r="B278" s="2" t="s">
        <v>9</v>
      </c>
      <c r="C278" s="2" t="s">
        <v>613</v>
      </c>
      <c r="D278" s="25">
        <v>45658</v>
      </c>
      <c r="E278" s="25">
        <v>46022</v>
      </c>
      <c r="F278" s="2" t="s">
        <v>494</v>
      </c>
      <c r="G278" s="2" t="s">
        <v>659</v>
      </c>
      <c r="H278" s="2">
        <v>2787</v>
      </c>
      <c r="I278" s="2" t="s">
        <v>13</v>
      </c>
      <c r="J278" s="51"/>
    </row>
    <row r="279" spans="1:10" x14ac:dyDescent="0.2">
      <c r="A279" s="2">
        <v>6575185</v>
      </c>
      <c r="B279" s="2" t="s">
        <v>9</v>
      </c>
      <c r="C279" s="2" t="s">
        <v>613</v>
      </c>
      <c r="D279" s="25">
        <v>45658</v>
      </c>
      <c r="E279" s="25">
        <v>46022</v>
      </c>
      <c r="F279" s="2" t="s">
        <v>496</v>
      </c>
      <c r="G279" s="2" t="s">
        <v>660</v>
      </c>
      <c r="H279" s="2">
        <v>-144835</v>
      </c>
      <c r="I279" s="2" t="s">
        <v>13</v>
      </c>
      <c r="J279" s="51"/>
    </row>
    <row r="280" spans="1:10" x14ac:dyDescent="0.2">
      <c r="A280" s="2">
        <v>6575186</v>
      </c>
      <c r="B280" s="2" t="s">
        <v>9</v>
      </c>
      <c r="C280" s="2" t="s">
        <v>613</v>
      </c>
      <c r="D280" s="25">
        <v>45658</v>
      </c>
      <c r="E280" s="25">
        <v>46022</v>
      </c>
      <c r="F280" s="2" t="s">
        <v>498</v>
      </c>
      <c r="G280" s="2" t="s">
        <v>505</v>
      </c>
      <c r="H280" s="2">
        <v>0</v>
      </c>
      <c r="I280" s="2" t="s">
        <v>13</v>
      </c>
      <c r="J280" s="51"/>
    </row>
    <row r="281" spans="1:10" x14ac:dyDescent="0.2">
      <c r="A281" s="2">
        <v>6575187</v>
      </c>
      <c r="B281" s="2" t="s">
        <v>9</v>
      </c>
      <c r="C281" s="2" t="s">
        <v>613</v>
      </c>
      <c r="D281" s="25">
        <v>45658</v>
      </c>
      <c r="E281" s="25">
        <v>46022</v>
      </c>
      <c r="F281" s="2" t="s">
        <v>500</v>
      </c>
      <c r="G281" s="2" t="s">
        <v>661</v>
      </c>
      <c r="H281" s="2">
        <v>-202314</v>
      </c>
      <c r="I281" s="2" t="s">
        <v>13</v>
      </c>
      <c r="J281" s="51"/>
    </row>
    <row r="282" spans="1:10" x14ac:dyDescent="0.2">
      <c r="A282" s="2">
        <v>6575188</v>
      </c>
      <c r="B282" s="2" t="s">
        <v>9</v>
      </c>
      <c r="C282" s="2" t="s">
        <v>613</v>
      </c>
      <c r="D282" s="25">
        <v>45658</v>
      </c>
      <c r="E282" s="25">
        <v>46022</v>
      </c>
      <c r="F282" s="2" t="s">
        <v>502</v>
      </c>
      <c r="G282" s="2" t="s">
        <v>662</v>
      </c>
      <c r="H282" s="2">
        <v>-6017</v>
      </c>
      <c r="I282" s="2" t="s">
        <v>13</v>
      </c>
      <c r="J282" s="51"/>
    </row>
    <row r="283" spans="1:10" x14ac:dyDescent="0.2">
      <c r="A283" s="2">
        <v>6575189</v>
      </c>
      <c r="B283" s="2" t="s">
        <v>9</v>
      </c>
      <c r="C283" s="2" t="s">
        <v>613</v>
      </c>
      <c r="D283" s="25">
        <v>45658</v>
      </c>
      <c r="E283" s="25">
        <v>46022</v>
      </c>
      <c r="F283" s="2" t="s">
        <v>504</v>
      </c>
      <c r="G283" s="2" t="s">
        <v>663</v>
      </c>
      <c r="H283" s="2">
        <v>0</v>
      </c>
      <c r="I283" s="2" t="s">
        <v>13</v>
      </c>
      <c r="J283" s="51"/>
    </row>
    <row r="284" spans="1:10" x14ac:dyDescent="0.2">
      <c r="A284" s="2">
        <v>6575190</v>
      </c>
      <c r="B284" s="2" t="s">
        <v>9</v>
      </c>
      <c r="C284" s="2" t="s">
        <v>613</v>
      </c>
      <c r="D284" s="25">
        <v>45658</v>
      </c>
      <c r="E284" s="25">
        <v>46022</v>
      </c>
      <c r="F284" s="2" t="s">
        <v>506</v>
      </c>
      <c r="G284" s="2" t="s">
        <v>652</v>
      </c>
      <c r="H284" s="2">
        <v>-16512</v>
      </c>
      <c r="I284" s="2" t="s">
        <v>13</v>
      </c>
      <c r="J284" s="51"/>
    </row>
    <row r="285" spans="1:10" x14ac:dyDescent="0.2">
      <c r="A285" s="2">
        <v>6575191</v>
      </c>
      <c r="B285" s="2" t="s">
        <v>9</v>
      </c>
      <c r="C285" s="2" t="s">
        <v>613</v>
      </c>
      <c r="D285" s="25">
        <v>45658</v>
      </c>
      <c r="E285" s="25">
        <v>46022</v>
      </c>
      <c r="F285" s="2" t="s">
        <v>508</v>
      </c>
      <c r="G285" s="2" t="s">
        <v>664</v>
      </c>
      <c r="H285" s="2">
        <v>0</v>
      </c>
      <c r="I285" s="2" t="s">
        <v>13</v>
      </c>
      <c r="J285" s="51"/>
    </row>
    <row r="286" spans="1:10" x14ac:dyDescent="0.2">
      <c r="A286" s="2">
        <v>6575192</v>
      </c>
      <c r="B286" s="2" t="s">
        <v>9</v>
      </c>
      <c r="C286" s="2" t="s">
        <v>613</v>
      </c>
      <c r="D286" s="25">
        <v>45658</v>
      </c>
      <c r="E286" s="25">
        <v>46022</v>
      </c>
      <c r="F286" s="2" t="s">
        <v>610</v>
      </c>
      <c r="G286" s="2" t="s">
        <v>509</v>
      </c>
      <c r="H286" s="2">
        <v>0</v>
      </c>
      <c r="I286" s="2" t="s">
        <v>13</v>
      </c>
      <c r="J286" s="51"/>
    </row>
    <row r="287" spans="1:10" x14ac:dyDescent="0.2">
      <c r="A287" s="2">
        <v>6575193</v>
      </c>
      <c r="B287" s="2" t="s">
        <v>9</v>
      </c>
      <c r="C287" s="2" t="s">
        <v>613</v>
      </c>
      <c r="D287" s="25">
        <v>45658</v>
      </c>
      <c r="E287" s="25">
        <v>46022</v>
      </c>
      <c r="F287" s="2" t="s">
        <v>665</v>
      </c>
      <c r="G287" s="2" t="s">
        <v>611</v>
      </c>
      <c r="H287" s="2">
        <v>200000</v>
      </c>
      <c r="I287" s="2" t="s">
        <v>13</v>
      </c>
      <c r="J287" s="51"/>
    </row>
    <row r="288" spans="1:10" x14ac:dyDescent="0.2">
      <c r="A288" s="2">
        <v>6575194</v>
      </c>
      <c r="B288" s="2" t="s">
        <v>9</v>
      </c>
      <c r="C288" s="2" t="s">
        <v>613</v>
      </c>
      <c r="D288" s="25">
        <v>45658</v>
      </c>
      <c r="E288" s="25">
        <v>46022</v>
      </c>
      <c r="F288" s="2" t="s">
        <v>510</v>
      </c>
      <c r="G288" s="2" t="s">
        <v>511</v>
      </c>
      <c r="H288" s="2">
        <v>-35066</v>
      </c>
      <c r="I288" s="2" t="s">
        <v>13</v>
      </c>
      <c r="J288" s="51"/>
    </row>
    <row r="289" spans="1:10" x14ac:dyDescent="0.2">
      <c r="A289" s="2">
        <v>6575195</v>
      </c>
      <c r="B289" s="2" t="s">
        <v>9</v>
      </c>
      <c r="C289" s="2" t="s">
        <v>613</v>
      </c>
      <c r="D289" s="25">
        <v>45658</v>
      </c>
      <c r="E289" s="25">
        <v>46022</v>
      </c>
      <c r="F289" s="2" t="s">
        <v>512</v>
      </c>
      <c r="G289" s="2" t="s">
        <v>513</v>
      </c>
      <c r="H289" s="2">
        <v>-250481</v>
      </c>
      <c r="I289" s="2" t="s">
        <v>13</v>
      </c>
      <c r="J289" s="51"/>
    </row>
    <row r="290" spans="1:10" x14ac:dyDescent="0.2">
      <c r="A290" s="2">
        <v>6575196</v>
      </c>
      <c r="B290" s="2" t="s">
        <v>9</v>
      </c>
      <c r="C290" s="2" t="s">
        <v>613</v>
      </c>
      <c r="D290" s="25">
        <v>45658</v>
      </c>
      <c r="E290" s="25">
        <v>46022</v>
      </c>
      <c r="F290" s="2" t="s">
        <v>514</v>
      </c>
      <c r="G290" s="2" t="s">
        <v>515</v>
      </c>
      <c r="H290" s="2">
        <v>1741187</v>
      </c>
      <c r="I290" s="2" t="s">
        <v>13</v>
      </c>
      <c r="J290" s="51"/>
    </row>
    <row r="291" spans="1:10" x14ac:dyDescent="0.2">
      <c r="A291" s="2">
        <v>6575197</v>
      </c>
      <c r="B291" s="2" t="s">
        <v>9</v>
      </c>
      <c r="C291" s="2" t="s">
        <v>613</v>
      </c>
      <c r="D291" s="25">
        <v>45658</v>
      </c>
      <c r="E291" s="25">
        <v>46022</v>
      </c>
      <c r="F291" s="2" t="s">
        <v>516</v>
      </c>
      <c r="G291" s="2" t="s">
        <v>517</v>
      </c>
      <c r="H291" s="2">
        <v>1490706</v>
      </c>
      <c r="I291" s="2" t="s">
        <v>13</v>
      </c>
      <c r="J291" s="51"/>
    </row>
    <row r="292" spans="1:10" x14ac:dyDescent="0.2">
      <c r="A292" s="2">
        <v>6575198</v>
      </c>
      <c r="B292" s="2" t="s">
        <v>9</v>
      </c>
      <c r="C292" s="2" t="s">
        <v>613</v>
      </c>
      <c r="D292" s="25">
        <v>45658</v>
      </c>
      <c r="E292" s="25">
        <v>46022</v>
      </c>
      <c r="F292" s="2" t="s">
        <v>518</v>
      </c>
      <c r="G292" s="2" t="s">
        <v>519</v>
      </c>
      <c r="H292" s="2">
        <v>27489111</v>
      </c>
      <c r="I292" s="2" t="s">
        <v>13</v>
      </c>
      <c r="J292" s="51"/>
    </row>
    <row r="293" spans="1:10" x14ac:dyDescent="0.2">
      <c r="A293" s="2">
        <v>6575199</v>
      </c>
      <c r="B293" s="2" t="s">
        <v>9</v>
      </c>
      <c r="C293" s="2" t="s">
        <v>613</v>
      </c>
      <c r="D293" s="25">
        <v>45658</v>
      </c>
      <c r="E293" s="25">
        <v>46022</v>
      </c>
      <c r="F293" s="2" t="s">
        <v>520</v>
      </c>
      <c r="G293" s="2" t="s">
        <v>521</v>
      </c>
      <c r="H293" s="2">
        <v>28660913</v>
      </c>
      <c r="I293" s="2" t="s">
        <v>13</v>
      </c>
      <c r="J293" s="51"/>
    </row>
    <row r="294" spans="1:10" x14ac:dyDescent="0.2">
      <c r="A294" s="2">
        <v>6575200</v>
      </c>
      <c r="B294" s="2" t="s">
        <v>9</v>
      </c>
      <c r="C294" s="2" t="s">
        <v>613</v>
      </c>
      <c r="D294" s="25">
        <v>45658</v>
      </c>
      <c r="E294" s="25">
        <v>46022</v>
      </c>
      <c r="F294" s="2" t="s">
        <v>522</v>
      </c>
      <c r="G294" s="2" t="s">
        <v>523</v>
      </c>
      <c r="H294" s="2">
        <v>-627104</v>
      </c>
      <c r="I294" s="2" t="s">
        <v>13</v>
      </c>
      <c r="J294" s="51"/>
    </row>
    <row r="295" spans="1:10" x14ac:dyDescent="0.2">
      <c r="A295" s="2">
        <v>6575201</v>
      </c>
      <c r="B295" s="2" t="s">
        <v>9</v>
      </c>
      <c r="C295" s="2" t="s">
        <v>613</v>
      </c>
      <c r="D295" s="25">
        <v>45658</v>
      </c>
      <c r="E295" s="25">
        <v>46022</v>
      </c>
      <c r="F295" s="2" t="s">
        <v>524</v>
      </c>
      <c r="G295" s="2" t="s">
        <v>525</v>
      </c>
      <c r="H295" s="2">
        <v>0</v>
      </c>
      <c r="I295" s="2" t="s">
        <v>13</v>
      </c>
      <c r="J295" s="51"/>
    </row>
    <row r="296" spans="1:10" x14ac:dyDescent="0.2">
      <c r="A296" s="2">
        <v>6575202</v>
      </c>
      <c r="B296" s="2" t="s">
        <v>9</v>
      </c>
      <c r="C296" s="2" t="s">
        <v>613</v>
      </c>
      <c r="D296" s="25">
        <v>45658</v>
      </c>
      <c r="E296" s="25">
        <v>46022</v>
      </c>
      <c r="F296" s="2" t="s">
        <v>526</v>
      </c>
      <c r="G296" s="2" t="s">
        <v>527</v>
      </c>
      <c r="H296" s="2">
        <v>-544698</v>
      </c>
      <c r="I296" s="2" t="s">
        <v>13</v>
      </c>
      <c r="J296" s="51"/>
    </row>
    <row r="297" spans="1:10" x14ac:dyDescent="0.2">
      <c r="A297" s="2">
        <v>6575203</v>
      </c>
      <c r="B297" s="2" t="s">
        <v>9</v>
      </c>
      <c r="C297" s="2" t="s">
        <v>613</v>
      </c>
      <c r="D297" s="25">
        <v>45658</v>
      </c>
      <c r="E297" s="25">
        <v>46022</v>
      </c>
      <c r="F297" s="2" t="s">
        <v>528</v>
      </c>
      <c r="G297" s="2" t="s">
        <v>529</v>
      </c>
      <c r="H297" s="2">
        <v>-19404420</v>
      </c>
      <c r="I297" s="2" t="s">
        <v>13</v>
      </c>
      <c r="J297" s="51"/>
    </row>
    <row r="298" spans="1:10" x14ac:dyDescent="0.2">
      <c r="A298" s="2">
        <v>6575204</v>
      </c>
      <c r="B298" s="2" t="s">
        <v>9</v>
      </c>
      <c r="C298" s="2" t="s">
        <v>613</v>
      </c>
      <c r="D298" s="25">
        <v>45658</v>
      </c>
      <c r="E298" s="25">
        <v>46022</v>
      </c>
      <c r="F298" s="2" t="s">
        <v>530</v>
      </c>
      <c r="G298" s="2" t="s">
        <v>531</v>
      </c>
      <c r="H298" s="2">
        <v>-10996325</v>
      </c>
      <c r="I298" s="2" t="s">
        <v>13</v>
      </c>
      <c r="J298" s="51"/>
    </row>
    <row r="299" spans="1:10" x14ac:dyDescent="0.2">
      <c r="A299" s="2">
        <v>6575205</v>
      </c>
      <c r="B299" s="2" t="s">
        <v>9</v>
      </c>
      <c r="C299" s="2" t="s">
        <v>613</v>
      </c>
      <c r="D299" s="25">
        <v>45658</v>
      </c>
      <c r="E299" s="25">
        <v>46022</v>
      </c>
      <c r="F299" s="2" t="s">
        <v>532</v>
      </c>
      <c r="G299" s="2" t="s">
        <v>533</v>
      </c>
      <c r="H299" s="2">
        <v>-7974033</v>
      </c>
      <c r="I299" s="2" t="s">
        <v>13</v>
      </c>
      <c r="J299" s="51"/>
    </row>
    <row r="300" spans="1:10" x14ac:dyDescent="0.2">
      <c r="A300" s="2">
        <v>6575206</v>
      </c>
      <c r="B300" s="2" t="s">
        <v>9</v>
      </c>
      <c r="C300" s="2" t="s">
        <v>613</v>
      </c>
      <c r="D300" s="25">
        <v>45658</v>
      </c>
      <c r="E300" s="25">
        <v>46022</v>
      </c>
      <c r="F300" s="2" t="s">
        <v>534</v>
      </c>
      <c r="G300" s="2" t="s">
        <v>535</v>
      </c>
      <c r="H300" s="2">
        <v>-434062</v>
      </c>
      <c r="I300" s="2" t="s">
        <v>13</v>
      </c>
      <c r="J300" s="51"/>
    </row>
    <row r="301" spans="1:10" x14ac:dyDescent="0.2">
      <c r="A301" s="2">
        <v>6575207</v>
      </c>
      <c r="B301" s="2" t="s">
        <v>9</v>
      </c>
      <c r="C301" s="2" t="s">
        <v>613</v>
      </c>
      <c r="D301" s="25">
        <v>45658</v>
      </c>
      <c r="E301" s="25">
        <v>46022</v>
      </c>
      <c r="F301" s="2" t="s">
        <v>536</v>
      </c>
      <c r="G301" s="2" t="s">
        <v>59</v>
      </c>
      <c r="H301" s="2">
        <v>0</v>
      </c>
      <c r="I301" s="2" t="s">
        <v>13</v>
      </c>
      <c r="J301" s="51"/>
    </row>
    <row r="302" spans="1:10" x14ac:dyDescent="0.2">
      <c r="A302" s="2">
        <v>6575208</v>
      </c>
      <c r="B302" s="2" t="s">
        <v>9</v>
      </c>
      <c r="C302" s="2" t="s">
        <v>613</v>
      </c>
      <c r="D302" s="25">
        <v>45658</v>
      </c>
      <c r="E302" s="25">
        <v>46022</v>
      </c>
      <c r="F302" s="2" t="s">
        <v>537</v>
      </c>
      <c r="G302" s="2" t="s">
        <v>538</v>
      </c>
      <c r="H302" s="2">
        <v>8084691</v>
      </c>
      <c r="I302" s="2" t="s">
        <v>13</v>
      </c>
      <c r="J302" s="51"/>
    </row>
    <row r="303" spans="1:10" x14ac:dyDescent="0.2">
      <c r="A303" s="2">
        <v>6575209</v>
      </c>
      <c r="B303" s="2" t="s">
        <v>9</v>
      </c>
      <c r="C303" s="2" t="s">
        <v>613</v>
      </c>
      <c r="D303" s="25">
        <v>45658</v>
      </c>
      <c r="E303" s="25">
        <v>46022</v>
      </c>
      <c r="F303" s="2" t="s">
        <v>539</v>
      </c>
      <c r="G303" s="2" t="s">
        <v>540</v>
      </c>
      <c r="H303" s="2">
        <v>-813932</v>
      </c>
      <c r="I303" s="2" t="s">
        <v>13</v>
      </c>
      <c r="J303" s="51"/>
    </row>
    <row r="304" spans="1:10" x14ac:dyDescent="0.2">
      <c r="A304" s="2">
        <v>6575210</v>
      </c>
      <c r="B304" s="2" t="s">
        <v>9</v>
      </c>
      <c r="C304" s="2" t="s">
        <v>613</v>
      </c>
      <c r="D304" s="25">
        <v>45658</v>
      </c>
      <c r="E304" s="25">
        <v>46022</v>
      </c>
      <c r="F304" s="2" t="s">
        <v>541</v>
      </c>
      <c r="G304" s="2" t="s">
        <v>542</v>
      </c>
      <c r="H304" s="2">
        <v>-813932</v>
      </c>
      <c r="I304" s="2" t="s">
        <v>13</v>
      </c>
      <c r="J304" s="51"/>
    </row>
    <row r="305" spans="1:10" x14ac:dyDescent="0.2">
      <c r="A305" s="2">
        <v>6575211</v>
      </c>
      <c r="B305" s="2" t="s">
        <v>9</v>
      </c>
      <c r="C305" s="2" t="s">
        <v>613</v>
      </c>
      <c r="D305" s="25">
        <v>45658</v>
      </c>
      <c r="E305" s="25">
        <v>46022</v>
      </c>
      <c r="F305" s="2" t="s">
        <v>543</v>
      </c>
      <c r="G305" s="2" t="s">
        <v>544</v>
      </c>
      <c r="H305" s="2">
        <v>0</v>
      </c>
      <c r="I305" s="2" t="s">
        <v>13</v>
      </c>
      <c r="J305" s="51"/>
    </row>
    <row r="306" spans="1:10" x14ac:dyDescent="0.2">
      <c r="A306" s="2">
        <v>6575212</v>
      </c>
      <c r="B306" s="2" t="s">
        <v>9</v>
      </c>
      <c r="C306" s="2" t="s">
        <v>613</v>
      </c>
      <c r="D306" s="25">
        <v>45658</v>
      </c>
      <c r="E306" s="25">
        <v>46022</v>
      </c>
      <c r="F306" s="2" t="s">
        <v>545</v>
      </c>
      <c r="G306" s="2" t="s">
        <v>546</v>
      </c>
      <c r="H306" s="2">
        <v>7270759</v>
      </c>
      <c r="I306" s="2" t="s">
        <v>13</v>
      </c>
      <c r="J306" s="51"/>
    </row>
    <row r="307" spans="1:10" x14ac:dyDescent="0.2">
      <c r="A307" s="2">
        <v>6575213</v>
      </c>
      <c r="B307" s="2" t="s">
        <v>9</v>
      </c>
      <c r="C307" s="2" t="s">
        <v>613</v>
      </c>
      <c r="D307" s="25">
        <v>45658</v>
      </c>
      <c r="E307" s="25">
        <v>46022</v>
      </c>
      <c r="F307" s="2" t="s">
        <v>547</v>
      </c>
      <c r="G307" s="2" t="s">
        <v>548</v>
      </c>
      <c r="H307" s="2">
        <v>-1599709</v>
      </c>
      <c r="I307" s="2" t="s">
        <v>13</v>
      </c>
      <c r="J307" s="51"/>
    </row>
    <row r="308" spans="1:10" x14ac:dyDescent="0.2">
      <c r="A308" s="2">
        <v>6575214</v>
      </c>
      <c r="B308" s="2" t="s">
        <v>9</v>
      </c>
      <c r="C308" s="2" t="s">
        <v>613</v>
      </c>
      <c r="D308" s="25">
        <v>45658</v>
      </c>
      <c r="E308" s="25">
        <v>46022</v>
      </c>
      <c r="F308" s="2" t="s">
        <v>549</v>
      </c>
      <c r="G308" s="2" t="s">
        <v>349</v>
      </c>
      <c r="H308" s="2">
        <v>0</v>
      </c>
      <c r="I308" s="2" t="s">
        <v>13</v>
      </c>
      <c r="J308" s="51"/>
    </row>
    <row r="309" spans="1:10" x14ac:dyDescent="0.2">
      <c r="A309" s="2">
        <v>6575215</v>
      </c>
      <c r="B309" s="2" t="s">
        <v>9</v>
      </c>
      <c r="C309" s="2" t="s">
        <v>613</v>
      </c>
      <c r="D309" s="25">
        <v>45658</v>
      </c>
      <c r="E309" s="25">
        <v>46022</v>
      </c>
      <c r="F309" s="2" t="s">
        <v>550</v>
      </c>
      <c r="G309" s="2" t="s">
        <v>355</v>
      </c>
      <c r="H309" s="2">
        <v>255457</v>
      </c>
      <c r="I309" s="2" t="s">
        <v>13</v>
      </c>
      <c r="J309" s="51"/>
    </row>
    <row r="310" spans="1:10" x14ac:dyDescent="0.2">
      <c r="A310" s="2">
        <v>6575216</v>
      </c>
      <c r="B310" s="2" t="s">
        <v>9</v>
      </c>
      <c r="C310" s="2" t="s">
        <v>613</v>
      </c>
      <c r="D310" s="25">
        <v>45658</v>
      </c>
      <c r="E310" s="25">
        <v>46022</v>
      </c>
      <c r="F310" s="2" t="s">
        <v>551</v>
      </c>
      <c r="G310" s="2" t="s">
        <v>59</v>
      </c>
      <c r="H310" s="2">
        <v>-1855166</v>
      </c>
      <c r="I310" s="2" t="s">
        <v>13</v>
      </c>
      <c r="J310" s="51"/>
    </row>
    <row r="311" spans="1:10" x14ac:dyDescent="0.2">
      <c r="A311" s="2">
        <v>6575217</v>
      </c>
      <c r="B311" s="2" t="s">
        <v>9</v>
      </c>
      <c r="C311" s="2" t="s">
        <v>613</v>
      </c>
      <c r="D311" s="25">
        <v>45658</v>
      </c>
      <c r="E311" s="25">
        <v>46022</v>
      </c>
      <c r="F311" s="2" t="s">
        <v>552</v>
      </c>
      <c r="G311" s="2" t="s">
        <v>594</v>
      </c>
      <c r="H311" s="2">
        <v>-1855166</v>
      </c>
      <c r="I311" s="2" t="s">
        <v>13</v>
      </c>
      <c r="J311" s="51"/>
    </row>
    <row r="312" spans="1:10" x14ac:dyDescent="0.2">
      <c r="A312" s="2">
        <v>6575218</v>
      </c>
      <c r="B312" s="2" t="s">
        <v>9</v>
      </c>
      <c r="C312" s="2" t="s">
        <v>613</v>
      </c>
      <c r="D312" s="25">
        <v>45658</v>
      </c>
      <c r="E312" s="25">
        <v>46022</v>
      </c>
      <c r="F312" s="2" t="s">
        <v>554</v>
      </c>
      <c r="G312" s="2" t="s">
        <v>555</v>
      </c>
      <c r="H312" s="2">
        <v>5671050</v>
      </c>
      <c r="I312" s="2" t="s">
        <v>13</v>
      </c>
      <c r="J312" s="51"/>
    </row>
    <row r="313" spans="1:10" x14ac:dyDescent="0.2">
      <c r="A313" s="2">
        <v>6575219</v>
      </c>
      <c r="B313" s="2" t="s">
        <v>9</v>
      </c>
      <c r="C313" s="2" t="s">
        <v>613</v>
      </c>
      <c r="D313" s="25">
        <v>45658</v>
      </c>
      <c r="E313" s="25">
        <v>46022</v>
      </c>
      <c r="F313" s="2" t="s">
        <v>556</v>
      </c>
      <c r="G313" s="2" t="s">
        <v>557</v>
      </c>
      <c r="H313" s="2">
        <v>5671050</v>
      </c>
      <c r="I313" s="2" t="s">
        <v>13</v>
      </c>
      <c r="J313" s="51"/>
    </row>
    <row r="314" spans="1:10" x14ac:dyDescent="0.2">
      <c r="A314" s="2">
        <v>6575220</v>
      </c>
      <c r="B314" s="2" t="s">
        <v>9</v>
      </c>
      <c r="C314" s="2" t="s">
        <v>613</v>
      </c>
      <c r="D314" s="25">
        <v>45658</v>
      </c>
      <c r="E314" s="25">
        <v>46022</v>
      </c>
      <c r="F314" s="2" t="s">
        <v>558</v>
      </c>
      <c r="G314" s="2" t="s">
        <v>559</v>
      </c>
      <c r="H314" s="2">
        <v>3128126</v>
      </c>
      <c r="I314" s="2" t="s">
        <v>13</v>
      </c>
      <c r="J314" s="51"/>
    </row>
    <row r="315" spans="1:10" x14ac:dyDescent="0.2">
      <c r="A315" s="2">
        <v>6575221</v>
      </c>
      <c r="B315" s="2" t="s">
        <v>9</v>
      </c>
      <c r="C315" s="2" t="s">
        <v>613</v>
      </c>
      <c r="D315" s="25">
        <v>45658</v>
      </c>
      <c r="E315" s="25">
        <v>46022</v>
      </c>
      <c r="F315" s="2" t="s">
        <v>560</v>
      </c>
      <c r="G315" s="2" t="s">
        <v>561</v>
      </c>
      <c r="H315" s="2">
        <v>2246596</v>
      </c>
      <c r="I315" s="2" t="s">
        <v>13</v>
      </c>
      <c r="J315" s="51"/>
    </row>
    <row r="316" spans="1:10" x14ac:dyDescent="0.2">
      <c r="A316" s="2">
        <v>6575222</v>
      </c>
      <c r="B316" s="2" t="s">
        <v>9</v>
      </c>
      <c r="C316" s="2" t="s">
        <v>613</v>
      </c>
      <c r="D316" s="25">
        <v>45658</v>
      </c>
      <c r="E316" s="25">
        <v>46022</v>
      </c>
      <c r="F316" s="2" t="s">
        <v>562</v>
      </c>
      <c r="G316" s="2" t="s">
        <v>563</v>
      </c>
      <c r="H316" s="2">
        <v>563036</v>
      </c>
      <c r="I316" s="2" t="s">
        <v>13</v>
      </c>
      <c r="J316" s="51"/>
    </row>
    <row r="317" spans="1:10" x14ac:dyDescent="0.2">
      <c r="A317" s="2">
        <v>6575223</v>
      </c>
      <c r="B317" s="2" t="s">
        <v>9</v>
      </c>
      <c r="C317" s="2" t="s">
        <v>613</v>
      </c>
      <c r="D317" s="25">
        <v>45658</v>
      </c>
      <c r="E317" s="25">
        <v>46022</v>
      </c>
      <c r="F317" s="2" t="s">
        <v>564</v>
      </c>
      <c r="G317" s="2" t="s">
        <v>565</v>
      </c>
      <c r="H317" s="2">
        <v>318494</v>
      </c>
      <c r="I317" s="2" t="s">
        <v>13</v>
      </c>
      <c r="J317" s="51"/>
    </row>
    <row r="318" spans="1:10" x14ac:dyDescent="0.2">
      <c r="A318" s="2">
        <v>6575224</v>
      </c>
      <c r="B318" s="2" t="s">
        <v>9</v>
      </c>
      <c r="C318" s="2" t="s">
        <v>613</v>
      </c>
      <c r="D318" s="25">
        <v>45658</v>
      </c>
      <c r="E318" s="25">
        <v>46022</v>
      </c>
      <c r="F318" s="2" t="s">
        <v>566</v>
      </c>
      <c r="G318" s="2" t="s">
        <v>59</v>
      </c>
      <c r="H318" s="2">
        <v>0</v>
      </c>
      <c r="I318" s="2" t="s">
        <v>13</v>
      </c>
      <c r="J318" s="51"/>
    </row>
    <row r="319" spans="1:10" x14ac:dyDescent="0.2">
      <c r="A319" s="2">
        <v>6575225</v>
      </c>
      <c r="B319" s="2" t="s">
        <v>9</v>
      </c>
      <c r="C319" s="2" t="s">
        <v>613</v>
      </c>
      <c r="D319" s="25">
        <v>45658</v>
      </c>
      <c r="E319" s="25">
        <v>46022</v>
      </c>
      <c r="F319" s="2" t="s">
        <v>567</v>
      </c>
      <c r="G319" s="2" t="s">
        <v>568</v>
      </c>
      <c r="H319" s="2">
        <v>2746736</v>
      </c>
      <c r="I319" s="2" t="s">
        <v>13</v>
      </c>
      <c r="J319" s="51"/>
    </row>
    <row r="320" spans="1:10" x14ac:dyDescent="0.2">
      <c r="A320" s="2">
        <v>6575226</v>
      </c>
      <c r="B320" s="2" t="s">
        <v>9</v>
      </c>
      <c r="C320" s="2" t="s">
        <v>613</v>
      </c>
      <c r="D320" s="25">
        <v>45658</v>
      </c>
      <c r="E320" s="25">
        <v>46022</v>
      </c>
      <c r="F320" s="2" t="s">
        <v>569</v>
      </c>
      <c r="G320" s="2" t="s">
        <v>570</v>
      </c>
      <c r="H320" s="2">
        <v>-1312942</v>
      </c>
      <c r="I320" s="2" t="s">
        <v>13</v>
      </c>
      <c r="J320" s="51"/>
    </row>
    <row r="321" spans="1:10" x14ac:dyDescent="0.2">
      <c r="A321" s="2">
        <v>6575227</v>
      </c>
      <c r="B321" s="2" t="s">
        <v>9</v>
      </c>
      <c r="C321" s="2" t="s">
        <v>613</v>
      </c>
      <c r="D321" s="25">
        <v>45658</v>
      </c>
      <c r="E321" s="25">
        <v>46022</v>
      </c>
      <c r="F321" s="2" t="s">
        <v>571</v>
      </c>
      <c r="G321" s="2" t="s">
        <v>572</v>
      </c>
      <c r="H321" s="2">
        <v>4059678</v>
      </c>
      <c r="I321" s="2" t="s">
        <v>13</v>
      </c>
      <c r="J321" s="51"/>
    </row>
    <row r="322" spans="1:10" x14ac:dyDescent="0.2">
      <c r="A322" s="2">
        <v>6575228</v>
      </c>
      <c r="B322" s="2" t="s">
        <v>9</v>
      </c>
      <c r="C322" s="2" t="s">
        <v>613</v>
      </c>
      <c r="D322" s="25">
        <v>45658</v>
      </c>
      <c r="E322" s="25">
        <v>46022</v>
      </c>
      <c r="F322" s="2" t="s">
        <v>573</v>
      </c>
      <c r="G322" s="2" t="s">
        <v>574</v>
      </c>
      <c r="H322" s="2">
        <v>0</v>
      </c>
      <c r="I322" s="2" t="s">
        <v>13</v>
      </c>
      <c r="J322" s="51"/>
    </row>
    <row r="323" spans="1:10" x14ac:dyDescent="0.2">
      <c r="A323" s="2">
        <v>6575229</v>
      </c>
      <c r="B323" s="2" t="s">
        <v>9</v>
      </c>
      <c r="C323" s="2" t="s">
        <v>613</v>
      </c>
      <c r="D323" s="25">
        <v>45658</v>
      </c>
      <c r="E323" s="25">
        <v>46022</v>
      </c>
      <c r="F323" s="2" t="s">
        <v>575</v>
      </c>
      <c r="G323" s="2" t="s">
        <v>576</v>
      </c>
      <c r="H323" s="2">
        <v>1122375</v>
      </c>
      <c r="I323" s="2" t="s">
        <v>13</v>
      </c>
      <c r="J323" s="51"/>
    </row>
    <row r="324" spans="1:10" x14ac:dyDescent="0.2">
      <c r="A324" s="2">
        <v>6575230</v>
      </c>
      <c r="B324" s="2" t="s">
        <v>9</v>
      </c>
      <c r="C324" s="2" t="s">
        <v>613</v>
      </c>
      <c r="D324" s="25">
        <v>45658</v>
      </c>
      <c r="E324" s="25">
        <v>46022</v>
      </c>
      <c r="F324" s="2" t="s">
        <v>577</v>
      </c>
      <c r="G324" s="2" t="s">
        <v>578</v>
      </c>
      <c r="H324" s="2">
        <v>1122375</v>
      </c>
      <c r="I324" s="2" t="s">
        <v>13</v>
      </c>
      <c r="J324" s="51"/>
    </row>
    <row r="325" spans="1:10" x14ac:dyDescent="0.2">
      <c r="A325" s="2">
        <v>6575231</v>
      </c>
      <c r="B325" s="2" t="s">
        <v>9</v>
      </c>
      <c r="C325" s="2" t="s">
        <v>613</v>
      </c>
      <c r="D325" s="25">
        <v>45658</v>
      </c>
      <c r="E325" s="25">
        <v>46022</v>
      </c>
      <c r="F325" s="2" t="s">
        <v>579</v>
      </c>
      <c r="G325" s="2" t="s">
        <v>580</v>
      </c>
      <c r="H325" s="2">
        <v>0</v>
      </c>
      <c r="I325" s="2" t="s">
        <v>13</v>
      </c>
      <c r="J325" s="51"/>
    </row>
    <row r="326" spans="1:10" x14ac:dyDescent="0.2">
      <c r="A326" s="2">
        <v>6575232</v>
      </c>
      <c r="B326" s="2" t="s">
        <v>9</v>
      </c>
      <c r="C326" s="2" t="s">
        <v>613</v>
      </c>
      <c r="D326" s="25">
        <v>45658</v>
      </c>
      <c r="E326" s="25">
        <v>46022</v>
      </c>
      <c r="F326" s="2" t="s">
        <v>581</v>
      </c>
      <c r="G326" s="2" t="s">
        <v>544</v>
      </c>
      <c r="H326" s="2">
        <v>0</v>
      </c>
      <c r="I326" s="2" t="s">
        <v>13</v>
      </c>
      <c r="J326" s="51"/>
    </row>
    <row r="327" spans="1:10" x14ac:dyDescent="0.2">
      <c r="A327" s="2">
        <v>6575233</v>
      </c>
      <c r="B327" s="2" t="s">
        <v>9</v>
      </c>
      <c r="C327" s="2" t="s">
        <v>613</v>
      </c>
      <c r="D327" s="25">
        <v>45658</v>
      </c>
      <c r="E327" s="25">
        <v>46022</v>
      </c>
      <c r="F327" s="2" t="s">
        <v>582</v>
      </c>
      <c r="G327" s="2" t="s">
        <v>583</v>
      </c>
      <c r="H327" s="2">
        <v>528980</v>
      </c>
      <c r="I327" s="2" t="s">
        <v>13</v>
      </c>
      <c r="J327" s="51"/>
    </row>
    <row r="328" spans="1:10" x14ac:dyDescent="0.2">
      <c r="A328" s="2">
        <v>6575234</v>
      </c>
      <c r="B328" s="2" t="s">
        <v>9</v>
      </c>
      <c r="C328" s="2" t="s">
        <v>613</v>
      </c>
      <c r="D328" s="25">
        <v>45658</v>
      </c>
      <c r="E328" s="25">
        <v>46022</v>
      </c>
      <c r="F328" s="2" t="s">
        <v>584</v>
      </c>
      <c r="G328" s="2" t="s">
        <v>585</v>
      </c>
      <c r="H328" s="2">
        <v>0</v>
      </c>
      <c r="I328" s="2" t="s">
        <v>13</v>
      </c>
      <c r="J328" s="51"/>
    </row>
    <row r="329" spans="1:10" x14ac:dyDescent="0.2">
      <c r="A329" s="2">
        <v>6575235</v>
      </c>
      <c r="B329" s="2" t="s">
        <v>9</v>
      </c>
      <c r="C329" s="2" t="s">
        <v>613</v>
      </c>
      <c r="D329" s="25">
        <v>45658</v>
      </c>
      <c r="E329" s="25">
        <v>46022</v>
      </c>
      <c r="F329" s="2" t="s">
        <v>586</v>
      </c>
      <c r="G329" s="2" t="s">
        <v>587</v>
      </c>
      <c r="H329" s="2">
        <v>0</v>
      </c>
      <c r="I329" s="2" t="s">
        <v>13</v>
      </c>
      <c r="J329" s="51"/>
    </row>
    <row r="330" spans="1:10" x14ac:dyDescent="0.2">
      <c r="A330" s="2">
        <v>6575236</v>
      </c>
      <c r="B330" s="2" t="s">
        <v>9</v>
      </c>
      <c r="C330" s="2" t="s">
        <v>613</v>
      </c>
      <c r="D330" s="25">
        <v>45658</v>
      </c>
      <c r="E330" s="25">
        <v>46022</v>
      </c>
      <c r="F330" s="2" t="s">
        <v>588</v>
      </c>
      <c r="G330" s="2" t="s">
        <v>589</v>
      </c>
      <c r="H330" s="2">
        <v>528980</v>
      </c>
      <c r="I330" s="2" t="s">
        <v>13</v>
      </c>
      <c r="J330" s="51"/>
    </row>
    <row r="331" spans="1:10" x14ac:dyDescent="0.2">
      <c r="A331" s="2">
        <v>6575237</v>
      </c>
      <c r="B331" s="2" t="s">
        <v>9</v>
      </c>
      <c r="C331" s="2" t="s">
        <v>613</v>
      </c>
      <c r="D331" s="25">
        <v>45658</v>
      </c>
      <c r="E331" s="25">
        <v>46022</v>
      </c>
      <c r="F331" s="2" t="s">
        <v>590</v>
      </c>
      <c r="G331" s="2" t="s">
        <v>591</v>
      </c>
      <c r="H331" s="2">
        <v>0</v>
      </c>
      <c r="I331" s="2" t="s">
        <v>13</v>
      </c>
      <c r="J331" s="51"/>
    </row>
    <row r="332" spans="1:10" x14ac:dyDescent="0.2">
      <c r="A332" s="2">
        <v>6575238</v>
      </c>
      <c r="B332" s="2" t="s">
        <v>9</v>
      </c>
      <c r="C332" s="2" t="s">
        <v>613</v>
      </c>
      <c r="D332" s="25">
        <v>45658</v>
      </c>
      <c r="E332" s="25">
        <v>46022</v>
      </c>
      <c r="F332" s="2" t="s">
        <v>592</v>
      </c>
      <c r="G332" s="2" t="s">
        <v>59</v>
      </c>
      <c r="H332" s="2">
        <v>-1855167</v>
      </c>
      <c r="I332" s="2" t="s">
        <v>13</v>
      </c>
      <c r="J332" s="51"/>
    </row>
    <row r="333" spans="1:10" x14ac:dyDescent="0.2">
      <c r="A333" s="2">
        <v>6575239</v>
      </c>
      <c r="B333" s="2" t="s">
        <v>9</v>
      </c>
      <c r="C333" s="2" t="s">
        <v>613</v>
      </c>
      <c r="D333" s="25">
        <v>45658</v>
      </c>
      <c r="E333" s="25">
        <v>46022</v>
      </c>
      <c r="F333" s="2" t="s">
        <v>593</v>
      </c>
      <c r="G333" s="2" t="s">
        <v>594</v>
      </c>
      <c r="H333" s="2">
        <v>-1855167</v>
      </c>
      <c r="I333" s="2" t="s">
        <v>13</v>
      </c>
      <c r="J333" s="5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6FAB7-A08A-F246-AFD9-9AED1354F35A}">
  <dimension ref="A1:M32"/>
  <sheetViews>
    <sheetView tabSelected="1" zoomScaleNormal="177" workbookViewId="0">
      <selection sqref="A1:XFD1048576"/>
    </sheetView>
  </sheetViews>
  <sheetFormatPr baseColWidth="10" defaultRowHeight="19" x14ac:dyDescent="0.25"/>
  <cols>
    <col min="1" max="1" width="60.6640625" style="23" customWidth="1"/>
    <col min="2" max="2" width="20.6640625" style="22" customWidth="1"/>
    <col min="3" max="3" width="23.6640625" style="22" customWidth="1"/>
    <col min="4" max="4" width="11.6640625" style="22" customWidth="1"/>
    <col min="5" max="8" width="10.83203125" style="22"/>
    <col min="9" max="9" width="15" style="22" customWidth="1"/>
    <col min="10" max="10" width="43.5" style="22" customWidth="1"/>
    <col min="11" max="11" width="27.83203125" style="22" customWidth="1"/>
    <col min="12" max="12" width="10.83203125" style="22"/>
    <col min="13" max="13" width="15.33203125" style="65" customWidth="1"/>
    <col min="14" max="14" width="24.5" style="22" customWidth="1"/>
    <col min="15" max="15" width="31" style="22" customWidth="1"/>
    <col min="16" max="17" width="10.83203125" style="22"/>
    <col min="18" max="18" width="16.1640625" style="22" customWidth="1"/>
    <col min="19" max="19" width="43" style="22" customWidth="1"/>
    <col min="20" max="20" width="28" style="22" customWidth="1"/>
    <col min="21" max="16384" width="10.83203125" style="22"/>
  </cols>
  <sheetData>
    <row r="1" spans="1:13" x14ac:dyDescent="0.25">
      <c r="A1" s="39" t="s">
        <v>684</v>
      </c>
      <c r="B1" s="40">
        <v>2025</v>
      </c>
      <c r="C1" s="40">
        <v>2024</v>
      </c>
      <c r="D1" s="38"/>
      <c r="E1" s="38"/>
      <c r="I1" s="22" t="s">
        <v>669</v>
      </c>
      <c r="J1" s="22" t="s">
        <v>706</v>
      </c>
      <c r="K1" s="22" t="s">
        <v>707</v>
      </c>
      <c r="M1" s="22"/>
    </row>
    <row r="2" spans="1:13" x14ac:dyDescent="0.25">
      <c r="A2" s="41" t="s">
        <v>685</v>
      </c>
      <c r="B2" s="46">
        <f>'2025 4'!H3-'2025 4'!H73</f>
        <v>4830465</v>
      </c>
      <c r="C2" s="46">
        <f>'2024 4'!H3-'2024 4'!H73</f>
        <v>5532058</v>
      </c>
      <c r="I2" s="22" t="s">
        <v>673</v>
      </c>
      <c r="J2" s="22" t="s">
        <v>15</v>
      </c>
      <c r="K2" s="22" t="s">
        <v>708</v>
      </c>
      <c r="M2" s="22"/>
    </row>
    <row r="3" spans="1:13" x14ac:dyDescent="0.25">
      <c r="A3" s="41" t="s">
        <v>686</v>
      </c>
      <c r="B3" s="43">
        <f>Tabela3[[#This Row],[valor]]/'2025 4'!H73</f>
        <v>1.6541942477348166</v>
      </c>
      <c r="C3" s="43">
        <f>Tabela2[[#This Row],[valor]]/'2024 4'!H73</f>
        <v>1.5758068523419595</v>
      </c>
      <c r="D3" s="24"/>
      <c r="I3" s="22" t="s">
        <v>680</v>
      </c>
      <c r="J3" s="22" t="s">
        <v>139</v>
      </c>
      <c r="K3" s="22" t="s">
        <v>708</v>
      </c>
      <c r="M3" s="62"/>
    </row>
    <row r="4" spans="1:13" x14ac:dyDescent="0.25">
      <c r="A4" s="41" t="s">
        <v>687</v>
      </c>
      <c r="B4" s="43">
        <f>('2025 4'!H3-'2025 4'!H16-'2025 4'!H44)/'2025 4'!H73</f>
        <v>1.2525594071051658</v>
      </c>
      <c r="C4" s="43">
        <f>('2024 4'!H3-'2024 4'!H16-'2024 4'!H44)/'2024 4'!H73</f>
        <v>1.2241903165332795</v>
      </c>
      <c r="D4" s="24"/>
      <c r="I4" s="22" t="s">
        <v>709</v>
      </c>
      <c r="J4" s="22" t="s">
        <v>710</v>
      </c>
      <c r="K4" s="22" t="s">
        <v>708</v>
      </c>
      <c r="M4" s="63"/>
    </row>
    <row r="5" spans="1:13" x14ac:dyDescent="0.25">
      <c r="A5" s="41" t="s">
        <v>688</v>
      </c>
      <c r="B5" s="43">
        <f>('2025 4'!H4/'2025 4'!H73)</f>
        <v>0.20188766304357394</v>
      </c>
      <c r="C5" s="43">
        <f>'2024 4'!H4/'2024 4'!H73</f>
        <v>0.27496081442299858</v>
      </c>
      <c r="D5" s="24"/>
      <c r="I5" s="22" t="s">
        <v>711</v>
      </c>
      <c r="J5" s="22" t="s">
        <v>225</v>
      </c>
      <c r="K5" s="22" t="s">
        <v>708</v>
      </c>
      <c r="M5" s="63"/>
    </row>
    <row r="6" spans="1:13" x14ac:dyDescent="0.25">
      <c r="A6" s="41" t="s">
        <v>689</v>
      </c>
      <c r="B6" s="43">
        <f>(('2025 4'!H3+'2025 4'!H31)/('2025 4'!H73+'2025 4'!H120))</f>
        <v>0.96562267128597246</v>
      </c>
      <c r="C6" s="43">
        <f>(('2024 4'!H3+'2024 4'!H31)/('2024 4'!H73+'2024 4'!H118))</f>
        <v>0.93736174295619445</v>
      </c>
      <c r="I6" s="22" t="s">
        <v>712</v>
      </c>
      <c r="J6" s="22" t="s">
        <v>69</v>
      </c>
      <c r="K6" s="22" t="s">
        <v>708</v>
      </c>
      <c r="M6" s="63"/>
    </row>
    <row r="7" spans="1:13" x14ac:dyDescent="0.25">
      <c r="A7" s="41" t="s">
        <v>690</v>
      </c>
      <c r="B7" s="43">
        <f>ABS((('2025 4'!H16+'2024 4'!H16)/2)/'2025 4'!H190)*360</f>
        <v>156.69689788955051</v>
      </c>
      <c r="C7" s="44">
        <f>ABS((('2024 4'!H16+'2023 4'!H16)/2)/'2024 4'!H189)*360</f>
        <v>139.00089303235305</v>
      </c>
      <c r="I7" s="22" t="s">
        <v>713</v>
      </c>
      <c r="J7" s="22" t="s">
        <v>714</v>
      </c>
      <c r="K7" s="22" t="s">
        <v>708</v>
      </c>
      <c r="M7" s="63"/>
    </row>
    <row r="8" spans="1:13" x14ac:dyDescent="0.25">
      <c r="A8" s="41" t="s">
        <v>691</v>
      </c>
      <c r="B8" s="43">
        <f>(360/B7)</f>
        <v>2.2974290164553857</v>
      </c>
      <c r="C8" s="43">
        <f>(360/C7)</f>
        <v>2.5899114181677128</v>
      </c>
      <c r="I8" s="22" t="s">
        <v>715</v>
      </c>
      <c r="J8" s="22" t="s">
        <v>716</v>
      </c>
      <c r="K8" s="22" t="s">
        <v>708</v>
      </c>
      <c r="M8" s="63"/>
    </row>
    <row r="9" spans="1:13" x14ac:dyDescent="0.25">
      <c r="A9" s="41" t="s">
        <v>692</v>
      </c>
      <c r="B9" s="45">
        <f>((('2025 4'!H12+'2024 4'!H12)/2)/'2025 4'!H189)*360</f>
        <v>82.156545278188347</v>
      </c>
      <c r="C9" s="43">
        <f>((('2024 4'!H12+'2023 4'!H12)/2)/'2024 4'!H188)*360</f>
        <v>65.963737189393498</v>
      </c>
      <c r="I9" s="22" t="s">
        <v>717</v>
      </c>
      <c r="J9" s="22" t="s">
        <v>718</v>
      </c>
      <c r="K9" s="22" t="s">
        <v>708</v>
      </c>
      <c r="M9" s="63"/>
    </row>
    <row r="10" spans="1:13" x14ac:dyDescent="0.25">
      <c r="A10" s="41" t="s">
        <v>750</v>
      </c>
      <c r="B10" s="42">
        <f>ABS('2025 4'!H190)+'2025 4'!H16-'2024 4'!H16</f>
        <v>6874623</v>
      </c>
      <c r="C10" s="42">
        <f>ABS('2024 4'!H189)+'2024 4'!H16-'2023 4'!H16</f>
        <v>8663354</v>
      </c>
      <c r="I10" s="22" t="s">
        <v>719</v>
      </c>
      <c r="J10" s="22" t="s">
        <v>51</v>
      </c>
      <c r="K10" s="22" t="s">
        <v>708</v>
      </c>
      <c r="M10" s="63"/>
    </row>
    <row r="11" spans="1:13" x14ac:dyDescent="0.25">
      <c r="A11" s="41" t="s">
        <v>694</v>
      </c>
      <c r="B11" s="43">
        <f>((('2025 4'!H77+'2024 4'!H77)/2)/Indicadores!B10)*360</f>
        <v>294.46630018838852</v>
      </c>
      <c r="C11" s="43">
        <f>((('2024 4'!H77+'2023 4'!H77)/2)/Indicadores!C10)*360</f>
        <v>241.93481877803907</v>
      </c>
      <c r="I11" s="22" t="s">
        <v>720</v>
      </c>
      <c r="J11" s="22" t="s">
        <v>721</v>
      </c>
      <c r="K11" s="22" t="s">
        <v>722</v>
      </c>
      <c r="M11" s="63"/>
    </row>
    <row r="12" spans="1:13" x14ac:dyDescent="0.25">
      <c r="A12" s="41" t="s">
        <v>695</v>
      </c>
      <c r="B12" s="43">
        <f>(B7+B9)</f>
        <v>238.85344316773887</v>
      </c>
      <c r="C12" s="43">
        <f>(C7+C9)</f>
        <v>204.96463022174655</v>
      </c>
      <c r="I12" s="22" t="s">
        <v>723</v>
      </c>
      <c r="J12" s="22" t="s">
        <v>724</v>
      </c>
      <c r="K12" s="22" t="s">
        <v>708</v>
      </c>
      <c r="M12" s="63"/>
    </row>
    <row r="13" spans="1:13" x14ac:dyDescent="0.25">
      <c r="A13" s="41" t="s">
        <v>696</v>
      </c>
      <c r="B13" s="43">
        <f>(B12-B11)</f>
        <v>-55.612857020649642</v>
      </c>
      <c r="C13" s="43">
        <f>(C12-C11)</f>
        <v>-36.970188556292527</v>
      </c>
      <c r="I13" s="22" t="s">
        <v>725</v>
      </c>
      <c r="J13" s="22" t="s">
        <v>726</v>
      </c>
      <c r="K13" s="22" t="s">
        <v>708</v>
      </c>
      <c r="M13" s="63"/>
    </row>
    <row r="14" spans="1:13" x14ac:dyDescent="0.25">
      <c r="A14" s="41" t="s">
        <v>697</v>
      </c>
      <c r="B14" s="43">
        <f>B7</f>
        <v>156.69689788955051</v>
      </c>
      <c r="C14" s="44">
        <f>C7</f>
        <v>139.00089303235305</v>
      </c>
      <c r="I14" s="22" t="s">
        <v>727</v>
      </c>
      <c r="J14" s="22" t="s">
        <v>728</v>
      </c>
      <c r="K14" s="22" t="s">
        <v>708</v>
      </c>
      <c r="M14" s="63"/>
    </row>
    <row r="15" spans="1:13" x14ac:dyDescent="0.25">
      <c r="A15" s="41" t="s">
        <v>751</v>
      </c>
      <c r="B15" s="46">
        <f>'2025 4'!H4+'2025 4'!H5</f>
        <v>2671253</v>
      </c>
      <c r="C15" s="46">
        <f>'2024 4'!H4+'2024 4'!H5</f>
        <v>4458126</v>
      </c>
      <c r="I15" s="22" t="s">
        <v>729</v>
      </c>
      <c r="J15" s="22" t="s">
        <v>730</v>
      </c>
      <c r="K15" s="22" t="s">
        <v>708</v>
      </c>
      <c r="M15" s="64"/>
    </row>
    <row r="16" spans="1:13" x14ac:dyDescent="0.25">
      <c r="A16" s="41" t="s">
        <v>752</v>
      </c>
      <c r="B16" s="46">
        <f>('2025 4'!H3-Indicadores!B15)</f>
        <v>9543051</v>
      </c>
      <c r="C16" s="46">
        <f>('2024 4'!H3-Indicadores!C15)</f>
        <v>10681421</v>
      </c>
      <c r="I16" s="22" t="s">
        <v>731</v>
      </c>
      <c r="J16" s="22" t="s">
        <v>732</v>
      </c>
      <c r="K16" s="22" t="s">
        <v>722</v>
      </c>
      <c r="M16" s="63"/>
    </row>
    <row r="17" spans="1:13" x14ac:dyDescent="0.25">
      <c r="A17" s="41" t="s">
        <v>15</v>
      </c>
      <c r="B17" s="46">
        <f>'2025 4'!H3</f>
        <v>12214304</v>
      </c>
      <c r="C17" s="46">
        <f>'2024 4'!H3</f>
        <v>15139547</v>
      </c>
      <c r="I17" s="22" t="s">
        <v>693</v>
      </c>
      <c r="J17" s="22" t="s">
        <v>733</v>
      </c>
      <c r="K17" s="22" t="s">
        <v>734</v>
      </c>
      <c r="M17" s="63"/>
    </row>
    <row r="18" spans="1:13" x14ac:dyDescent="0.25">
      <c r="A18" s="41" t="s">
        <v>753</v>
      </c>
      <c r="B18" s="46">
        <f>('2025 4'!H89+'2025 4'!H92)</f>
        <v>100502</v>
      </c>
      <c r="C18" s="46">
        <f>('2024 4'!H87+'2024 4'!H91)</f>
        <v>55890</v>
      </c>
      <c r="I18" s="22" t="s">
        <v>735</v>
      </c>
      <c r="J18" s="22" t="s">
        <v>17</v>
      </c>
      <c r="K18" s="22" t="s">
        <v>708</v>
      </c>
      <c r="M18" s="63"/>
    </row>
    <row r="19" spans="1:13" x14ac:dyDescent="0.25">
      <c r="A19" s="41" t="s">
        <v>754</v>
      </c>
      <c r="B19" s="46">
        <f>('2025 4'!H73-Indicadores!B18)</f>
        <v>7283337</v>
      </c>
      <c r="C19" s="46">
        <f>('2024 4'!H73-Indicadores!C18)</f>
        <v>9551599</v>
      </c>
      <c r="I19" s="22" t="s">
        <v>736</v>
      </c>
      <c r="J19" s="22" t="s">
        <v>737</v>
      </c>
      <c r="K19" s="22" t="s">
        <v>708</v>
      </c>
      <c r="M19" s="64"/>
    </row>
    <row r="20" spans="1:13" x14ac:dyDescent="0.25">
      <c r="A20" s="41" t="s">
        <v>139</v>
      </c>
      <c r="B20" s="46">
        <f>'2025 4'!H73</f>
        <v>7383839</v>
      </c>
      <c r="C20" s="46">
        <f>'2024 4'!H73</f>
        <v>9607489</v>
      </c>
      <c r="I20" s="22" t="s">
        <v>738</v>
      </c>
      <c r="J20" s="22" t="s">
        <v>739</v>
      </c>
      <c r="K20" s="22" t="s">
        <v>708</v>
      </c>
      <c r="M20" s="63"/>
    </row>
    <row r="21" spans="1:13" x14ac:dyDescent="0.25">
      <c r="A21" s="41" t="s">
        <v>698</v>
      </c>
      <c r="B21" s="46">
        <f t="shared" ref="B21:C23" si="0">B15-B18</f>
        <v>2570751</v>
      </c>
      <c r="C21" s="46">
        <f t="shared" si="0"/>
        <v>4402236</v>
      </c>
      <c r="I21" s="22" t="s">
        <v>666</v>
      </c>
      <c r="J21" s="22" t="s">
        <v>740</v>
      </c>
      <c r="K21" s="22" t="s">
        <v>741</v>
      </c>
    </row>
    <row r="22" spans="1:13" x14ac:dyDescent="0.25">
      <c r="A22" s="41" t="s">
        <v>699</v>
      </c>
      <c r="B22" s="46">
        <f t="shared" si="0"/>
        <v>2259714</v>
      </c>
      <c r="C22" s="46">
        <f t="shared" si="0"/>
        <v>1129822</v>
      </c>
      <c r="I22" s="22" t="s">
        <v>742</v>
      </c>
      <c r="J22" s="22" t="s">
        <v>743</v>
      </c>
      <c r="K22" s="22" t="s">
        <v>741</v>
      </c>
    </row>
    <row r="23" spans="1:13" x14ac:dyDescent="0.25">
      <c r="A23" s="41" t="s">
        <v>700</v>
      </c>
      <c r="B23" s="47">
        <f t="shared" si="0"/>
        <v>4830465</v>
      </c>
      <c r="C23" s="47">
        <f t="shared" si="0"/>
        <v>5532058</v>
      </c>
      <c r="I23" s="22" t="s">
        <v>667</v>
      </c>
      <c r="J23" s="22" t="s">
        <v>744</v>
      </c>
      <c r="K23" s="22" t="s">
        <v>741</v>
      </c>
    </row>
    <row r="24" spans="1:13" x14ac:dyDescent="0.25">
      <c r="A24" s="41" t="s">
        <v>701</v>
      </c>
      <c r="B24" s="43">
        <f>'2025 4'!H72/'2025 4'!H161</f>
        <v>2.2325628761065017</v>
      </c>
      <c r="C24" s="43">
        <f>'2024 4'!H72/'2024 4'!H159</f>
        <v>2.3694743231811812</v>
      </c>
      <c r="I24" s="22" t="s">
        <v>668</v>
      </c>
      <c r="J24" s="22" t="s">
        <v>670</v>
      </c>
      <c r="K24" s="22" t="s">
        <v>741</v>
      </c>
    </row>
    <row r="25" spans="1:13" x14ac:dyDescent="0.25">
      <c r="A25" s="41" t="s">
        <v>702</v>
      </c>
      <c r="B25" s="43">
        <f>('2025 4'!H72/('2025 4'!H72+'2025 4'!H161))</f>
        <v>0.69064793529879864</v>
      </c>
      <c r="C25" s="43">
        <f>('2024 4'!H72/('2024 4'!H72+'2024 4'!H159))</f>
        <v>0.70321780073519535</v>
      </c>
      <c r="I25" s="22" t="s">
        <v>671</v>
      </c>
      <c r="J25" s="22" t="s">
        <v>675</v>
      </c>
      <c r="K25" s="22" t="s">
        <v>745</v>
      </c>
    </row>
    <row r="26" spans="1:13" x14ac:dyDescent="0.25">
      <c r="A26" s="41" t="s">
        <v>703</v>
      </c>
      <c r="B26" s="44">
        <f>'2025 4'!H2/'2025 4'!H72</f>
        <v>1</v>
      </c>
      <c r="C26" s="44">
        <f>'2024 4'!H2/'2024 4'!H72</f>
        <v>1</v>
      </c>
      <c r="I26" s="22" t="s">
        <v>672</v>
      </c>
      <c r="J26" s="22" t="s">
        <v>676</v>
      </c>
      <c r="K26" s="22" t="s">
        <v>745</v>
      </c>
    </row>
    <row r="27" spans="1:13" x14ac:dyDescent="0.25">
      <c r="A27" s="41" t="s">
        <v>704</v>
      </c>
      <c r="B27" s="43">
        <f>'2025 4'!H73/'2025 4'!H72</f>
        <v>0.2548671839989623</v>
      </c>
      <c r="C27" s="43">
        <f>'2024 4'!H73/'2024 4'!H72</f>
        <v>0.25872888152541174</v>
      </c>
      <c r="I27" s="22" t="s">
        <v>674</v>
      </c>
      <c r="J27" s="22" t="s">
        <v>746</v>
      </c>
      <c r="K27" s="22" t="s">
        <v>745</v>
      </c>
      <c r="M27" s="65" t="s">
        <v>767</v>
      </c>
    </row>
    <row r="28" spans="1:13" x14ac:dyDescent="0.25">
      <c r="A28" s="41" t="s">
        <v>705</v>
      </c>
      <c r="B28" s="43">
        <f>'2025 4'!H64/'2025 4'!H161</f>
        <v>0.24165331582504349</v>
      </c>
      <c r="C28" s="43">
        <f>'2024 4'!H64/'2024 4'!H159</f>
        <v>0.28949939785932338</v>
      </c>
      <c r="I28" s="22" t="s">
        <v>679</v>
      </c>
      <c r="J28" s="22" t="s">
        <v>677</v>
      </c>
      <c r="K28" s="22" t="s">
        <v>745</v>
      </c>
    </row>
    <row r="29" spans="1:13" x14ac:dyDescent="0.25">
      <c r="I29" s="22" t="s">
        <v>681</v>
      </c>
      <c r="J29" s="22" t="s">
        <v>747</v>
      </c>
      <c r="K29" s="22" t="s">
        <v>745</v>
      </c>
    </row>
    <row r="30" spans="1:13" x14ac:dyDescent="0.25">
      <c r="I30" s="22" t="s">
        <v>682</v>
      </c>
      <c r="J30" s="22" t="s">
        <v>678</v>
      </c>
      <c r="K30" s="22" t="s">
        <v>745</v>
      </c>
    </row>
    <row r="31" spans="1:13" x14ac:dyDescent="0.25">
      <c r="I31" s="22" t="s">
        <v>683</v>
      </c>
      <c r="J31" s="22" t="s">
        <v>748</v>
      </c>
      <c r="K31" s="22" t="s">
        <v>745</v>
      </c>
    </row>
    <row r="32" spans="1:13" x14ac:dyDescent="0.25">
      <c r="I32" s="22" t="s">
        <v>765</v>
      </c>
      <c r="J32" s="22" t="s">
        <v>766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2023 4</vt:lpstr>
      <vt:lpstr>2024 4</vt:lpstr>
      <vt:lpstr>2025 4</vt:lpstr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LUISA GALVAO SERAKIDES</cp:lastModifiedBy>
  <dcterms:created xsi:type="dcterms:W3CDTF">2026-03-25T11:21:18Z</dcterms:created>
  <dcterms:modified xsi:type="dcterms:W3CDTF">2026-05-21T11:24:14Z</dcterms:modified>
</cp:coreProperties>
</file>